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e.tsapalina\AppData\Roaming\1C\1cv8\46782746-7b0d-49d3-8201-451471fb3761\0ed6add4-b04c-490f-a25f-08e7281e65cd\App\"/>
    </mc:Choice>
  </mc:AlternateContent>
  <xr:revisionPtr revIDLastSave="0" documentId="13_ncr:1_{E7213255-7A45-4F23-B7E7-30C52BEEB20F}" xr6:coauthVersionLast="47" xr6:coauthVersionMax="47" xr10:uidLastSave="{00000000-0000-0000-0000-000000000000}"/>
  <bookViews>
    <workbookView xWindow="-120" yWindow="-120" windowWidth="29040" windowHeight="15840" tabRatio="895" xr2:uid="{00000000-000D-0000-FFFF-FFFF00000000}"/>
  </bookViews>
  <sheets>
    <sheet name="Инжиниринг" sheetId="98" r:id="rId1"/>
    <sheet name="Лист1" sheetId="99" r:id="rId2"/>
    <sheet name="Шаблон" sheetId="8"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99" l="1"/>
  <c r="F13" i="99"/>
  <c r="F3" i="99"/>
</calcChain>
</file>

<file path=xl/sharedStrings.xml><?xml version="1.0" encoding="utf-8"?>
<sst xmlns="http://schemas.openxmlformats.org/spreadsheetml/2006/main" count="189" uniqueCount="128">
  <si>
    <t>4. Решение</t>
  </si>
  <si>
    <t>8. Ключевые метрики</t>
  </si>
  <si>
    <t>7. Структура издержек</t>
  </si>
  <si>
    <t>6. Потоки прибыли</t>
  </si>
  <si>
    <t>9. Скрытое преимущество</t>
  </si>
  <si>
    <t>5. Каналы</t>
  </si>
  <si>
    <t>3. Уникальная ценность (УТП)</t>
  </si>
  <si>
    <t>2.2 Альтернативы</t>
  </si>
  <si>
    <t>2.1 Проблема</t>
  </si>
  <si>
    <t>1.1 Сегменты потребителей</t>
  </si>
  <si>
    <t>1.2 Ранние последователи</t>
  </si>
  <si>
    <t>Продукт</t>
  </si>
  <si>
    <t>Рынок</t>
  </si>
  <si>
    <t>Количество продаж;
Количество пользователей в ГРМ;
Количество отзывов</t>
  </si>
  <si>
    <t>Не занимались</t>
  </si>
  <si>
    <t>В работе</t>
  </si>
  <si>
    <t>Глубокая реализация</t>
  </si>
  <si>
    <t>решение сформулировано</t>
  </si>
  <si>
    <t>решение не сформулировано</t>
  </si>
  <si>
    <t>решение сформулировано частично</t>
  </si>
  <si>
    <t>Базовая реализация (в т.ч. удобно)</t>
  </si>
  <si>
    <t>Техническая реализация</t>
  </si>
  <si>
    <t>Связь</t>
  </si>
  <si>
    <t>%</t>
  </si>
  <si>
    <t>Что нужно доработать:</t>
  </si>
  <si>
    <t>Что нужно ОП для старта: демо-база, презентации.</t>
  </si>
  <si>
    <t>ИНЖИНИРИНГ</t>
  </si>
  <si>
    <t>Инжиниринг - это комплекс инженерно-консультационных услуг, направленных на решение технических задач, создание новых изделий или технологий, а также сопровождение производственных процессов, от проектирования до ввода объекта в эксплуатацию - Алексей У.</t>
  </si>
  <si>
    <t>Инжиниринг охватывает проектирование зданий, разработку технологических процессов, оптимизацию производства и внедрение инновационных решений. Цель — оптимизировать процессы проектирования, производства и эксплуатации изделий, улучшить качество продукции и снизить затраты на производство. - Антон Р.</t>
  </si>
  <si>
    <t>Инжинринг:
- Делают комплексный проект
- В начале есть исследование и проектирование
- А внутри, когда они создают решение - это и есть позаказное производство. Просто позаказное пр-во не нуждается в нас т.к. им достаточно ERP. А когда есть работы до и работы после и их нужно связать в сложный проект и таких проектов много, им нужны мы, чтобы все связать
Сергей Л.</t>
  </si>
  <si>
    <t xml:space="preserve"> - EPC проектирование, см. Пусконаладка,
- Компании, реализующие EPC контракты связанные с поставкой оборудования (НЕ строительство зданий, сооружений, дорог)</t>
  </si>
  <si>
    <t xml:space="preserve">Отрасли: 
Инжиниринг:
- Компании, реализующие EPC контракты связанные с поставкой и пусконаладкой оборудования (НЕ строительство зданий, сооружений, дорог)
- Делают комплексный проект
- В начале есть обследование и проектирование (конструирование)
- А внутри, когда они создают решение - это и есть позаказное производство. Просто позаказное пр-во не нуждается в нас т.к. им достаточно ERP. А когда есть работы до и работы после и их нужно связать в сложный проект и таких проектов много, им нужны мы, чтобы все связать
 - EPC проектирование, см. Пусконаладка,
Размер компаний:
800 млн. - 10 млрд 
Триггер - постоянные срывы в проектах, которые привели к серьезной бизнес-проблеме или приведут в будущем к проблеме, причем эти срывы ты делегировал коллегам
Заказчики-люди:  
№1 - Владелец контрактов (портфеля заказов) - это КД, Гл инженер или ФД, он отвечает перед заказчиками и зависит от смежных структур
Подумать:
- Гл. инженер 
- Генеральный директор (контроль рентабельности портфеля, денежный поток, стратегия).
 - Коммерческий директор - ответсвенный за контракты
- Финансовый директор (бюджетирование, себестоимость, план-факт).
- Директор по закупкам
- Директор проектного офиса, Директор по производству (сроки, ресурсы, загрузка подразделений, управление графиками).
</t>
  </si>
  <si>
    <t>Создание уникальных продуктов, которые сложно оценить, так как оценка зависит от множества факторов.</t>
  </si>
  <si>
    <t>Связка проектного и производственного планирования (управление ресурсной загрузкой и материальными потоками)</t>
  </si>
  <si>
    <t>4. Посчитать PNL и CashFlow по компании с учетом всех изменений и прогноза продаж (по нескольним разным сценариям)</t>
  </si>
  <si>
    <t xml:space="preserve">5. Хаос изменений. У РП/структурных подразделений количество прилетающих изменений/структурная разрозненность не дают составить единый план действий, на который все могут ориентироваться, не говоря уже об оптимальности этого плана.
Любое изменение планов порождает снежный ком изменений, которые невозможно предугадать. Неочевидно, как изменение планов в одном проекте влияет на подразделения-смежники в этом же проекте, в результате изменяются планы по другим проектам. </t>
  </si>
  <si>
    <t>6. Разный взгляд на учет затрат у экономистов и производственников</t>
  </si>
  <si>
    <t>3.1 Изменение сроков закупок (в т.ч.сложность с логистикой)</t>
  </si>
  <si>
    <t>3.2 Изменение сроков поставок заказчику (в т.ч.сложность с логистикой)</t>
  </si>
  <si>
    <t>3.4. Изменение сроков производства (из-за изменения приоритетов загрузки оборудования)</t>
  </si>
  <si>
    <t>3.5. Изменение сроков пусконаладки (из-за накладок в загрузке бригад)</t>
  </si>
  <si>
    <t>3.6. Оборудование со склада может уйти на другиой проект, а не под тот, под который его закупили. В итоге на текущем проекте срыв сроков со всеми последствиями.</t>
  </si>
  <si>
    <t>3.7.  Курсовые изменения, влияющие на стоимость оборудования</t>
  </si>
  <si>
    <t>3.8  Общее изменение сроков влияет на стоимость денег (% по кредитам)</t>
  </si>
  <si>
    <t>5. Актуализация сроков проекта по прогнозной и фактической датам выпуска</t>
  </si>
  <si>
    <t>6. РЦК (расчет цены контракта). Концепция РЦК для РМ5</t>
  </si>
  <si>
    <t>8. Календарное планирование задачи поставки Заказчику</t>
  </si>
  <si>
    <t>3.3 Замены спецификации оборудования (отсутствие на рынке комплектующих, поиски альтернатив) - замена не самого документа, а поставка по факту какого-то другого аналога</t>
  </si>
  <si>
    <t>3.3.</t>
  </si>
  <si>
    <t>9. Замена спецификации оборудования (надо прорабатывать идеи - идеи кроме хранения в версиях нет)</t>
  </si>
  <si>
    <t>1 и 3.4.</t>
  </si>
  <si>
    <t>10. Учёт загрузки бригад на проектах</t>
  </si>
  <si>
    <t>3.5.</t>
  </si>
  <si>
    <t>1 и 3.6.</t>
  </si>
  <si>
    <t>3.2. и 3.5.</t>
  </si>
  <si>
    <t>1 и 3.1. и 3.6.</t>
  </si>
  <si>
    <t xml:space="preserve">11. Отмена обеспеченности ТМЦ в закруках, отмена факта ресурсов и БДДС, </t>
  </si>
  <si>
    <t>3.6.</t>
  </si>
  <si>
    <t>12. Замена способа обеспечения и перепланирование закупок и производства</t>
  </si>
  <si>
    <t xml:space="preserve"> 3.7.</t>
  </si>
  <si>
    <t>13. Прогнозировать курсы и постоянно пересчитывать экономику проекта</t>
  </si>
  <si>
    <t>14. Мультивалютный учет</t>
  </si>
  <si>
    <t>2 и 3.8. и 4</t>
  </si>
  <si>
    <t xml:space="preserve">4. </t>
  </si>
  <si>
    <t>16. При расчете экономики проекта мы задаем параметры расчета как общий для всех сценарий, так и индивидуальный для каждого сценарий и при изменении какого-либо параметра пересчитываетсяплан проекта (проверить - возможно учтено в концепции РЦК на РМ5)</t>
  </si>
  <si>
    <t>5.</t>
  </si>
  <si>
    <t>17. Сроки можно менять только если они не влияют на критический путь проекта. Надо отдельно продумать ограничения - что можно включить при проверке не только на 1 проект, но и на портфель. Алексей: возможно посмотреть концепцию работы со "свободным резервом" в Примавере. Семен: а ещё впихнуть ИИ - загрузить в неё графики и посмотреть, какие коллизии выявит ИИ.</t>
  </si>
  <si>
    <t>6.</t>
  </si>
  <si>
    <t>1. Выгрузка потребностей в ERP или во внешнюю систему
(в прототипе есть выгрузка в систему, но по 1 проекту
в типовой выгрузки нет)</t>
  </si>
  <si>
    <t>3. Актуализация сроков проекта по данным прогнозных и фактических сроков закупки
(есть актализация сроков проектных задач в прототипе)</t>
  </si>
  <si>
    <t>2. Загрузка прогнозных и фактических сроков и стоимости обеспечения потребностей ТМЦ из ERP или внешней системы
(в прототипе есть по 1 проекту, по всем нет)</t>
  </si>
  <si>
    <t>4. Формирование заказов а производство по планируемым объемам из проекта в проекте и получеие из ERP прогнозной фактической даты выпуска
(а). В типовой формирование заказа из проектной задачи - не правильно, в результате будут упускаются изделия на производство. Проблему можно снять (Леша, Семен).
б). Проблема многопередельного производство - вопрос как выстроить планирование (как не задублировать объемы пр-ва, как не задублировать заказ материалов), это должно быть продумано на уровне сценария, может не получиться т.к. это не продумано. Павел: нужно это учитывать в дебрях ERP)</t>
  </si>
  <si>
    <t>Прототип РМ4</t>
  </si>
  <si>
    <t>Типовая ERP+РМ5</t>
  </si>
  <si>
    <t>7. Учет стоимости денег при расчете и пересмотре бюджета проекта
(есть отчет на РМ4, но в бюджет он не попадает и нет в РМ5)</t>
  </si>
  <si>
    <t>30-50%</t>
  </si>
  <si>
    <t>80-100%</t>
  </si>
  <si>
    <t xml:space="preserve">4. и 3. </t>
  </si>
  <si>
    <t>Excel + Project + 1C (ERP, KA, УНФ)
Уровень 0 - есть системы, есть обмен данными, данные проходят без потери информации  
Уровень 1 - появляется специализированная функуиональность
Уровень 2 - проблема-решение для отдельных ролей
Уровень 3 - комплексный сквозной процесс</t>
  </si>
  <si>
    <t>20. Срезы планов и факт
(Срезы планов формально есть, но нам всегда чего-то не хватало как минимум срезов в факте - конкретику надо анализировать в конкретном сценарии)</t>
  </si>
  <si>
    <t>19. Трансляция факта из проектных документов по разным правилам из первичных документов в БДР и Расходы ресурсов (расходные объемы)
(в БДР есть механизм, который можно настроить с помощью программиста, в расходе ресурсов - нет)</t>
  </si>
  <si>
    <t>21. Штрафы - автопланирование и учет штрафных санкций при срыве сроков в P&amp;L и CashFlow
(ручное планирование и учет - есть, автопланирование - 0)</t>
  </si>
  <si>
    <t>8, 10</t>
  </si>
  <si>
    <t>2, 3, 11, 12</t>
  </si>
  <si>
    <t>13, 14</t>
  </si>
  <si>
    <t>7, 15, 16, 21</t>
  </si>
  <si>
    <t>18 - 20</t>
  </si>
  <si>
    <t xml:space="preserve"> 1-5</t>
  </si>
  <si>
    <t>15. Возможность одновременно планировать и актуализировать проект в разных сценариях
(можем вести несколько планов по разным сценариям и вести БДР БДДС)</t>
  </si>
  <si>
    <t>18. Механизм трансляции между уровнями - на основе одних и тех же данных формируется бюджет расходов ресурсов и БДР
(80-100%, возможно нужна будет трансляция из результатов в ресурсы или обратно, этого нет)</t>
  </si>
  <si>
    <t>1. Необходимость формирования заказов поставщику по потребностям из нескольких проектов</t>
  </si>
  <si>
    <t>Заказы поставщикам (проблематика):</t>
  </si>
  <si>
    <t xml:space="preserve">2. Необходимость актуализации сроков в разных проектах по данным сводного заказа поставщику </t>
  </si>
  <si>
    <t>3. Номенклатура потребности (спецификации) в проекте не соответствует номенклатуре обеспечения</t>
  </si>
  <si>
    <t>Шаг</t>
  </si>
  <si>
    <t>Потребности</t>
  </si>
  <si>
    <t>10 эл.дв-й</t>
  </si>
  <si>
    <t>Сущность</t>
  </si>
  <si>
    <t>2 эл.дв-й №1</t>
  </si>
  <si>
    <t>3 эл.дв-й №2</t>
  </si>
  <si>
    <t>5 эл.дв-й №3</t>
  </si>
  <si>
    <t>Заказ пост-ку 1</t>
  </si>
  <si>
    <t>ПТУ 1</t>
  </si>
  <si>
    <t>ЭП 1</t>
  </si>
  <si>
    <t>ПТУ 2</t>
  </si>
  <si>
    <t>ПТУ 3</t>
  </si>
  <si>
    <t>Срок</t>
  </si>
  <si>
    <t>Результат</t>
  </si>
  <si>
    <t>Рез-т 1</t>
  </si>
  <si>
    <t>ЭП 1 Проект 1</t>
  </si>
  <si>
    <t>ЭП 2 Проект 1</t>
  </si>
  <si>
    <t>Рез-т 2</t>
  </si>
  <si>
    <t>1 насос</t>
  </si>
  <si>
    <t xml:space="preserve">По сути мы получаем ERP для инжиниринга:
- со сквозным процессом проекты-закупки-производство
- управление задачами-сроками-ресурсами-деньгами с двух точек зрения - с точки зрения проектов и с точки зрения подразделений  
Ситуации (оставить нужную):
1. Комплекстность - в связке с управленческой системой работает проектный контур, запкупки и производство
(ERP часть запускает партнёр - параллельно или позже)
2. Расширение запущенного автоматизированного производства связанным проектным управлением
3. Если у заказчика есть работающая самописная система МТО (не обязательно ERP или 1С) мы можем встроить наше решение в имеющийся ландшафт систем, дополнив до сквозного процесса
</t>
  </si>
  <si>
    <r>
      <rPr>
        <u/>
        <sz val="11"/>
        <color theme="1"/>
        <rFont val="Calibri"/>
        <family val="2"/>
        <charset val="204"/>
        <scheme val="minor"/>
      </rPr>
      <t>На ком тестируем</t>
    </r>
    <r>
      <rPr>
        <sz val="11"/>
        <color theme="1"/>
        <rFont val="Calibri"/>
        <family val="2"/>
        <charset val="204"/>
        <scheme val="minor"/>
      </rPr>
      <t>:
ЧЭАЗ, Ситек, Стенксим, ТЕРРА-ТОК ООО, Волгограднефтемаш, Казпромавтоматика</t>
    </r>
    <r>
      <rPr>
        <b/>
        <sz val="11"/>
        <color theme="1"/>
        <rFont val="Calibri"/>
        <family val="2"/>
        <charset val="204"/>
        <scheme val="minor"/>
      </rPr>
      <t xml:space="preserve">
1 проект - продаж до конца 2026г;
2 проекта - продаж за 2027г.
Ожидаемая стоимость = 15млн за проект
</t>
    </r>
  </si>
  <si>
    <t>Проблематика для рекламных материалов (Лена)</t>
  </si>
  <si>
    <r>
      <rPr>
        <b/>
        <sz val="11"/>
        <color theme="1"/>
        <rFont val="Calibri"/>
        <family val="2"/>
        <charset val="204"/>
        <scheme val="minor"/>
      </rPr>
      <t xml:space="preserve">1. Увязка сроков проекта с материальными ресурсами </t>
    </r>
    <r>
      <rPr>
        <sz val="11"/>
        <color theme="1"/>
        <rFont val="Calibri"/>
        <family val="2"/>
        <charset val="204"/>
        <scheme val="minor"/>
      </rPr>
      <t xml:space="preserve">(есть-нет, в какие сроки будут поставлены, т.е. не только закупка и сборка, но и производство) и со сроками производства.
Увязка сроков контракта/доходного проекта со сроками реализации проекта и сроками смежных подразделений: службой закупа и производственных. 
Трудоемкость увязки графика проекта с графиком поставки необходимого оборудования и графиком производства.
Отсутствие механизма формирования графика проекта на основе графиков смежных подразделений, актуализации графика проекта на основании прогноза исполнения от смежных подразделений). </t>
    </r>
  </si>
  <si>
    <r>
      <rPr>
        <b/>
        <sz val="11"/>
        <color theme="1"/>
        <rFont val="Calibri"/>
        <family val="2"/>
        <charset val="204"/>
        <scheme val="minor"/>
      </rPr>
      <t>2. Долго рассчитываются адекатные ценовые предложения, с</t>
    </r>
    <r>
      <rPr>
        <sz val="11"/>
        <color theme="1"/>
        <rFont val="Calibri"/>
        <family val="2"/>
        <charset val="204"/>
        <scheme val="minor"/>
      </rPr>
      <t xml:space="preserve">оответствующие реальным возможностям и </t>
    </r>
    <r>
      <rPr>
        <b/>
        <sz val="11"/>
        <color theme="1"/>
        <rFont val="Calibri"/>
        <family val="2"/>
        <charset val="204"/>
        <scheme val="minor"/>
      </rPr>
      <t>нет понимания в ошибках по срокам и стоимостям</t>
    </r>
    <r>
      <rPr>
        <sz val="11"/>
        <color theme="1"/>
        <rFont val="Calibri"/>
        <family val="2"/>
        <charset val="204"/>
        <scheme val="minor"/>
      </rPr>
      <t>. Есть риск изначально взять убыточный проект, так как стоимость и сроки (включая стоимость денег) влияют на конечную рентабельность.</t>
    </r>
  </si>
  <si>
    <r>
      <t xml:space="preserve">3. </t>
    </r>
    <r>
      <rPr>
        <b/>
        <sz val="11"/>
        <color theme="1"/>
        <rFont val="Calibri"/>
        <family val="2"/>
        <charset val="204"/>
        <scheme val="minor"/>
      </rPr>
      <t>В ходе проекта происходят изменения, которые мы можем пропустить или не отследить,</t>
    </r>
    <r>
      <rPr>
        <sz val="11"/>
        <color theme="1"/>
        <rFont val="Calibri"/>
        <family val="2"/>
        <charset val="204"/>
        <scheme val="minor"/>
      </rPr>
      <t xml:space="preserve"> но в любом случае они влияют на сроки и стоимости проекта, могут сделать проект убыточным, в связи с этим нужно их оперативно пересчитывать. Раннее обнаружение дает возможность раннего реагирования.</t>
    </r>
  </si>
  <si>
    <r>
      <rPr>
        <b/>
        <sz val="11"/>
        <color theme="1"/>
        <rFont val="Calibri"/>
        <family val="2"/>
        <charset val="204"/>
        <scheme val="minor"/>
      </rPr>
      <t>Невозможность управлять портфелем проектов как единой системой</t>
    </r>
    <r>
      <rPr>
        <sz val="11"/>
        <color theme="1"/>
        <rFont val="Calibri"/>
        <family val="2"/>
        <charset val="204"/>
        <scheme val="minor"/>
      </rPr>
      <t xml:space="preserve">
 - Планирование ведётся по каждому проекту отдельно, без учёта критического пути и ограничений по всему портфелю.
​- Нельзя проверить: можно ли сдвинуть сроки по одному контракту, не завалив критический путь по другим проектам и общую рентабельность.
​- Нет инструмента, который одновременно видит проекты, закупки, производство, деньги и ресурсы как единый сквозной процесс</t>
    </r>
  </si>
  <si>
    <t>УТП для рекламы</t>
  </si>
  <si>
    <r>
      <rPr>
        <b/>
        <sz val="10"/>
        <color theme="1"/>
        <rFont val="Calibri"/>
        <family val="2"/>
        <charset val="204"/>
        <scheme val="minor"/>
      </rPr>
      <t>Полное управление рентабельностью и сроками EPC-проектов без срывов сроков и убытков</t>
    </r>
    <r>
      <rPr>
        <sz val="10"/>
        <color theme="1"/>
        <rFont val="Calibri"/>
        <family val="2"/>
        <charset val="204"/>
        <scheme val="minor"/>
      </rPr>
      <t xml:space="preserve"> 
- сквозной процесс проекты-закупки-производство 
- автоматическая актуализация графиков и экономики по изменениям из ERP 
- расчёт P&amp;L и Cash Flow по портфелю в реальном времени по нескольким сценариям</t>
    </r>
  </si>
  <si>
    <r>
      <rPr>
        <b/>
        <sz val="11"/>
        <color theme="1"/>
        <rFont val="Calibri"/>
        <family val="2"/>
        <charset val="204"/>
        <scheme val="minor"/>
      </rPr>
      <t xml:space="preserve">Коротко: 
Срывы сроков из-за разрыва процессов
</t>
    </r>
    <r>
      <rPr>
        <sz val="11"/>
        <color theme="1"/>
        <rFont val="Calibri"/>
        <family val="2"/>
        <charset val="204"/>
        <scheme val="minor"/>
      </rPr>
      <t>Графики проектов не синхронизированы с закупками/производством — 30–50% проектов срывают дедлайны</t>
    </r>
    <r>
      <rPr>
        <b/>
        <sz val="11"/>
        <color theme="1"/>
        <rFont val="Calibri"/>
        <family val="2"/>
        <charset val="204"/>
        <scheme val="minor"/>
      </rPr>
      <t xml:space="preserve">
Подробно:
Срывы сроков из‑за разрыва между проектом, закупками и производством </t>
    </r>
    <r>
      <rPr>
        <sz val="11"/>
        <color theme="1"/>
        <rFont val="Calibri"/>
        <family val="2"/>
        <charset val="204"/>
        <scheme val="minor"/>
      </rPr>
      <t xml:space="preserve">
 - Проект живёт по одному графику, закупки и производство — по другому, в итоге когда на проекте начинается "жизнь", выясняется, что сроки не состыкованы.
​- Нет единого механизма увязки сроков контракта, графика проекта, поставок и производства, всё «склеивается» вручную в Excel и переписке.
​- Любое изменение у смежников превращается в ручную перепланировку, которая занимает дни и всё равно даёт ошибку.</t>
    </r>
  </si>
  <si>
    <r>
      <rPr>
        <b/>
        <sz val="11"/>
        <color theme="1"/>
        <rFont val="Calibri"/>
        <family val="2"/>
        <charset val="204"/>
        <scheme val="minor"/>
      </rPr>
      <t xml:space="preserve">Коротко: 
Убыточные контракты на старте
</t>
    </r>
    <r>
      <rPr>
        <sz val="11"/>
        <color theme="1"/>
        <rFont val="Calibri"/>
        <family val="2"/>
        <charset val="204"/>
        <scheme val="minor"/>
      </rPr>
      <t>Коммерческие предложения «на глазок» без реальных мощностей — рискуете взять заведомо нерентабельный проект.</t>
    </r>
    <r>
      <rPr>
        <b/>
        <sz val="11"/>
        <color theme="1"/>
        <rFont val="Calibri"/>
        <family val="2"/>
        <charset val="204"/>
        <scheme val="minor"/>
      </rPr>
      <t xml:space="preserve">
Подробно:
Риск взять убыточный контракт ещё на стадии предложения</t>
    </r>
    <r>
      <rPr>
        <sz val="11"/>
        <color theme="1"/>
        <rFont val="Calibri"/>
        <family val="2"/>
        <charset val="204"/>
        <scheme val="minor"/>
      </rPr>
      <t xml:space="preserve">
 - Коммерческое предложение по срокам и цене считается долго и «на глазок», без учёта реальных мощностей закупок и производства.
​- Нет прозрачного понимания, где вы ошиблись в сроках и себестоимости, поэтому легко подписать заведомо убыточный контракт.
​- Стоимость денег (кредиты, кассовые разрывы) почти никогда не попадает в экономику проекта на этапе расчёта, а «выстреливает» уже по факту.</t>
    </r>
  </si>
  <si>
    <r>
      <rPr>
        <b/>
        <sz val="11"/>
        <color theme="1"/>
        <rFont val="Calibri"/>
        <family val="2"/>
        <charset val="204"/>
        <scheme val="minor"/>
      </rPr>
      <t xml:space="preserve">Коротко: 
Снежный ком изменений
</t>
    </r>
    <r>
      <rPr>
        <sz val="11"/>
        <color theme="1"/>
        <rFont val="Calibri"/>
        <family val="2"/>
        <charset val="204"/>
        <scheme val="minor"/>
      </rPr>
      <t>Смены в закупках/логистике тянут сроки и маржу — поздно видите влияние, проект уходит в минус.</t>
    </r>
    <r>
      <rPr>
        <b/>
        <sz val="11"/>
        <color theme="1"/>
        <rFont val="Calibri"/>
        <family val="2"/>
        <charset val="204"/>
        <scheme val="minor"/>
      </rPr>
      <t xml:space="preserve">
Подробно:
Любое изменение тянет за собой снежный ком и делает план нерелевантным</t>
    </r>
    <r>
      <rPr>
        <sz val="11"/>
        <color theme="1"/>
        <rFont val="Calibri"/>
        <family val="2"/>
        <charset val="204"/>
        <scheme val="minor"/>
      </rPr>
      <t xml:space="preserve">
 - В ходе проекта постоянно меняются сроки закупок, производства, поставок, пусконаладки — но их влияние на сроки и рентабельность проекта никто не видит своевременно.
​- Любое изменение в одном проекте порождает цепочку изменений у смежных подразделений и других проектов, которую невозможно отследить вручную.
​- В результате проект может стать убыточным задолго до окончания, но вы узнаёте об этом слишком поздно, когда уже нельзя ничего изменить.</t>
    </r>
  </si>
  <si>
    <r>
      <rPr>
        <b/>
        <sz val="11"/>
        <color theme="1"/>
        <rFont val="Calibri"/>
        <family val="2"/>
        <charset val="204"/>
        <scheme val="minor"/>
      </rPr>
      <t xml:space="preserve">Коротко: 
Слепота по P&amp;L и Cash Flow
</t>
    </r>
    <r>
      <rPr>
        <sz val="11"/>
        <color theme="1"/>
        <rFont val="Calibri"/>
        <family val="2"/>
        <charset val="204"/>
        <scheme val="minor"/>
      </rPr>
      <t>Вы не видите актуальный денежный поток и БДР с учетом  изменений — управляете «чёрным ящиком»</t>
    </r>
    <r>
      <rPr>
        <b/>
        <sz val="11"/>
        <color theme="1"/>
        <rFont val="Calibri"/>
        <family val="2"/>
        <charset val="204"/>
        <scheme val="minor"/>
      </rPr>
      <t xml:space="preserve">
Подробно:
«Чёрный ящик» P&amp;L и Cash Flow по портфелю проектов</t>
    </r>
    <r>
      <rPr>
        <sz val="11"/>
        <color theme="1"/>
        <rFont val="Calibri"/>
        <family val="2"/>
        <charset val="204"/>
        <scheme val="minor"/>
      </rPr>
      <t xml:space="preserve">
 - Руководство не видит актуальный P&amp;L и Cash Flow по компании с учётом сценариев, сдвигов сроков и изменений спецификаций по проектам.
​- Нельзя быстро посчитать несколько сценариев (оптимистичный, базовый, стресс) и понять, какие проекты сейчас реально тянут маржу вниз и создают кассовый разрыв.
​- Штрафы за срыв сроков, курсовые разницы и стоимость денег не встроены в ежедневное управление портфелем и считаются «задним числом».</t>
    </r>
  </si>
  <si>
    <r>
      <rPr>
        <b/>
        <sz val="11"/>
        <color theme="1"/>
        <rFont val="Calibri"/>
        <family val="2"/>
        <charset val="204"/>
        <scheme val="minor"/>
      </rPr>
      <t xml:space="preserve">Коротко: 
Хаос разных планов
</t>
    </r>
    <r>
      <rPr>
        <sz val="11"/>
        <color theme="1"/>
        <rFont val="Calibri"/>
        <family val="2"/>
        <charset val="204"/>
        <scheme val="minor"/>
      </rPr>
      <t>Проектные менеджеры и подразделения видят разные графики — не  собрать единый, согласованный и оптимальный план действий по портфелю</t>
    </r>
    <r>
      <rPr>
        <b/>
        <sz val="11"/>
        <color theme="1"/>
        <rFont val="Calibri"/>
        <family val="2"/>
        <charset val="204"/>
        <scheme val="minor"/>
      </rPr>
      <t xml:space="preserve">
Подробно:
Хаос изменений и отсутствие единого плана, которому доверяют все</t>
    </r>
    <r>
      <rPr>
        <sz val="11"/>
        <color theme="1"/>
        <rFont val="Calibri"/>
        <family val="2"/>
        <charset val="204"/>
        <scheme val="minor"/>
      </rPr>
      <t xml:space="preserve">
 - У проектных менеджеров и у функциональных руководителей всегда разные версии «правильного» плана, никто не уверен, какой из них актуален.
​- Количество прилетающих изменений и разрозненность данных не позволяют собрать единый, согласованный и оптимальный план действий по портфелю.
​- Нет понятной связи: как изменение в одном контракте влияет на загрузку подразделений и сроки по другим проектам, поэтому управляют «по пожарам», а не системой.</t>
    </r>
  </si>
  <si>
    <r>
      <rPr>
        <b/>
        <sz val="11"/>
        <color theme="1"/>
        <rFont val="Calibri"/>
        <family val="2"/>
        <charset val="204"/>
        <scheme val="minor"/>
      </rPr>
      <t xml:space="preserve">Коротко: 
Конфликт экономистов и производственников
</t>
    </r>
    <r>
      <rPr>
        <sz val="11"/>
        <color theme="1"/>
        <rFont val="Calibri"/>
        <family val="2"/>
        <charset val="204"/>
        <scheme val="minor"/>
      </rPr>
      <t>Производство считает маржинальность по проектной деятельности. Эконоимисты - добавляют общефирменны и инвестиционные расходы - разрыв в понимании расходов</t>
    </r>
    <r>
      <rPr>
        <b/>
        <sz val="11"/>
        <color theme="1"/>
        <rFont val="Calibri"/>
        <family val="2"/>
        <charset val="204"/>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</si>
</sst>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204"/>
      <scheme val="minor"/>
    </font>
    <font>
      <b/>
      <sz val="11"/>
      <color theme="1"/>
      <name val="Calibri"/>
      <family val="2"/>
      <charset val="204"/>
      <scheme val="minor"/>
    </font>
    <font>
      <b/>
      <i/>
      <sz val="11"/>
      <color theme="1"/>
      <name val="Calibri"/>
      <family val="2"/>
      <charset val="204"/>
      <scheme val="minor"/>
    </font>
    <font>
      <b/>
      <sz val="11"/>
      <name val="Calibri"/>
      <family val="2"/>
      <charset val="204"/>
      <scheme val="minor"/>
    </font>
    <font>
      <b/>
      <sz val="11"/>
      <color theme="9" tint="-0.499984740745262"/>
      <name val="Calibri"/>
      <family val="2"/>
      <charset val="204"/>
      <scheme val="minor"/>
    </font>
    <font>
      <b/>
      <sz val="11"/>
      <color theme="3" tint="0.39997558519241921"/>
      <name val="Calibri"/>
      <family val="2"/>
      <charset val="204"/>
      <scheme val="minor"/>
    </font>
    <font>
      <b/>
      <sz val="11"/>
      <color theme="7" tint="-0.249977111117893"/>
      <name val="Calibri"/>
      <family val="2"/>
      <charset val="204"/>
      <scheme val="minor"/>
    </font>
    <font>
      <b/>
      <sz val="11"/>
      <color rgb="FF0070C0"/>
      <name val="Calibri"/>
      <family val="2"/>
      <charset val="204"/>
      <scheme val="minor"/>
    </font>
    <font>
      <b/>
      <sz val="9"/>
      <color theme="1"/>
      <name val="Calibri"/>
      <family val="2"/>
      <charset val="204"/>
      <scheme val="minor"/>
    </font>
    <font>
      <b/>
      <sz val="9"/>
      <color theme="7" tint="-0.249977111117893"/>
      <name val="Calibri"/>
      <family val="2"/>
      <charset val="204"/>
      <scheme val="minor"/>
    </font>
    <font>
      <b/>
      <sz val="9"/>
      <color theme="3" tint="0.39997558519241921"/>
      <name val="Calibri"/>
      <family val="2"/>
      <charset val="204"/>
      <scheme val="minor"/>
    </font>
    <font>
      <b/>
      <sz val="9"/>
      <color theme="9" tint="-0.499984740745262"/>
      <name val="Calibri"/>
      <family val="2"/>
      <charset val="204"/>
      <scheme val="minor"/>
    </font>
    <font>
      <b/>
      <sz val="9"/>
      <color rgb="FF0070C0"/>
      <name val="Calibri"/>
      <family val="2"/>
      <charset val="204"/>
      <scheme val="minor"/>
    </font>
    <font>
      <sz val="11"/>
      <color theme="1"/>
      <name val="Calibri"/>
      <family val="2"/>
      <charset val="204"/>
      <scheme val="minor"/>
    </font>
    <font>
      <sz val="10"/>
      <color theme="1"/>
      <name val="Calibri"/>
      <family val="2"/>
      <charset val="204"/>
      <scheme val="minor"/>
    </font>
    <font>
      <sz val="11"/>
      <color theme="9" tint="-0.499984740745262"/>
      <name val="Calibri"/>
      <family val="2"/>
      <charset val="204"/>
      <scheme val="minor"/>
    </font>
    <font>
      <sz val="11"/>
      <name val="Calibri"/>
      <family val="2"/>
      <charset val="204"/>
      <scheme val="minor"/>
    </font>
    <font>
      <u/>
      <sz val="11"/>
      <color theme="1"/>
      <name val="Calibri"/>
      <family val="2"/>
      <charset val="204"/>
      <scheme val="minor"/>
    </font>
    <font>
      <b/>
      <sz val="10"/>
      <color theme="1"/>
      <name val="Calibri"/>
      <family val="2"/>
      <charset val="204"/>
      <scheme val="minor"/>
    </font>
  </fonts>
  <fills count="7">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79998168889431442"/>
        <bgColor indexed="64"/>
      </patternFill>
    </fill>
  </fills>
  <borders count="5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thin">
        <color indexed="64"/>
      </right>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3" fillId="0" borderId="0" applyFont="0" applyFill="0" applyBorder="0" applyAlignment="0" applyProtection="0"/>
  </cellStyleXfs>
  <cellXfs count="141">
    <xf numFmtId="0" fontId="0" fillId="0" borderId="0" xfId="0"/>
    <xf numFmtId="0" fontId="1" fillId="0" borderId="0" xfId="0" applyFont="1"/>
    <xf numFmtId="0" fontId="0" fillId="2" borderId="2" xfId="0" applyFill="1" applyBorder="1" applyAlignment="1">
      <alignment wrapText="1"/>
    </xf>
    <xf numFmtId="0" fontId="0" fillId="0" borderId="14" xfId="0" applyBorder="1" applyAlignment="1">
      <alignment vertical="top" wrapText="1"/>
    </xf>
    <xf numFmtId="0" fontId="0" fillId="0" borderId="11" xfId="0" applyBorder="1" applyAlignment="1">
      <alignment vertical="top" wrapText="1"/>
    </xf>
    <xf numFmtId="0" fontId="0" fillId="2" borderId="15" xfId="0" applyFill="1" applyBorder="1" applyAlignment="1">
      <alignment vertical="top" wrapText="1"/>
    </xf>
    <xf numFmtId="0" fontId="0" fillId="0" borderId="10" xfId="0" applyBorder="1" applyAlignment="1">
      <alignment horizontal="left" vertical="top" wrapText="1"/>
    </xf>
    <xf numFmtId="0" fontId="0" fillId="0" borderId="1" xfId="0" applyBorder="1" applyAlignment="1">
      <alignment wrapText="1"/>
    </xf>
    <xf numFmtId="0" fontId="0" fillId="0" borderId="24" xfId="0" applyBorder="1" applyAlignment="1">
      <alignment vertical="top" wrapText="1"/>
    </xf>
    <xf numFmtId="0" fontId="1" fillId="2" borderId="2" xfId="0" applyFont="1" applyFill="1" applyBorder="1" applyAlignment="1">
      <alignment horizontal="left" vertical="top" wrapText="1"/>
    </xf>
    <xf numFmtId="0" fontId="0" fillId="2" borderId="7" xfId="0" applyFill="1" applyBorder="1" applyAlignment="1">
      <alignment wrapText="1"/>
    </xf>
    <xf numFmtId="0" fontId="0" fillId="2" borderId="16" xfId="0" applyFill="1" applyBorder="1" applyAlignment="1">
      <alignment vertical="top" wrapText="1"/>
    </xf>
    <xf numFmtId="0" fontId="0" fillId="0" borderId="3" xfId="0" applyBorder="1" applyAlignment="1">
      <alignment wrapText="1"/>
    </xf>
    <xf numFmtId="0" fontId="0" fillId="0" borderId="29" xfId="0" applyBorder="1" applyAlignment="1">
      <alignment vertical="top" wrapText="1"/>
    </xf>
    <xf numFmtId="0" fontId="1" fillId="2" borderId="28" xfId="0" applyFont="1" applyFill="1" applyBorder="1" applyAlignment="1">
      <alignment vertical="top" wrapText="1"/>
    </xf>
    <xf numFmtId="0" fontId="0" fillId="0" borderId="12" xfId="0" applyBorder="1" applyAlignment="1">
      <alignment vertical="top" wrapText="1"/>
    </xf>
    <xf numFmtId="0" fontId="0" fillId="0" borderId="0" xfId="0" applyAlignment="1">
      <alignment wrapText="1"/>
    </xf>
    <xf numFmtId="0" fontId="4" fillId="0" borderId="0" xfId="0" applyFont="1" applyAlignment="1">
      <alignment wrapText="1"/>
    </xf>
    <xf numFmtId="0" fontId="0" fillId="0" borderId="5" xfId="0" applyBorder="1" applyAlignment="1">
      <alignment wrapText="1"/>
    </xf>
    <xf numFmtId="0" fontId="0" fillId="0" borderId="4" xfId="0" applyBorder="1" applyAlignment="1">
      <alignment vertical="top" wrapText="1"/>
    </xf>
    <xf numFmtId="0" fontId="1" fillId="0" borderId="0" xfId="0" applyFont="1" applyAlignment="1">
      <alignment wrapText="1"/>
    </xf>
    <xf numFmtId="0" fontId="6" fillId="0" borderId="0" xfId="0" applyFont="1" applyAlignment="1">
      <alignment wrapText="1"/>
    </xf>
    <xf numFmtId="0" fontId="0" fillId="2" borderId="8" xfId="0" applyFill="1" applyBorder="1" applyAlignment="1">
      <alignment vertical="top" wrapText="1"/>
    </xf>
    <xf numFmtId="0" fontId="5" fillId="0" borderId="30" xfId="0" applyFont="1" applyBorder="1" applyAlignment="1">
      <alignment horizontal="center" vertical="center" wrapText="1"/>
    </xf>
    <xf numFmtId="0" fontId="0" fillId="0" borderId="13" xfId="0" applyBorder="1" applyAlignment="1">
      <alignment horizontal="left" vertical="top" wrapText="1"/>
    </xf>
    <xf numFmtId="0" fontId="0" fillId="2" borderId="5" xfId="0" applyFill="1" applyBorder="1" applyAlignment="1">
      <alignment horizontal="left" vertical="top" wrapText="1"/>
    </xf>
    <xf numFmtId="0" fontId="2" fillId="2" borderId="30" xfId="0" applyFont="1" applyFill="1" applyBorder="1" applyAlignment="1">
      <alignment vertical="top" wrapText="1"/>
    </xf>
    <xf numFmtId="0" fontId="0" fillId="2" borderId="30" xfId="0" applyFill="1" applyBorder="1" applyAlignment="1">
      <alignment horizontal="left" vertical="top" wrapText="1"/>
    </xf>
    <xf numFmtId="0" fontId="1" fillId="0" borderId="36" xfId="0" applyFont="1" applyBorder="1" applyAlignment="1">
      <alignment vertical="top" wrapText="1"/>
    </xf>
    <xf numFmtId="0" fontId="1" fillId="0" borderId="41" xfId="0" applyFont="1" applyBorder="1" applyAlignment="1">
      <alignment vertical="top" wrapText="1"/>
    </xf>
    <xf numFmtId="0" fontId="1" fillId="0" borderId="41" xfId="0" applyFont="1" applyBorder="1" applyAlignment="1">
      <alignment wrapText="1"/>
    </xf>
    <xf numFmtId="9" fontId="1" fillId="0" borderId="37" xfId="0" applyNumberFormat="1" applyFont="1" applyBorder="1" applyAlignment="1">
      <alignment horizontal="center" vertical="top" wrapText="1"/>
    </xf>
    <xf numFmtId="0" fontId="1" fillId="0" borderId="39" xfId="0" applyFont="1" applyBorder="1" applyAlignment="1">
      <alignment vertical="top" wrapText="1"/>
    </xf>
    <xf numFmtId="0" fontId="1" fillId="0" borderId="12" xfId="0" applyFont="1" applyBorder="1" applyAlignment="1">
      <alignment wrapText="1"/>
    </xf>
    <xf numFmtId="0" fontId="1" fillId="0" borderId="14" xfId="0" applyFont="1" applyBorder="1" applyAlignment="1">
      <alignment wrapText="1"/>
    </xf>
    <xf numFmtId="0" fontId="1" fillId="4" borderId="44" xfId="0" applyFont="1" applyFill="1" applyBorder="1" applyAlignment="1">
      <alignment horizontal="left" vertical="top" wrapText="1"/>
    </xf>
    <xf numFmtId="0" fontId="1" fillId="0" borderId="22" xfId="0" applyFont="1" applyBorder="1" applyAlignment="1">
      <alignment horizontal="left" vertical="top" wrapText="1"/>
    </xf>
    <xf numFmtId="0" fontId="1" fillId="0" borderId="45" xfId="0" applyFont="1" applyBorder="1" applyAlignment="1">
      <alignment horizontal="left" vertical="top" wrapText="1"/>
    </xf>
    <xf numFmtId="0" fontId="1" fillId="2" borderId="43" xfId="0" applyFont="1" applyFill="1" applyBorder="1" applyAlignment="1">
      <alignment wrapText="1"/>
    </xf>
    <xf numFmtId="0" fontId="1" fillId="3" borderId="43" xfId="0" applyFont="1" applyFill="1" applyBorder="1" applyAlignment="1">
      <alignment vertical="top" wrapText="1"/>
    </xf>
    <xf numFmtId="0" fontId="1" fillId="0" borderId="38" xfId="0" applyFont="1" applyBorder="1" applyAlignment="1">
      <alignment horizontal="center" vertical="top" wrapText="1"/>
    </xf>
    <xf numFmtId="0" fontId="1" fillId="0" borderId="42" xfId="0" applyFont="1" applyBorder="1" applyAlignment="1">
      <alignment horizontal="left" vertical="top" wrapText="1"/>
    </xf>
    <xf numFmtId="0" fontId="5" fillId="0" borderId="5" xfId="0" applyFont="1" applyBorder="1" applyAlignment="1">
      <alignment horizontal="center" vertical="center" wrapText="1"/>
    </xf>
    <xf numFmtId="0" fontId="1" fillId="0" borderId="33" xfId="0" applyFont="1" applyBorder="1" applyAlignment="1">
      <alignment wrapText="1"/>
    </xf>
    <xf numFmtId="9" fontId="6" fillId="0" borderId="40" xfId="0" applyNumberFormat="1" applyFont="1" applyBorder="1" applyAlignment="1">
      <alignment horizontal="center" vertical="center"/>
    </xf>
    <xf numFmtId="9" fontId="1" fillId="0" borderId="37" xfId="1" applyFont="1" applyFill="1" applyBorder="1" applyAlignment="1">
      <alignment horizontal="center" vertical="center" wrapText="1"/>
    </xf>
    <xf numFmtId="0" fontId="0" fillId="0" borderId="35" xfId="0" applyBorder="1" applyAlignment="1">
      <alignment wrapText="1"/>
    </xf>
    <xf numFmtId="0" fontId="0" fillId="0" borderId="35" xfId="0" applyBorder="1" applyAlignment="1">
      <alignment horizontal="left" wrapText="1"/>
    </xf>
    <xf numFmtId="0" fontId="1" fillId="0" borderId="32" xfId="0" applyFont="1" applyBorder="1" applyAlignment="1">
      <alignment vertical="top" wrapText="1"/>
    </xf>
    <xf numFmtId="0" fontId="2" fillId="0" borderId="19" xfId="0" applyFont="1" applyBorder="1" applyAlignment="1">
      <alignment vertical="top" wrapText="1"/>
    </xf>
    <xf numFmtId="9" fontId="0" fillId="0" borderId="46" xfId="1" applyFont="1" applyFill="1" applyBorder="1" applyAlignment="1">
      <alignment horizontal="left" vertical="center" wrapText="1"/>
    </xf>
    <xf numFmtId="0" fontId="3" fillId="0" borderId="48" xfId="0" applyFont="1" applyBorder="1" applyAlignment="1">
      <alignment horizontal="left" vertical="center" wrapText="1"/>
    </xf>
    <xf numFmtId="0" fontId="1" fillId="0" borderId="49" xfId="0" applyFont="1" applyBorder="1" applyAlignment="1">
      <alignment horizontal="left" vertical="top" wrapText="1"/>
    </xf>
    <xf numFmtId="0" fontId="0" fillId="0" borderId="47" xfId="0" applyBorder="1" applyAlignment="1">
      <alignment wrapText="1"/>
    </xf>
    <xf numFmtId="0" fontId="16" fillId="0" borderId="47" xfId="0" applyFont="1" applyBorder="1" applyAlignment="1">
      <alignment horizontal="left" vertical="center" wrapText="1"/>
    </xf>
    <xf numFmtId="0" fontId="4" fillId="0" borderId="47" xfId="0" applyFont="1" applyBorder="1" applyAlignment="1">
      <alignment horizontal="left" vertical="center" wrapText="1"/>
    </xf>
    <xf numFmtId="0" fontId="1" fillId="0" borderId="50" xfId="0" applyFont="1" applyBorder="1" applyAlignment="1">
      <alignment horizontal="left" vertical="top" wrapText="1"/>
    </xf>
    <xf numFmtId="0" fontId="0" fillId="0" borderId="30" xfId="0" applyBorder="1" applyAlignment="1">
      <alignment wrapText="1"/>
    </xf>
    <xf numFmtId="0" fontId="0" fillId="0" borderId="30" xfId="0" applyBorder="1" applyAlignment="1">
      <alignment horizontal="right" wrapText="1"/>
    </xf>
    <xf numFmtId="9" fontId="8" fillId="0" borderId="0" xfId="0" applyNumberFormat="1" applyFont="1" applyAlignment="1">
      <alignment wrapText="1"/>
    </xf>
    <xf numFmtId="9" fontId="9" fillId="0" borderId="0" xfId="0" applyNumberFormat="1" applyFont="1" applyAlignment="1">
      <alignment wrapText="1"/>
    </xf>
    <xf numFmtId="9" fontId="10" fillId="0" borderId="0" xfId="0" applyNumberFormat="1" applyFont="1" applyAlignment="1">
      <alignment wrapText="1"/>
    </xf>
    <xf numFmtId="9" fontId="11" fillId="0" borderId="0" xfId="0" applyNumberFormat="1" applyFont="1" applyAlignment="1">
      <alignment wrapText="1"/>
    </xf>
    <xf numFmtId="9" fontId="12" fillId="0" borderId="0" xfId="0" applyNumberFormat="1" applyFont="1" applyAlignment="1">
      <alignment wrapText="1"/>
    </xf>
    <xf numFmtId="0" fontId="5" fillId="0" borderId="0" xfId="0" applyFont="1" applyAlignment="1">
      <alignment wrapText="1"/>
    </xf>
    <xf numFmtId="0" fontId="7" fillId="0" borderId="0" xfId="0" applyFont="1" applyAlignment="1">
      <alignment wrapText="1"/>
    </xf>
    <xf numFmtId="16" fontId="0" fillId="0" borderId="30" xfId="0" applyNumberFormat="1" applyBorder="1" applyAlignment="1">
      <alignment horizontal="right" wrapText="1"/>
    </xf>
    <xf numFmtId="9" fontId="1" fillId="0" borderId="34" xfId="0" applyNumberFormat="1" applyFont="1" applyBorder="1" applyAlignment="1">
      <alignment horizontal="center" vertical="top" wrapText="1"/>
    </xf>
    <xf numFmtId="9" fontId="1" fillId="0" borderId="0" xfId="1" applyFont="1" applyFill="1" applyBorder="1" applyAlignment="1">
      <alignment horizontal="center" vertical="center" wrapText="1"/>
    </xf>
    <xf numFmtId="9" fontId="6" fillId="0" borderId="0" xfId="0" applyNumberFormat="1" applyFont="1" applyAlignment="1">
      <alignment horizontal="center" vertical="center"/>
    </xf>
    <xf numFmtId="0" fontId="1" fillId="0" borderId="20" xfId="0" applyFont="1" applyBorder="1" applyAlignment="1">
      <alignment horizontal="left" vertical="top" wrapText="1"/>
    </xf>
    <xf numFmtId="0" fontId="16" fillId="2" borderId="47" xfId="0" applyFont="1" applyFill="1" applyBorder="1" applyAlignment="1">
      <alignment horizontal="left" vertical="center" wrapText="1"/>
    </xf>
    <xf numFmtId="0" fontId="15" fillId="6" borderId="47" xfId="0" applyFont="1" applyFill="1" applyBorder="1" applyAlignment="1">
      <alignment horizontal="left" vertical="center" wrapText="1"/>
    </xf>
    <xf numFmtId="0" fontId="0" fillId="0" borderId="0" xfId="0" applyAlignment="1">
      <alignment horizontal="left"/>
    </xf>
    <xf numFmtId="16" fontId="0" fillId="0" borderId="30" xfId="0" applyNumberFormat="1" applyBorder="1" applyAlignment="1">
      <alignment horizontal="left"/>
    </xf>
    <xf numFmtId="0" fontId="0" fillId="0" borderId="30" xfId="0" applyBorder="1" applyAlignment="1">
      <alignment horizontal="left"/>
    </xf>
    <xf numFmtId="0" fontId="1" fillId="0" borderId="43" xfId="0" applyFont="1" applyBorder="1" applyAlignment="1">
      <alignment horizontal="left" vertical="top" wrapText="1"/>
    </xf>
    <xf numFmtId="0" fontId="1" fillId="0" borderId="0" xfId="0" applyFont="1" applyAlignment="1">
      <alignment horizontal="left"/>
    </xf>
    <xf numFmtId="0" fontId="6" fillId="0" borderId="0" xfId="0" applyFont="1" applyAlignment="1">
      <alignment horizontal="left"/>
    </xf>
    <xf numFmtId="0" fontId="4" fillId="0" borderId="0" xfId="0" applyFont="1" applyAlignment="1">
      <alignment horizontal="left"/>
    </xf>
    <xf numFmtId="0" fontId="3" fillId="2" borderId="47" xfId="0" applyFont="1" applyFill="1" applyBorder="1" applyAlignment="1">
      <alignment horizontal="left" vertical="center" wrapText="1"/>
    </xf>
    <xf numFmtId="0" fontId="1" fillId="2" borderId="47" xfId="0" applyFont="1" applyFill="1" applyBorder="1" applyAlignment="1">
      <alignment wrapText="1"/>
    </xf>
    <xf numFmtId="0" fontId="3" fillId="5" borderId="47" xfId="0" applyFont="1" applyFill="1" applyBorder="1" applyAlignment="1">
      <alignment horizontal="left" vertical="center" wrapText="1"/>
    </xf>
    <xf numFmtId="0" fontId="0" fillId="0" borderId="30" xfId="0" applyBorder="1"/>
    <xf numFmtId="16" fontId="0" fillId="0" borderId="0" xfId="0" applyNumberFormat="1"/>
    <xf numFmtId="16" fontId="0" fillId="4" borderId="0" xfId="0" applyNumberFormat="1" applyFill="1"/>
    <xf numFmtId="0" fontId="0" fillId="4" borderId="30" xfId="0" applyFill="1" applyBorder="1"/>
    <xf numFmtId="0" fontId="0" fillId="0" borderId="30" xfId="0" applyBorder="1" applyAlignment="1">
      <alignment horizontal="center" vertical="center"/>
    </xf>
    <xf numFmtId="0" fontId="1" fillId="0" borderId="39" xfId="0" applyFont="1" applyBorder="1" applyAlignment="1">
      <alignment horizontal="left" vertical="top" wrapText="1"/>
    </xf>
    <xf numFmtId="0" fontId="1" fillId="0" borderId="52" xfId="0" applyFont="1" applyBorder="1" applyAlignment="1">
      <alignment horizontal="center" vertical="top" wrapText="1"/>
    </xf>
    <xf numFmtId="16" fontId="0" fillId="0" borderId="53" xfId="0" applyNumberFormat="1" applyBorder="1" applyAlignment="1">
      <alignment horizontal="left"/>
    </xf>
    <xf numFmtId="0" fontId="0" fillId="0" borderId="54" xfId="0" applyBorder="1" applyAlignment="1">
      <alignment horizontal="left"/>
    </xf>
    <xf numFmtId="0" fontId="0" fillId="0" borderId="6" xfId="0" applyBorder="1" applyAlignment="1">
      <alignment horizontal="left"/>
    </xf>
    <xf numFmtId="0" fontId="1" fillId="0" borderId="19" xfId="0" applyFont="1" applyBorder="1" applyAlignment="1">
      <alignment horizontal="left" vertical="top" wrapText="1"/>
    </xf>
    <xf numFmtId="0" fontId="0" fillId="0" borderId="54" xfId="0" applyBorder="1" applyAlignment="1">
      <alignment horizontal="left" wrapText="1"/>
    </xf>
    <xf numFmtId="16" fontId="0" fillId="0" borderId="30" xfId="0" applyNumberFormat="1" applyBorder="1" applyAlignment="1">
      <alignment horizontal="left" wrapText="1"/>
    </xf>
    <xf numFmtId="0" fontId="0" fillId="2" borderId="47" xfId="0" applyFill="1" applyBorder="1" applyAlignment="1">
      <alignment wrapText="1"/>
    </xf>
    <xf numFmtId="0" fontId="1" fillId="0" borderId="31" xfId="0" applyFont="1" applyBorder="1" applyAlignment="1">
      <alignment horizontal="left" wrapText="1"/>
    </xf>
    <xf numFmtId="0" fontId="1" fillId="0" borderId="34" xfId="0" applyFont="1" applyBorder="1" applyAlignment="1">
      <alignment horizontal="left" wrapText="1"/>
    </xf>
    <xf numFmtId="0" fontId="1" fillId="0" borderId="13" xfId="0" applyFont="1" applyBorder="1" applyAlignment="1">
      <alignment horizontal="left" wrapText="1"/>
    </xf>
    <xf numFmtId="0" fontId="1" fillId="0" borderId="12" xfId="0" applyFont="1" applyBorder="1" applyAlignment="1">
      <alignment horizontal="left" wrapText="1"/>
    </xf>
    <xf numFmtId="0" fontId="1" fillId="0" borderId="39" xfId="0" applyFont="1" applyBorder="1" applyAlignment="1">
      <alignment horizontal="left" wrapText="1"/>
    </xf>
    <xf numFmtId="0" fontId="1" fillId="2" borderId="19" xfId="0" applyFont="1" applyFill="1" applyBorder="1" applyAlignment="1">
      <alignment horizontal="left" vertical="top" wrapText="1"/>
    </xf>
    <xf numFmtId="0" fontId="1" fillId="2" borderId="20" xfId="0" applyFont="1" applyFill="1" applyBorder="1" applyAlignment="1">
      <alignment horizontal="left" vertical="top" wrapText="1"/>
    </xf>
    <xf numFmtId="0" fontId="1" fillId="2" borderId="21" xfId="0" applyFont="1" applyFill="1" applyBorder="1" applyAlignment="1">
      <alignment horizontal="left" vertical="top" wrapText="1"/>
    </xf>
    <xf numFmtId="0" fontId="1" fillId="2" borderId="22" xfId="0" applyFont="1" applyFill="1" applyBorder="1" applyAlignment="1">
      <alignment horizontal="left" vertical="top" wrapText="1"/>
    </xf>
    <xf numFmtId="0" fontId="1" fillId="2" borderId="23" xfId="0" applyFont="1" applyFill="1" applyBorder="1" applyAlignment="1">
      <alignment horizontal="left" vertical="top" wrapText="1"/>
    </xf>
    <xf numFmtId="0" fontId="1" fillId="0" borderId="25" xfId="0" applyFont="1" applyBorder="1" applyAlignment="1">
      <alignment horizontal="center"/>
    </xf>
    <xf numFmtId="0" fontId="1" fillId="0" borderId="26" xfId="0" applyFont="1" applyBorder="1" applyAlignment="1">
      <alignment horizontal="center"/>
    </xf>
    <xf numFmtId="0" fontId="1" fillId="0" borderId="27" xfId="0" applyFont="1" applyBorder="1" applyAlignment="1">
      <alignment horizontal="center"/>
    </xf>
    <xf numFmtId="0" fontId="1" fillId="0" borderId="31" xfId="0" applyFont="1" applyBorder="1" applyAlignment="1">
      <alignment horizontal="left" vertical="top" wrapText="1"/>
    </xf>
    <xf numFmtId="0" fontId="1" fillId="0" borderId="39" xfId="0" applyFont="1" applyBorder="1" applyAlignment="1">
      <alignment horizontal="left" vertical="top" wrapText="1"/>
    </xf>
    <xf numFmtId="0" fontId="14" fillId="0" borderId="32" xfId="0" applyFont="1" applyBorder="1" applyAlignment="1">
      <alignment horizontal="left" vertical="top" wrapText="1"/>
    </xf>
    <xf numFmtId="0" fontId="14" fillId="0" borderId="40" xfId="0" applyFont="1" applyBorder="1" applyAlignment="1">
      <alignment horizontal="left" vertical="top" wrapText="1"/>
    </xf>
    <xf numFmtId="0" fontId="14" fillId="0" borderId="19" xfId="0" applyFont="1" applyBorder="1" applyAlignment="1">
      <alignment horizontal="left" vertical="top" wrapText="1"/>
    </xf>
    <xf numFmtId="0" fontId="14" fillId="0" borderId="23" xfId="0" applyFont="1" applyBorder="1" applyAlignment="1">
      <alignment horizontal="left" vertical="top" wrapText="1"/>
    </xf>
    <xf numFmtId="0" fontId="0" fillId="0" borderId="42" xfId="0" applyBorder="1" applyAlignment="1">
      <alignment horizontal="left" vertical="top" wrapText="1"/>
    </xf>
    <xf numFmtId="0" fontId="0" fillId="0" borderId="41" xfId="0" applyBorder="1" applyAlignment="1">
      <alignment horizontal="left" vertical="top" wrapText="1"/>
    </xf>
    <xf numFmtId="0" fontId="14" fillId="0" borderId="42" xfId="0" applyFont="1" applyBorder="1" applyAlignment="1">
      <alignment horizontal="left" vertical="top" wrapText="1"/>
    </xf>
    <xf numFmtId="0" fontId="14" fillId="0" borderId="43" xfId="0" applyFont="1" applyBorder="1" applyAlignment="1">
      <alignment horizontal="left" vertical="top" wrapText="1"/>
    </xf>
    <xf numFmtId="0" fontId="0" fillId="0" borderId="30" xfId="0" applyBorder="1" applyAlignment="1">
      <alignment horizontal="center" vertical="center"/>
    </xf>
    <xf numFmtId="0" fontId="0" fillId="0" borderId="30" xfId="0"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51" xfId="0" applyBorder="1" applyAlignment="1">
      <alignment horizontal="center" vertical="center"/>
    </xf>
    <xf numFmtId="0" fontId="0" fillId="2" borderId="19" xfId="0" applyFill="1" applyBorder="1" applyAlignment="1">
      <alignment horizontal="left" vertical="top" wrapText="1"/>
    </xf>
    <xf numFmtId="0" fontId="0" fillId="2" borderId="20" xfId="0" applyFill="1" applyBorder="1" applyAlignment="1">
      <alignment horizontal="left" vertical="top" wrapText="1"/>
    </xf>
    <xf numFmtId="0" fontId="0" fillId="2" borderId="21" xfId="0" applyFill="1" applyBorder="1" applyAlignment="1">
      <alignment horizontal="left" vertical="top" wrapText="1"/>
    </xf>
    <xf numFmtId="0" fontId="0" fillId="2" borderId="22" xfId="0" applyFill="1" applyBorder="1" applyAlignment="1">
      <alignment horizontal="left" vertical="top" wrapText="1"/>
    </xf>
    <xf numFmtId="0" fontId="0" fillId="2" borderId="23" xfId="0" applyFill="1"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0" fillId="0" borderId="17" xfId="0" applyBorder="1" applyAlignment="1">
      <alignment horizontal="left" wrapText="1"/>
    </xf>
    <xf numFmtId="0" fontId="0" fillId="0" borderId="9" xfId="0" applyBorder="1" applyAlignment="1">
      <alignment horizontal="left" wrapText="1"/>
    </xf>
    <xf numFmtId="0" fontId="0" fillId="0" borderId="4" xfId="0" applyBorder="1" applyAlignment="1">
      <alignment horizontal="left" wrapText="1"/>
    </xf>
    <xf numFmtId="0" fontId="0" fillId="0" borderId="3" xfId="0" applyBorder="1" applyAlignment="1">
      <alignment horizontal="left" wrapText="1"/>
    </xf>
    <xf numFmtId="0" fontId="0" fillId="0" borderId="18" xfId="0" applyBorder="1" applyAlignment="1">
      <alignment horizontal="left" wrapText="1"/>
    </xf>
  </cellXfs>
  <cellStyles count="2">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1052;&#1086;&#1076;&#1077;&#1083;&#1080;&#1059;&#1087;&#1088;!A1"/></Relationships>
</file>

<file path=xl/drawings/drawing1.xml><?xml version="1.0" encoding="utf-8"?>
<xdr:wsDr xmlns:xdr="http://schemas.openxmlformats.org/drawingml/2006/spreadsheetDrawing" xmlns:a="http://schemas.openxmlformats.org/drawingml/2006/main">
  <xdr:oneCellAnchor>
    <xdr:from>
      <xdr:col>0</xdr:col>
      <xdr:colOff>149087</xdr:colOff>
      <xdr:row>0</xdr:row>
      <xdr:rowOff>190501</xdr:rowOff>
    </xdr:from>
    <xdr:ext cx="184298" cy="229224"/>
    <xdr:pic>
      <xdr:nvPicPr>
        <xdr:cNvPr id="2" name="Picture 2" descr="Назад – Бесплатные иконки: стрелы">
          <a:hlinkClick xmlns:r="http://schemas.openxmlformats.org/officeDocument/2006/relationships" r:id="rId1"/>
          <a:extLst>
            <a:ext uri="{FF2B5EF4-FFF2-40B4-BE49-F238E27FC236}">
              <a16:creationId xmlns:a16="http://schemas.microsoft.com/office/drawing/2014/main" id="{58BF6968-3D7E-4506-BD8E-089CA46265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9087" y="182881"/>
          <a:ext cx="184298" cy="2292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7ABC-67E8-4C0C-BA42-80A8CD7DA1AA}">
  <dimension ref="B1:Q40"/>
  <sheetViews>
    <sheetView tabSelected="1" topLeftCell="G1" zoomScale="110" zoomScaleNormal="110" workbookViewId="0">
      <pane ySplit="3" topLeftCell="A20" activePane="bottomLeft" state="frozen"/>
      <selection pane="bottomLeft" activeCell="N28" sqref="N28"/>
    </sheetView>
  </sheetViews>
  <sheetFormatPr defaultRowHeight="15" x14ac:dyDescent="0.25"/>
  <cols>
    <col min="1" max="1" width="1.5703125" customWidth="1"/>
    <col min="2" max="2" width="104.140625" style="16" customWidth="1"/>
    <col min="3" max="3" width="12.140625" style="73" bestFit="1" customWidth="1"/>
    <col min="4" max="4" width="80.140625" style="73" customWidth="1"/>
    <col min="5" max="5" width="7.42578125" style="73" customWidth="1"/>
    <col min="6" max="6" width="89.28515625" style="16" customWidth="1"/>
    <col min="7" max="7" width="11" style="16" customWidth="1"/>
    <col min="8" max="8" width="10.7109375" customWidth="1"/>
    <col min="9" max="9" width="10.140625" customWidth="1"/>
    <col min="10" max="10" width="15.7109375" customWidth="1"/>
    <col min="11" max="11" width="21.42578125" customWidth="1"/>
    <col min="12" max="12" width="33.140625" customWidth="1"/>
    <col min="13" max="13" width="27.7109375" customWidth="1"/>
    <col min="14" max="14" width="41.7109375" customWidth="1"/>
    <col min="17" max="17" width="44.7109375" customWidth="1"/>
  </cols>
  <sheetData>
    <row r="1" spans="2:17" ht="15.75" thickBot="1" x14ac:dyDescent="0.3">
      <c r="B1" s="20" t="s">
        <v>26</v>
      </c>
    </row>
    <row r="2" spans="2:17" ht="15.75" thickBot="1" x14ac:dyDescent="0.3">
      <c r="B2" s="107" t="s">
        <v>11</v>
      </c>
      <c r="C2" s="108"/>
      <c r="D2" s="108"/>
      <c r="E2" s="108"/>
      <c r="F2" s="108"/>
      <c r="G2" s="108"/>
      <c r="H2" s="108"/>
      <c r="I2" s="108"/>
      <c r="J2" s="109"/>
      <c r="K2" s="107" t="s">
        <v>12</v>
      </c>
      <c r="L2" s="108"/>
      <c r="M2" s="108"/>
      <c r="N2" s="109"/>
    </row>
    <row r="3" spans="2:17" ht="15.75" customHeight="1" thickBot="1" x14ac:dyDescent="0.3">
      <c r="B3" s="52" t="s">
        <v>8</v>
      </c>
      <c r="C3" s="40" t="s">
        <v>22</v>
      </c>
      <c r="D3" s="89" t="s">
        <v>115</v>
      </c>
      <c r="E3" s="89"/>
      <c r="F3" s="28" t="s">
        <v>0</v>
      </c>
      <c r="G3" s="40" t="s">
        <v>22</v>
      </c>
      <c r="H3" s="31" t="s">
        <v>73</v>
      </c>
      <c r="I3" s="67" t="s">
        <v>72</v>
      </c>
      <c r="J3" s="110" t="s">
        <v>6</v>
      </c>
      <c r="K3" s="111"/>
      <c r="L3" s="88" t="s">
        <v>120</v>
      </c>
      <c r="M3" s="29" t="s">
        <v>4</v>
      </c>
      <c r="N3" s="32" t="s">
        <v>9</v>
      </c>
    </row>
    <row r="4" spans="2:17" ht="195.75" thickBot="1" x14ac:dyDescent="0.3">
      <c r="B4" s="96" t="s">
        <v>116</v>
      </c>
      <c r="C4" s="74" t="s">
        <v>87</v>
      </c>
      <c r="D4" s="95" t="s">
        <v>122</v>
      </c>
      <c r="E4" s="90"/>
      <c r="F4" s="50" t="s">
        <v>68</v>
      </c>
      <c r="G4" s="57">
        <v>1</v>
      </c>
      <c r="H4" s="45">
        <v>0</v>
      </c>
      <c r="I4" s="68">
        <v>0.5</v>
      </c>
      <c r="J4" s="112" t="s">
        <v>113</v>
      </c>
      <c r="K4" s="113"/>
      <c r="L4" s="118" t="s">
        <v>121</v>
      </c>
      <c r="M4" s="116"/>
      <c r="N4" s="117" t="s">
        <v>31</v>
      </c>
      <c r="Q4" s="16" t="s">
        <v>27</v>
      </c>
    </row>
    <row r="5" spans="2:17" ht="199.5" customHeight="1" thickBot="1" x14ac:dyDescent="0.3">
      <c r="B5" s="53" t="s">
        <v>117</v>
      </c>
      <c r="C5" s="75">
        <v>6</v>
      </c>
      <c r="D5" s="94" t="s">
        <v>123</v>
      </c>
      <c r="E5" s="91"/>
      <c r="F5" s="46" t="s">
        <v>70</v>
      </c>
      <c r="G5" s="58" t="s">
        <v>55</v>
      </c>
      <c r="H5" s="45">
        <v>0</v>
      </c>
      <c r="I5" s="68">
        <v>0.5</v>
      </c>
      <c r="J5" s="112"/>
      <c r="K5" s="113"/>
      <c r="L5" s="118"/>
      <c r="M5" s="116"/>
      <c r="N5" s="116"/>
      <c r="Q5" s="16" t="s">
        <v>28</v>
      </c>
    </row>
    <row r="6" spans="2:17" ht="210.75" thickBot="1" x14ac:dyDescent="0.3">
      <c r="B6" s="96" t="s">
        <v>118</v>
      </c>
      <c r="C6" s="75"/>
      <c r="D6" s="94" t="s">
        <v>124</v>
      </c>
      <c r="E6" s="91"/>
      <c r="F6" s="46" t="s">
        <v>69</v>
      </c>
      <c r="G6" s="58" t="s">
        <v>53</v>
      </c>
      <c r="H6" s="45">
        <v>0</v>
      </c>
      <c r="I6" s="68">
        <v>0.3</v>
      </c>
      <c r="J6" s="112"/>
      <c r="K6" s="113"/>
      <c r="L6" s="118"/>
      <c r="M6" s="116"/>
      <c r="N6" s="116"/>
      <c r="Q6" s="16" t="s">
        <v>29</v>
      </c>
    </row>
    <row r="7" spans="2:17" ht="135.75" thickBot="1" x14ac:dyDescent="0.3">
      <c r="B7" s="80" t="s">
        <v>37</v>
      </c>
      <c r="C7" s="75">
        <v>2</v>
      </c>
      <c r="D7" s="91"/>
      <c r="E7" s="91"/>
      <c r="F7" s="46" t="s">
        <v>71</v>
      </c>
      <c r="G7" s="58">
        <v>1</v>
      </c>
      <c r="H7" s="45">
        <v>0.5</v>
      </c>
      <c r="I7" s="68">
        <v>0</v>
      </c>
      <c r="J7" s="112"/>
      <c r="K7" s="113"/>
      <c r="L7" s="118"/>
      <c r="M7" s="116"/>
      <c r="N7" s="116"/>
      <c r="Q7" s="16" t="s">
        <v>30</v>
      </c>
    </row>
    <row r="8" spans="2:17" ht="20.25" customHeight="1" thickBot="1" x14ac:dyDescent="0.3">
      <c r="B8" s="81" t="s">
        <v>38</v>
      </c>
      <c r="C8" s="75">
        <v>8</v>
      </c>
      <c r="D8" s="91"/>
      <c r="E8" s="91"/>
      <c r="F8" s="47" t="s">
        <v>44</v>
      </c>
      <c r="G8" s="58" t="s">
        <v>50</v>
      </c>
      <c r="H8" s="45">
        <v>0</v>
      </c>
      <c r="I8" s="68">
        <v>0</v>
      </c>
      <c r="J8" s="112"/>
      <c r="K8" s="113"/>
      <c r="L8" s="118"/>
      <c r="M8" s="116"/>
      <c r="N8" s="116"/>
      <c r="Q8" s="16" t="s">
        <v>33</v>
      </c>
    </row>
    <row r="9" spans="2:17" ht="24.75" customHeight="1" thickBot="1" x14ac:dyDescent="0.3">
      <c r="B9" s="54" t="s">
        <v>47</v>
      </c>
      <c r="C9" s="75">
        <v>9</v>
      </c>
      <c r="D9" s="91"/>
      <c r="E9" s="91"/>
      <c r="F9" s="47" t="s">
        <v>45</v>
      </c>
      <c r="G9" s="58">
        <v>2</v>
      </c>
      <c r="H9" s="45">
        <v>0</v>
      </c>
      <c r="I9" s="68">
        <v>0</v>
      </c>
      <c r="J9" s="112"/>
      <c r="K9" s="113"/>
      <c r="L9" s="118"/>
      <c r="M9" s="116"/>
      <c r="N9" s="116"/>
    </row>
    <row r="10" spans="2:17" ht="45.75" thickBot="1" x14ac:dyDescent="0.3">
      <c r="B10" s="82" t="s">
        <v>39</v>
      </c>
      <c r="C10" s="75">
        <v>5</v>
      </c>
      <c r="D10" s="91"/>
      <c r="E10" s="91"/>
      <c r="F10" s="47" t="s">
        <v>74</v>
      </c>
      <c r="G10" s="58" t="s">
        <v>62</v>
      </c>
      <c r="H10" s="45">
        <v>0</v>
      </c>
      <c r="I10" s="68">
        <v>0</v>
      </c>
      <c r="J10" s="112"/>
      <c r="K10" s="113"/>
      <c r="L10" s="118"/>
      <c r="M10" s="116"/>
      <c r="N10" s="116"/>
    </row>
    <row r="11" spans="2:17" ht="15.75" thickBot="1" x14ac:dyDescent="0.3">
      <c r="B11" s="82" t="s">
        <v>40</v>
      </c>
      <c r="C11" s="75" t="s">
        <v>82</v>
      </c>
      <c r="D11" s="91"/>
      <c r="E11" s="91"/>
      <c r="F11" s="47" t="s">
        <v>46</v>
      </c>
      <c r="G11" s="58" t="s">
        <v>54</v>
      </c>
      <c r="H11" s="45">
        <v>1</v>
      </c>
      <c r="I11" s="68">
        <v>0</v>
      </c>
      <c r="J11" s="112"/>
      <c r="K11" s="113"/>
      <c r="L11" s="118"/>
      <c r="M11" s="116"/>
      <c r="N11" s="116"/>
    </row>
    <row r="12" spans="2:17" ht="30.75" thickBot="1" x14ac:dyDescent="0.3">
      <c r="B12" s="53" t="s">
        <v>41</v>
      </c>
      <c r="C12" s="75" t="s">
        <v>83</v>
      </c>
      <c r="D12" s="91"/>
      <c r="E12" s="91"/>
      <c r="F12" s="47" t="s">
        <v>49</v>
      </c>
      <c r="G12" s="58" t="s">
        <v>48</v>
      </c>
      <c r="H12" s="45">
        <v>0</v>
      </c>
      <c r="I12" s="68">
        <v>0.8</v>
      </c>
      <c r="J12" s="112"/>
      <c r="K12" s="113"/>
      <c r="L12" s="118"/>
      <c r="M12" s="116"/>
      <c r="N12" s="116"/>
    </row>
    <row r="13" spans="2:17" ht="15.75" thickBot="1" x14ac:dyDescent="0.3">
      <c r="B13" s="54" t="s">
        <v>42</v>
      </c>
      <c r="C13" s="75" t="s">
        <v>84</v>
      </c>
      <c r="D13" s="91"/>
      <c r="E13" s="91"/>
      <c r="F13" s="47" t="s">
        <v>51</v>
      </c>
      <c r="G13" s="58" t="s">
        <v>52</v>
      </c>
      <c r="H13" s="45">
        <v>1</v>
      </c>
      <c r="I13" s="68">
        <v>0</v>
      </c>
      <c r="J13" s="112"/>
      <c r="K13" s="113"/>
      <c r="L13" s="118"/>
      <c r="M13" s="116"/>
      <c r="N13" s="116"/>
    </row>
    <row r="14" spans="2:17" ht="15.75" thickBot="1" x14ac:dyDescent="0.3">
      <c r="B14" s="54" t="s">
        <v>43</v>
      </c>
      <c r="C14" s="75">
        <v>7</v>
      </c>
      <c r="D14" s="91"/>
      <c r="E14" s="91"/>
      <c r="F14" s="47" t="s">
        <v>56</v>
      </c>
      <c r="G14" s="58" t="s">
        <v>57</v>
      </c>
      <c r="H14" s="45">
        <v>0</v>
      </c>
      <c r="I14" s="68">
        <v>0.1</v>
      </c>
      <c r="J14" s="112"/>
      <c r="K14" s="113"/>
      <c r="L14" s="118"/>
      <c r="M14" s="116"/>
      <c r="N14" s="116"/>
    </row>
    <row r="15" spans="2:17" ht="199.5" customHeight="1" thickBot="1" x14ac:dyDescent="0.3">
      <c r="B15" s="71" t="s">
        <v>34</v>
      </c>
      <c r="C15" s="75" t="s">
        <v>85</v>
      </c>
      <c r="D15" s="94" t="s">
        <v>125</v>
      </c>
      <c r="E15" s="91"/>
      <c r="F15" s="47" t="s">
        <v>58</v>
      </c>
      <c r="G15" s="58" t="s">
        <v>57</v>
      </c>
      <c r="H15" s="45">
        <v>0.5</v>
      </c>
      <c r="I15" s="68">
        <v>0</v>
      </c>
      <c r="J15" s="112"/>
      <c r="K15" s="113"/>
      <c r="L15" s="118"/>
      <c r="M15" s="116"/>
      <c r="N15" s="116"/>
    </row>
    <row r="16" spans="2:17" ht="210.75" thickBot="1" x14ac:dyDescent="0.3">
      <c r="B16" s="54" t="s">
        <v>35</v>
      </c>
      <c r="C16" s="75">
        <v>17</v>
      </c>
      <c r="D16" s="94" t="s">
        <v>126</v>
      </c>
      <c r="E16" s="91"/>
      <c r="F16" s="47" t="s">
        <v>60</v>
      </c>
      <c r="G16" s="66" t="s">
        <v>59</v>
      </c>
      <c r="H16" s="45">
        <v>0</v>
      </c>
      <c r="I16" s="68">
        <v>0</v>
      </c>
      <c r="J16" s="112"/>
      <c r="K16" s="113"/>
      <c r="L16" s="118"/>
      <c r="M16" s="116"/>
      <c r="N16" s="116"/>
    </row>
    <row r="17" spans="2:14" ht="105.75" thickBot="1" x14ac:dyDescent="0.3">
      <c r="B17" s="72" t="s">
        <v>36</v>
      </c>
      <c r="C17" s="75" t="s">
        <v>86</v>
      </c>
      <c r="D17" s="94" t="s">
        <v>127</v>
      </c>
      <c r="E17" s="91"/>
      <c r="F17" s="47" t="s">
        <v>61</v>
      </c>
      <c r="G17" s="66" t="s">
        <v>59</v>
      </c>
      <c r="H17" s="45">
        <v>0</v>
      </c>
      <c r="I17" s="68">
        <v>0</v>
      </c>
      <c r="J17" s="112"/>
      <c r="K17" s="113"/>
      <c r="L17" s="118"/>
      <c r="M17" s="116"/>
      <c r="N17" s="116"/>
    </row>
    <row r="18" spans="2:14" ht="105.75" thickBot="1" x14ac:dyDescent="0.3">
      <c r="B18" s="53"/>
      <c r="C18" s="75"/>
      <c r="D18" s="94" t="s">
        <v>119</v>
      </c>
      <c r="E18" s="91"/>
      <c r="F18" s="47" t="s">
        <v>88</v>
      </c>
      <c r="G18" s="66" t="s">
        <v>63</v>
      </c>
      <c r="H18" s="45">
        <v>1</v>
      </c>
      <c r="I18" s="68">
        <v>0</v>
      </c>
      <c r="J18" s="112"/>
      <c r="K18" s="113"/>
      <c r="L18" s="118"/>
      <c r="M18" s="116"/>
      <c r="N18" s="116"/>
    </row>
    <row r="19" spans="2:14" ht="60.75" thickBot="1" x14ac:dyDescent="0.3">
      <c r="B19" s="53"/>
      <c r="C19" s="75"/>
      <c r="D19" s="91"/>
      <c r="E19" s="91"/>
      <c r="F19" s="47" t="s">
        <v>64</v>
      </c>
      <c r="G19" s="66" t="s">
        <v>63</v>
      </c>
      <c r="H19" s="45">
        <v>0</v>
      </c>
      <c r="I19" s="68">
        <v>0</v>
      </c>
      <c r="J19" s="112"/>
      <c r="K19" s="113"/>
      <c r="L19" s="118"/>
      <c r="M19" s="116"/>
      <c r="N19" s="116"/>
    </row>
    <row r="20" spans="2:14" ht="75.75" thickBot="1" x14ac:dyDescent="0.3">
      <c r="B20" s="53"/>
      <c r="C20" s="75"/>
      <c r="D20" s="91"/>
      <c r="E20" s="91"/>
      <c r="F20" s="47" t="s">
        <v>66</v>
      </c>
      <c r="G20" s="66" t="s">
        <v>65</v>
      </c>
      <c r="H20" s="45">
        <v>0</v>
      </c>
      <c r="I20" s="68">
        <v>0</v>
      </c>
      <c r="J20" s="112"/>
      <c r="K20" s="113"/>
      <c r="L20" s="118"/>
      <c r="M20" s="116"/>
      <c r="N20" s="116"/>
    </row>
    <row r="21" spans="2:14" ht="60.75" thickBot="1" x14ac:dyDescent="0.3">
      <c r="B21" s="53"/>
      <c r="C21" s="75"/>
      <c r="D21" s="91"/>
      <c r="E21" s="91"/>
      <c r="F21" s="47" t="s">
        <v>89</v>
      </c>
      <c r="G21" s="66" t="s">
        <v>67</v>
      </c>
      <c r="H21" s="45" t="s">
        <v>76</v>
      </c>
      <c r="I21" s="68">
        <v>0</v>
      </c>
      <c r="J21" s="112"/>
      <c r="K21" s="113"/>
      <c r="L21" s="118"/>
      <c r="M21" s="116"/>
      <c r="N21" s="116"/>
    </row>
    <row r="22" spans="2:14" ht="60.75" thickBot="1" x14ac:dyDescent="0.3">
      <c r="B22" s="53"/>
      <c r="C22" s="75"/>
      <c r="D22" s="91"/>
      <c r="E22" s="91"/>
      <c r="F22" s="47" t="s">
        <v>80</v>
      </c>
      <c r="G22" s="66" t="s">
        <v>67</v>
      </c>
      <c r="H22" s="45" t="s">
        <v>75</v>
      </c>
      <c r="I22" s="45" t="s">
        <v>75</v>
      </c>
      <c r="J22" s="112"/>
      <c r="K22" s="113"/>
      <c r="L22" s="118"/>
      <c r="M22" s="116"/>
      <c r="N22" s="116"/>
    </row>
    <row r="23" spans="2:14" ht="45.75" thickBot="1" x14ac:dyDescent="0.3">
      <c r="B23" s="53"/>
      <c r="C23" s="75"/>
      <c r="D23" s="91"/>
      <c r="E23" s="91"/>
      <c r="F23" s="47" t="s">
        <v>79</v>
      </c>
      <c r="G23" s="66" t="s">
        <v>67</v>
      </c>
      <c r="H23" s="45">
        <v>0.5</v>
      </c>
      <c r="I23" s="68">
        <v>0</v>
      </c>
      <c r="J23" s="112"/>
      <c r="K23" s="113"/>
      <c r="L23" s="118"/>
      <c r="M23" s="116"/>
      <c r="N23" s="116"/>
    </row>
    <row r="24" spans="2:14" ht="30.75" thickBot="1" x14ac:dyDescent="0.3">
      <c r="B24" s="55"/>
      <c r="C24" s="75"/>
      <c r="D24" s="91"/>
      <c r="E24" s="91"/>
      <c r="F24" s="47" t="s">
        <v>81</v>
      </c>
      <c r="G24" s="66" t="s">
        <v>77</v>
      </c>
      <c r="H24" s="45">
        <v>0</v>
      </c>
      <c r="I24" s="68">
        <v>0</v>
      </c>
      <c r="J24" s="112"/>
      <c r="K24" s="113"/>
      <c r="L24" s="118"/>
      <c r="M24" s="116"/>
      <c r="N24" s="116"/>
    </row>
    <row r="25" spans="2:14" ht="15.75" thickBot="1" x14ac:dyDescent="0.3">
      <c r="B25" s="56"/>
      <c r="C25" s="75"/>
      <c r="D25" s="91"/>
      <c r="E25" s="91"/>
      <c r="F25" s="47"/>
      <c r="G25" s="23"/>
      <c r="H25" s="45"/>
      <c r="I25" s="69"/>
      <c r="J25" s="112"/>
      <c r="K25" s="113"/>
      <c r="L25" s="118"/>
      <c r="M25" s="116"/>
      <c r="N25" s="116"/>
    </row>
    <row r="26" spans="2:14" ht="15.75" thickBot="1" x14ac:dyDescent="0.3">
      <c r="B26" s="51" t="s">
        <v>32</v>
      </c>
      <c r="C26" s="75"/>
      <c r="D26" s="91"/>
      <c r="E26" s="91"/>
      <c r="F26" s="47"/>
      <c r="G26" s="42"/>
      <c r="H26" s="44"/>
      <c r="I26" s="69"/>
      <c r="J26" s="112"/>
      <c r="K26" s="113"/>
      <c r="L26" s="118"/>
      <c r="M26" s="41"/>
      <c r="N26" s="41"/>
    </row>
    <row r="27" spans="2:14" x14ac:dyDescent="0.25">
      <c r="B27" s="48" t="s">
        <v>7</v>
      </c>
      <c r="C27" s="75"/>
      <c r="D27" s="92"/>
      <c r="E27" s="92"/>
      <c r="F27" s="43" t="s">
        <v>1</v>
      </c>
      <c r="G27" s="33"/>
      <c r="H27" s="34"/>
      <c r="I27" s="20"/>
      <c r="J27" s="112"/>
      <c r="K27" s="113"/>
      <c r="L27" s="118"/>
      <c r="M27" s="30" t="s">
        <v>5</v>
      </c>
      <c r="N27" s="29" t="s">
        <v>10</v>
      </c>
    </row>
    <row r="28" spans="2:14" ht="120.75" thickBot="1" x14ac:dyDescent="0.3">
      <c r="B28" s="49" t="s">
        <v>78</v>
      </c>
      <c r="C28" s="76"/>
      <c r="D28" s="93"/>
      <c r="E28" s="93"/>
      <c r="F28" s="35" t="s">
        <v>13</v>
      </c>
      <c r="G28" s="36"/>
      <c r="H28" s="37"/>
      <c r="I28" s="70"/>
      <c r="J28" s="114"/>
      <c r="K28" s="115"/>
      <c r="L28" s="119"/>
      <c r="M28" s="38"/>
      <c r="N28" s="39" t="s">
        <v>114</v>
      </c>
    </row>
    <row r="29" spans="2:14" x14ac:dyDescent="0.25">
      <c r="B29" s="97" t="s">
        <v>2</v>
      </c>
      <c r="C29" s="98"/>
      <c r="D29" s="98"/>
      <c r="E29" s="98"/>
      <c r="F29" s="98"/>
      <c r="G29" s="98"/>
      <c r="H29" s="98"/>
      <c r="I29" s="98"/>
      <c r="J29" s="99"/>
      <c r="K29" s="100" t="s">
        <v>3</v>
      </c>
      <c r="L29" s="98"/>
      <c r="M29" s="98"/>
      <c r="N29" s="101"/>
    </row>
    <row r="30" spans="2:14" ht="15.75" thickBot="1" x14ac:dyDescent="0.3">
      <c r="B30" s="102"/>
      <c r="C30" s="103"/>
      <c r="D30" s="103"/>
      <c r="E30" s="103"/>
      <c r="F30" s="103"/>
      <c r="G30" s="103"/>
      <c r="H30" s="103"/>
      <c r="I30" s="103"/>
      <c r="J30" s="104"/>
      <c r="K30" s="105"/>
      <c r="L30" s="103"/>
      <c r="M30" s="103"/>
      <c r="N30" s="106"/>
    </row>
    <row r="32" spans="2:14" x14ac:dyDescent="0.25">
      <c r="B32" s="20" t="s">
        <v>18</v>
      </c>
      <c r="C32" s="77"/>
      <c r="D32" s="77"/>
      <c r="E32" s="77"/>
      <c r="F32" s="20" t="s">
        <v>14</v>
      </c>
      <c r="G32" s="59">
        <v>0</v>
      </c>
      <c r="J32" s="1" t="s">
        <v>24</v>
      </c>
    </row>
    <row r="33" spans="2:10" x14ac:dyDescent="0.25">
      <c r="B33" s="21" t="s">
        <v>19</v>
      </c>
      <c r="C33" s="78"/>
      <c r="D33" s="78"/>
      <c r="E33" s="78"/>
      <c r="F33" s="21" t="s">
        <v>15</v>
      </c>
      <c r="G33" s="60">
        <v>0.1</v>
      </c>
    </row>
    <row r="34" spans="2:10" x14ac:dyDescent="0.25">
      <c r="B34" s="17" t="s">
        <v>17</v>
      </c>
      <c r="C34" s="79"/>
      <c r="D34" s="79"/>
      <c r="E34" s="79"/>
      <c r="F34" s="64" t="s">
        <v>21</v>
      </c>
      <c r="G34" s="61">
        <v>0.5</v>
      </c>
    </row>
    <row r="35" spans="2:10" x14ac:dyDescent="0.25">
      <c r="B35" s="20"/>
      <c r="C35" s="77"/>
      <c r="D35" s="77"/>
      <c r="E35" s="77"/>
      <c r="F35" s="17" t="s">
        <v>20</v>
      </c>
      <c r="G35" s="62">
        <v>0.8</v>
      </c>
    </row>
    <row r="36" spans="2:10" x14ac:dyDescent="0.25">
      <c r="B36" s="20"/>
      <c r="C36" s="77"/>
      <c r="D36" s="77"/>
      <c r="E36" s="77"/>
      <c r="F36" s="65" t="s">
        <v>16</v>
      </c>
      <c r="G36" s="63">
        <v>1</v>
      </c>
      <c r="J36" t="s">
        <v>25</v>
      </c>
    </row>
    <row r="37" spans="2:10" x14ac:dyDescent="0.25">
      <c r="B37" s="20" t="s">
        <v>91</v>
      </c>
    </row>
    <row r="38" spans="2:10" x14ac:dyDescent="0.25">
      <c r="B38" s="16" t="s">
        <v>90</v>
      </c>
    </row>
    <row r="39" spans="2:10" x14ac:dyDescent="0.25">
      <c r="B39" s="16" t="s">
        <v>92</v>
      </c>
    </row>
    <row r="40" spans="2:10" x14ac:dyDescent="0.25">
      <c r="B40" s="16" t="s">
        <v>93</v>
      </c>
    </row>
  </sheetData>
  <mergeCells count="11">
    <mergeCell ref="B29:J29"/>
    <mergeCell ref="K29:N29"/>
    <mergeCell ref="B30:J30"/>
    <mergeCell ref="K30:N30"/>
    <mergeCell ref="B2:J2"/>
    <mergeCell ref="K2:N2"/>
    <mergeCell ref="J3:K3"/>
    <mergeCell ref="J4:K28"/>
    <mergeCell ref="M4:M25"/>
    <mergeCell ref="N4:N25"/>
    <mergeCell ref="L4:L28"/>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BFAE-6839-46EC-B034-9A5B4486DD45}">
  <dimension ref="C2:G23"/>
  <sheetViews>
    <sheetView zoomScale="160" zoomScaleNormal="160" workbookViewId="0">
      <selection activeCell="D13" sqref="D13:D14"/>
    </sheetView>
  </sheetViews>
  <sheetFormatPr defaultRowHeight="15" x14ac:dyDescent="0.25"/>
  <cols>
    <col min="4" max="4" width="12.85546875" bestFit="1" customWidth="1"/>
    <col min="5" max="5" width="14.5703125" bestFit="1" customWidth="1"/>
  </cols>
  <sheetData>
    <row r="2" spans="3:7" x14ac:dyDescent="0.25">
      <c r="C2" s="1" t="s">
        <v>94</v>
      </c>
      <c r="D2" s="1" t="s">
        <v>95</v>
      </c>
      <c r="E2" s="1" t="s">
        <v>97</v>
      </c>
      <c r="F2" s="1" t="s">
        <v>106</v>
      </c>
      <c r="G2" s="1" t="s">
        <v>107</v>
      </c>
    </row>
    <row r="3" spans="3:7" x14ac:dyDescent="0.25">
      <c r="C3" s="87">
        <v>1</v>
      </c>
      <c r="D3" s="83" t="s">
        <v>96</v>
      </c>
      <c r="E3" s="83" t="s">
        <v>103</v>
      </c>
      <c r="F3" s="84">
        <f>F7</f>
        <v>46266</v>
      </c>
      <c r="G3" t="s">
        <v>108</v>
      </c>
    </row>
    <row r="4" spans="3:7" x14ac:dyDescent="0.25">
      <c r="C4" s="87">
        <v>2</v>
      </c>
      <c r="D4" s="83" t="s">
        <v>96</v>
      </c>
      <c r="E4" s="83" t="s">
        <v>101</v>
      </c>
    </row>
    <row r="5" spans="3:7" x14ac:dyDescent="0.25">
      <c r="C5" s="120">
        <v>3</v>
      </c>
      <c r="D5" s="83" t="s">
        <v>98</v>
      </c>
      <c r="E5" s="83" t="s">
        <v>101</v>
      </c>
      <c r="F5" s="84">
        <v>46113</v>
      </c>
      <c r="G5" t="s">
        <v>108</v>
      </c>
    </row>
    <row r="6" spans="3:7" x14ac:dyDescent="0.25">
      <c r="C6" s="120"/>
      <c r="D6" s="83" t="s">
        <v>99</v>
      </c>
      <c r="E6" s="83" t="s">
        <v>101</v>
      </c>
      <c r="F6" s="84">
        <v>46174</v>
      </c>
      <c r="G6" t="s">
        <v>108</v>
      </c>
    </row>
    <row r="7" spans="3:7" x14ac:dyDescent="0.25">
      <c r="C7" s="120"/>
      <c r="D7" s="83" t="s">
        <v>100</v>
      </c>
      <c r="E7" s="83" t="s">
        <v>101</v>
      </c>
      <c r="F7" s="84">
        <v>46266</v>
      </c>
      <c r="G7" t="s">
        <v>108</v>
      </c>
    </row>
    <row r="8" spans="3:7" x14ac:dyDescent="0.25">
      <c r="C8" s="120">
        <v>4</v>
      </c>
      <c r="D8" s="83" t="s">
        <v>98</v>
      </c>
      <c r="E8" s="83" t="s">
        <v>102</v>
      </c>
    </row>
    <row r="9" spans="3:7" x14ac:dyDescent="0.25">
      <c r="C9" s="120"/>
      <c r="D9" s="83" t="s">
        <v>99</v>
      </c>
      <c r="E9" s="83" t="s">
        <v>104</v>
      </c>
    </row>
    <row r="10" spans="3:7" x14ac:dyDescent="0.25">
      <c r="C10" s="120"/>
      <c r="D10" s="83" t="s">
        <v>100</v>
      </c>
      <c r="E10" s="83" t="s">
        <v>105</v>
      </c>
    </row>
    <row r="12" spans="3:7" x14ac:dyDescent="0.25">
      <c r="C12" s="1" t="s">
        <v>94</v>
      </c>
      <c r="D12" s="1" t="s">
        <v>95</v>
      </c>
      <c r="E12" s="1" t="s">
        <v>97</v>
      </c>
      <c r="F12" s="1" t="s">
        <v>106</v>
      </c>
      <c r="G12" s="1" t="s">
        <v>107</v>
      </c>
    </row>
    <row r="13" spans="3:7" x14ac:dyDescent="0.25">
      <c r="C13" s="122">
        <v>1</v>
      </c>
      <c r="D13" s="83" t="s">
        <v>96</v>
      </c>
      <c r="E13" s="83" t="s">
        <v>109</v>
      </c>
      <c r="F13" s="85">
        <f>F19</f>
        <v>46266</v>
      </c>
      <c r="G13" t="s">
        <v>108</v>
      </c>
    </row>
    <row r="14" spans="3:7" x14ac:dyDescent="0.25">
      <c r="C14" s="123"/>
      <c r="D14" s="83" t="s">
        <v>112</v>
      </c>
      <c r="E14" s="83" t="s">
        <v>110</v>
      </c>
      <c r="F14" s="84">
        <f>F20</f>
        <v>46357</v>
      </c>
      <c r="G14" t="s">
        <v>111</v>
      </c>
    </row>
    <row r="15" spans="3:7" x14ac:dyDescent="0.25">
      <c r="C15" s="122">
        <v>2</v>
      </c>
      <c r="D15" s="83" t="s">
        <v>96</v>
      </c>
      <c r="E15" s="83" t="s">
        <v>101</v>
      </c>
    </row>
    <row r="16" spans="3:7" x14ac:dyDescent="0.25">
      <c r="C16" s="123"/>
      <c r="D16" s="83" t="s">
        <v>112</v>
      </c>
      <c r="E16" s="83" t="s">
        <v>101</v>
      </c>
    </row>
    <row r="17" spans="3:7" x14ac:dyDescent="0.25">
      <c r="C17" s="122">
        <v>3</v>
      </c>
      <c r="D17" s="83" t="s">
        <v>98</v>
      </c>
      <c r="E17" s="83" t="s">
        <v>101</v>
      </c>
      <c r="F17" s="84">
        <v>46113</v>
      </c>
      <c r="G17" t="s">
        <v>108</v>
      </c>
    </row>
    <row r="18" spans="3:7" x14ac:dyDescent="0.25">
      <c r="C18" s="124"/>
      <c r="D18" s="83" t="s">
        <v>99</v>
      </c>
      <c r="E18" s="83" t="s">
        <v>101</v>
      </c>
      <c r="F18" s="84">
        <v>46174</v>
      </c>
      <c r="G18" t="s">
        <v>108</v>
      </c>
    </row>
    <row r="19" spans="3:7" x14ac:dyDescent="0.25">
      <c r="C19" s="124"/>
      <c r="D19" s="83" t="s">
        <v>100</v>
      </c>
      <c r="E19" s="83" t="s">
        <v>101</v>
      </c>
      <c r="F19" s="84">
        <v>46266</v>
      </c>
      <c r="G19" t="s">
        <v>108</v>
      </c>
    </row>
    <row r="20" spans="3:7" x14ac:dyDescent="0.25">
      <c r="C20" s="123"/>
      <c r="D20" s="83" t="s">
        <v>112</v>
      </c>
      <c r="E20" s="86" t="s">
        <v>101</v>
      </c>
      <c r="F20" s="84">
        <v>46357</v>
      </c>
      <c r="G20" t="s">
        <v>111</v>
      </c>
    </row>
    <row r="21" spans="3:7" x14ac:dyDescent="0.25">
      <c r="C21" s="121">
        <v>4</v>
      </c>
      <c r="D21" s="83" t="s">
        <v>98</v>
      </c>
      <c r="E21" s="83" t="s">
        <v>102</v>
      </c>
    </row>
    <row r="22" spans="3:7" x14ac:dyDescent="0.25">
      <c r="C22" s="121"/>
      <c r="D22" s="83" t="s">
        <v>99</v>
      </c>
      <c r="E22" s="83" t="s">
        <v>104</v>
      </c>
    </row>
    <row r="23" spans="3:7" x14ac:dyDescent="0.25">
      <c r="C23" s="121"/>
      <c r="D23" s="83" t="s">
        <v>100</v>
      </c>
      <c r="E23" s="83" t="s">
        <v>105</v>
      </c>
    </row>
  </sheetData>
  <mergeCells count="6">
    <mergeCell ref="C5:C7"/>
    <mergeCell ref="C8:C10"/>
    <mergeCell ref="C21:C23"/>
    <mergeCell ref="C13:C14"/>
    <mergeCell ref="C17:C20"/>
    <mergeCell ref="C15: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J8"/>
  <sheetViews>
    <sheetView zoomScaleNormal="100" workbookViewId="0">
      <selection activeCell="D4" sqref="D4"/>
    </sheetView>
  </sheetViews>
  <sheetFormatPr defaultRowHeight="15" x14ac:dyDescent="0.25"/>
  <cols>
    <col min="2" max="2" width="30.7109375" customWidth="1"/>
    <col min="3" max="3" width="5.28515625" customWidth="1"/>
    <col min="4" max="4" width="27" customWidth="1"/>
    <col min="5" max="6" width="6.140625" customWidth="1"/>
    <col min="7" max="8" width="15.7109375" customWidth="1"/>
    <col min="9" max="10" width="30.7109375" customWidth="1"/>
  </cols>
  <sheetData>
    <row r="1" spans="2:10" ht="15.75" thickBot="1" x14ac:dyDescent="0.3"/>
    <row r="2" spans="2:10" ht="15.75" thickBot="1" x14ac:dyDescent="0.3">
      <c r="B2" s="107" t="s">
        <v>11</v>
      </c>
      <c r="C2" s="108"/>
      <c r="D2" s="108"/>
      <c r="E2" s="108"/>
      <c r="F2" s="108"/>
      <c r="G2" s="109"/>
      <c r="H2" s="107" t="s">
        <v>12</v>
      </c>
      <c r="I2" s="108"/>
      <c r="J2" s="109"/>
    </row>
    <row r="3" spans="2:10" x14ac:dyDescent="0.25">
      <c r="B3" s="6" t="s">
        <v>8</v>
      </c>
      <c r="C3" s="24" t="s">
        <v>23</v>
      </c>
      <c r="D3" s="4" t="s">
        <v>0</v>
      </c>
      <c r="E3" s="15" t="s">
        <v>22</v>
      </c>
      <c r="F3" s="15" t="s">
        <v>23</v>
      </c>
      <c r="G3" s="130" t="s">
        <v>6</v>
      </c>
      <c r="H3" s="131"/>
      <c r="I3" s="4" t="s">
        <v>4</v>
      </c>
      <c r="J3" s="3" t="s">
        <v>9</v>
      </c>
    </row>
    <row r="4" spans="2:10" ht="175.15" customHeight="1" x14ac:dyDescent="0.25">
      <c r="B4" s="26"/>
      <c r="C4" s="26"/>
      <c r="D4" s="27"/>
      <c r="E4" s="25"/>
      <c r="F4" s="25"/>
      <c r="G4" s="132"/>
      <c r="H4" s="133"/>
      <c r="I4" s="9"/>
      <c r="J4" s="14"/>
    </row>
    <row r="5" spans="2:10" x14ac:dyDescent="0.25">
      <c r="B5" s="8" t="s">
        <v>7</v>
      </c>
      <c r="C5" s="19"/>
      <c r="D5" s="7" t="s">
        <v>1</v>
      </c>
      <c r="E5" s="18"/>
      <c r="F5" s="18"/>
      <c r="G5" s="132"/>
      <c r="H5" s="133"/>
      <c r="I5" s="12" t="s">
        <v>5</v>
      </c>
      <c r="J5" s="13" t="s">
        <v>10</v>
      </c>
    </row>
    <row r="6" spans="2:10" ht="60" customHeight="1" x14ac:dyDescent="0.25">
      <c r="B6" s="5"/>
      <c r="C6" s="22"/>
      <c r="D6" s="2"/>
      <c r="E6" s="10"/>
      <c r="F6" s="10"/>
      <c r="G6" s="134"/>
      <c r="H6" s="135"/>
      <c r="I6" s="10"/>
      <c r="J6" s="11"/>
    </row>
    <row r="7" spans="2:10" x14ac:dyDescent="0.25">
      <c r="B7" s="136" t="s">
        <v>2</v>
      </c>
      <c r="C7" s="137"/>
      <c r="D7" s="137"/>
      <c r="E7" s="137"/>
      <c r="F7" s="137"/>
      <c r="G7" s="138"/>
      <c r="H7" s="139" t="s">
        <v>3</v>
      </c>
      <c r="I7" s="137"/>
      <c r="J7" s="140"/>
    </row>
    <row r="8" spans="2:10" ht="60" customHeight="1" thickBot="1" x14ac:dyDescent="0.3">
      <c r="B8" s="125"/>
      <c r="C8" s="126"/>
      <c r="D8" s="126"/>
      <c r="E8" s="126"/>
      <c r="F8" s="126"/>
      <c r="G8" s="127"/>
      <c r="H8" s="128"/>
      <c r="I8" s="126"/>
      <c r="J8" s="129"/>
    </row>
  </sheetData>
  <mergeCells count="8">
    <mergeCell ref="B8:G8"/>
    <mergeCell ref="H8:J8"/>
    <mergeCell ref="B2:G2"/>
    <mergeCell ref="H2:J2"/>
    <mergeCell ref="G3:H3"/>
    <mergeCell ref="G4:H6"/>
    <mergeCell ref="B7:G7"/>
    <mergeCell ref="H7:J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Инжиниринг</vt:lpstr>
      <vt:lpstr>Лист1</vt:lpstr>
      <vt:lpstr>Шаблон</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Сергей Лебедев</dc:creator>
  <cp:lastModifiedBy>Елена Цапалина</cp:lastModifiedBy>
  <dcterms:created xsi:type="dcterms:W3CDTF">2023-05-29T14:46:34Z</dcterms:created>
  <dcterms:modified xsi:type="dcterms:W3CDTF">2026-04-04T06:50:46Z</dcterms:modified>
</cp:coreProperties>
</file>