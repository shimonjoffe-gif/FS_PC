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.timchik\AppData\Roaming\1C\1cv8\e860071c-b31e-47b3-a54c-c17ac07f810e\f3de406f-b7d3-46e6-b355-44fb14f28cdd\App\"/>
    </mc:Choice>
  </mc:AlternateContent>
  <bookViews>
    <workbookView xWindow="-120" yWindow="-120" windowWidth="29040" windowHeight="15840" tabRatio="895" firstSheet="3" activeTab="5"/>
  </bookViews>
  <sheets>
    <sheet name="МоделиУпр" sheetId="28" state="hidden" r:id="rId1"/>
    <sheet name="Решения" sheetId="85" state="hidden" r:id="rId2"/>
    <sheet name="НИПИ_списком" sheetId="27" state="hidden" r:id="rId3"/>
    <sheet name="Проекты и бюджеты под контролем" sheetId="93" r:id="rId4"/>
    <sheet name="ПиБпК_после вебинара" sheetId="97" r:id="rId5"/>
    <sheet name="ПиБпК_сопоставление" sheetId="99" r:id="rId6"/>
    <sheet name="1+автоактуализация бюджетов" sheetId="95" r:id="rId7"/>
    <sheet name="КапСтрой и инвестиции" sheetId="96" state="hidden" r:id="rId8"/>
    <sheet name="от Лены" sheetId="94" r:id="rId9"/>
    <sheet name="Соло" sheetId="11" state="hidden" r:id="rId10"/>
    <sheet name="Соло-М" sheetId="57" state="hidden" r:id="rId11"/>
    <sheet name="МикроГД" sheetId="40" state="hidden" r:id="rId12"/>
    <sheet name="МикроГД-М" sheetId="56" state="hidden" r:id="rId13"/>
    <sheet name="МикроРП" sheetId="41" state="hidden" r:id="rId14"/>
    <sheet name="МикроРП-М" sheetId="86" state="hidden" r:id="rId15"/>
    <sheet name="МикроРСП" sheetId="14" state="hidden" r:id="rId16"/>
    <sheet name="МикроРСП-М" sheetId="87" state="hidden" r:id="rId17"/>
    <sheet name="Мал1-2ГД" sheetId="5" state="hidden" r:id="rId18"/>
    <sheet name="Мал1-2ФД" sheetId="3" state="hidden" r:id="rId19"/>
    <sheet name="Мал1РН" sheetId="16" state="hidden" r:id="rId20"/>
    <sheet name="Мал1РН-М" sheetId="88" state="hidden" r:id="rId21"/>
    <sheet name="Мал1-2РП" sheetId="89" state="hidden" r:id="rId22"/>
    <sheet name="Мал1-2РП-М" sheetId="90" state="hidden" r:id="rId23"/>
    <sheet name="Мал2ППО" sheetId="91" state="hidden" r:id="rId24"/>
    <sheet name="Мал2ППО-М" sheetId="92" state="hidden" r:id="rId25"/>
    <sheet name="Ср1ФД" sheetId="17" state="hidden" r:id="rId26"/>
    <sheet name="Ср1ПДО" sheetId="45" state="hidden" r:id="rId27"/>
    <sheet name="Ср2-5ГД" sheetId="19" state="hidden" r:id="rId28"/>
    <sheet name="Ср2-5ФД" sheetId="18" state="hidden" r:id="rId29"/>
    <sheet name="Ср2ДП" sheetId="21" state="hidden" r:id="rId30"/>
    <sheet name="Ср2ДП-М" sheetId="71" state="hidden" r:id="rId31"/>
    <sheet name="Ср2ППО" sheetId="72" state="hidden" r:id="rId32"/>
    <sheet name="Ср3ДП" sheetId="73" state="hidden" r:id="rId33"/>
    <sheet name="Ср3ППО" sheetId="47" state="hidden" r:id="rId34"/>
    <sheet name="Ср3РП" sheetId="70" state="hidden" r:id="rId35"/>
    <sheet name="Ср4ДПм-М" sheetId="74" state="hidden" r:id="rId36"/>
    <sheet name="Ср4РПО-М" sheetId="75" state="hidden" r:id="rId37"/>
    <sheet name="Ср4РП-М" sheetId="50" state="hidden" r:id="rId38"/>
    <sheet name="Ср5РПО" sheetId="52" state="hidden" r:id="rId39"/>
    <sheet name="Ср5ПрОф" sheetId="53" state="hidden" r:id="rId40"/>
    <sheet name="Ср5РП" sheetId="76" state="hidden" r:id="rId41"/>
    <sheet name="Кр11ЗГД" sheetId="23" state="hidden" r:id="rId42"/>
    <sheet name="Кр1ППО" sheetId="60" state="hidden" r:id="rId43"/>
    <sheet name="Кр1ППО-М" sheetId="77" state="hidden" r:id="rId44"/>
    <sheet name="Кр1РЦ" sheetId="22" state="hidden" r:id="rId45"/>
    <sheet name="Кр1РЦ-М" sheetId="78" state="hidden" r:id="rId46"/>
    <sheet name="Кр1ПДО" sheetId="79" state="hidden" r:id="rId47"/>
    <sheet name="Кр1ПДО-М" sheetId="80" state="hidden" r:id="rId48"/>
    <sheet name="Кр1РП" sheetId="81" state="hidden" r:id="rId49"/>
    <sheet name="Кр1РП-М" sheetId="83" state="hidden" r:id="rId50"/>
    <sheet name="Кр2МшДПр" sheetId="4" state="hidden" r:id="rId51"/>
    <sheet name="Х1_ППО" sheetId="24" state="hidden" r:id="rId52"/>
    <sheet name="Х1_ППО-М" sheetId="84" state="hidden" r:id="rId53"/>
    <sheet name="Х2_ДИД" sheetId="25" state="hidden" r:id="rId54"/>
    <sheet name="Х2_НИО" sheetId="26" state="hidden" r:id="rId55"/>
    <sheet name="LCM" sheetId="2" state="hidden" r:id="rId56"/>
    <sheet name="Шаблон" sheetId="8" state="hidden" r:id="rId57"/>
  </sheets>
  <definedNames>
    <definedName name="_xlnm._FilterDatabase" localSheetId="1" hidden="1">Решения!$B$1:$E$57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99" l="1"/>
  <c r="D9" i="99"/>
  <c r="D4" i="99" s="1"/>
  <c r="D8" i="99"/>
  <c r="D6" i="99"/>
  <c r="D3" i="99" s="1"/>
  <c r="G3" i="99"/>
  <c r="F3" i="97"/>
  <c r="F3" i="96" l="1"/>
  <c r="C10" i="95" l="1"/>
  <c r="C9" i="95"/>
  <c r="C8" i="95"/>
  <c r="C7" i="95"/>
  <c r="C6" i="95"/>
  <c r="C4" i="95" s="1"/>
  <c r="C5" i="95"/>
  <c r="C3" i="95" s="1"/>
  <c r="F3" i="95"/>
  <c r="D13" i="93"/>
  <c r="D9" i="93"/>
  <c r="D8" i="93"/>
  <c r="D6" i="93"/>
  <c r="G3" i="93"/>
  <c r="F13" i="73"/>
  <c r="D13" i="73"/>
  <c r="F14" i="73"/>
  <c r="D14" i="73"/>
  <c r="F12" i="73"/>
  <c r="D12" i="73"/>
  <c r="F11" i="73"/>
  <c r="D11" i="73"/>
  <c r="F10" i="73"/>
  <c r="D10" i="73"/>
  <c r="F9" i="73"/>
  <c r="D9" i="73"/>
  <c r="F8" i="73"/>
  <c r="D8" i="73"/>
  <c r="F7" i="73"/>
  <c r="D7" i="73"/>
  <c r="F6" i="73"/>
  <c r="D6" i="73"/>
  <c r="F5" i="73"/>
  <c r="D5" i="73"/>
  <c r="F4" i="73"/>
  <c r="D4" i="73"/>
  <c r="F7" i="72"/>
  <c r="D7" i="72"/>
  <c r="F6" i="72"/>
  <c r="D6" i="72"/>
  <c r="F5" i="72"/>
  <c r="D5" i="72"/>
  <c r="F4" i="72"/>
  <c r="D4" i="72"/>
  <c r="F12" i="71"/>
  <c r="D12" i="71"/>
  <c r="F11" i="71"/>
  <c r="D11" i="71"/>
  <c r="F10" i="71"/>
  <c r="F9" i="71"/>
  <c r="D10" i="71"/>
  <c r="D9" i="71"/>
  <c r="F8" i="71"/>
  <c r="D8" i="71"/>
  <c r="F7" i="71"/>
  <c r="D7" i="71"/>
  <c r="F6" i="71"/>
  <c r="D6" i="71"/>
  <c r="F5" i="71"/>
  <c r="D5" i="71"/>
  <c r="F4" i="71"/>
  <c r="F3" i="71" s="1"/>
  <c r="D4" i="71"/>
  <c r="F10" i="21"/>
  <c r="D10" i="21"/>
  <c r="F11" i="21"/>
  <c r="D11" i="21"/>
  <c r="F9" i="21"/>
  <c r="D9" i="21"/>
  <c r="F7" i="21"/>
  <c r="D7" i="21"/>
  <c r="F8" i="21"/>
  <c r="D8" i="21"/>
  <c r="F6" i="21"/>
  <c r="D6" i="21"/>
  <c r="F5" i="21"/>
  <c r="D5" i="21"/>
  <c r="F4" i="21"/>
  <c r="D4" i="21"/>
  <c r="F5" i="18"/>
  <c r="F7" i="18"/>
  <c r="D7" i="18"/>
  <c r="F6" i="18"/>
  <c r="D6" i="18"/>
  <c r="D5" i="18"/>
  <c r="F4" i="18"/>
  <c r="C4" i="18" s="1"/>
  <c r="D4" i="18"/>
  <c r="F5" i="19"/>
  <c r="D5" i="19"/>
  <c r="F4" i="19"/>
  <c r="D4" i="19"/>
  <c r="F7" i="45"/>
  <c r="D7" i="45"/>
  <c r="F6" i="45"/>
  <c r="D6" i="45"/>
  <c r="F5" i="45"/>
  <c r="D5" i="45"/>
  <c r="F4" i="45"/>
  <c r="D4" i="45"/>
  <c r="F11" i="17"/>
  <c r="D11" i="17"/>
  <c r="F10" i="17"/>
  <c r="D10" i="17"/>
  <c r="F9" i="17"/>
  <c r="D9" i="17"/>
  <c r="F8" i="17"/>
  <c r="D8" i="17"/>
  <c r="F7" i="17"/>
  <c r="D7" i="17"/>
  <c r="F5" i="17"/>
  <c r="D5" i="17"/>
  <c r="F6" i="17"/>
  <c r="D6" i="17"/>
  <c r="F4" i="17"/>
  <c r="D4" i="17"/>
  <c r="F16" i="92"/>
  <c r="D16" i="92"/>
  <c r="F15" i="92"/>
  <c r="D15" i="92"/>
  <c r="F14" i="92"/>
  <c r="D14" i="92"/>
  <c r="F13" i="92"/>
  <c r="D13" i="92"/>
  <c r="F12" i="92"/>
  <c r="D12" i="92"/>
  <c r="C12" i="92"/>
  <c r="F11" i="92"/>
  <c r="D11" i="92"/>
  <c r="C11" i="92"/>
  <c r="F10" i="92"/>
  <c r="D10" i="92"/>
  <c r="F9" i="92"/>
  <c r="C10" i="92" s="1"/>
  <c r="D9" i="92"/>
  <c r="C8" i="92"/>
  <c r="F7" i="92"/>
  <c r="C9" i="92" s="1"/>
  <c r="D7" i="92"/>
  <c r="F6" i="92"/>
  <c r="C7" i="92" s="1"/>
  <c r="D6" i="92"/>
  <c r="C6" i="92"/>
  <c r="F5" i="92"/>
  <c r="D5" i="92"/>
  <c r="C5" i="92"/>
  <c r="F4" i="92"/>
  <c r="D4" i="92"/>
  <c r="C4" i="92"/>
  <c r="F3" i="92"/>
  <c r="C3" i="92"/>
  <c r="F16" i="91"/>
  <c r="D16" i="91"/>
  <c r="F15" i="91"/>
  <c r="C12" i="91" s="1"/>
  <c r="D15" i="91"/>
  <c r="F14" i="91"/>
  <c r="C11" i="91" s="1"/>
  <c r="D14" i="91"/>
  <c r="F11" i="91"/>
  <c r="F10" i="91"/>
  <c r="F9" i="91"/>
  <c r="D11" i="91"/>
  <c r="D10" i="91"/>
  <c r="D9" i="91"/>
  <c r="F13" i="91"/>
  <c r="D13" i="91"/>
  <c r="F12" i="91"/>
  <c r="D12" i="91"/>
  <c r="C8" i="91"/>
  <c r="F7" i="91"/>
  <c r="C9" i="91" s="1"/>
  <c r="D7" i="91"/>
  <c r="F6" i="91"/>
  <c r="C7" i="91" s="1"/>
  <c r="D6" i="91"/>
  <c r="C6" i="91"/>
  <c r="F5" i="91"/>
  <c r="D5" i="91"/>
  <c r="F4" i="91"/>
  <c r="D4" i="91"/>
  <c r="C4" i="91"/>
  <c r="F3" i="91"/>
  <c r="F19" i="90"/>
  <c r="D19" i="90"/>
  <c r="F18" i="90"/>
  <c r="D18" i="90"/>
  <c r="F17" i="90"/>
  <c r="D17" i="90"/>
  <c r="F16" i="90"/>
  <c r="D16" i="90"/>
  <c r="F15" i="90"/>
  <c r="D15" i="90"/>
  <c r="F14" i="90"/>
  <c r="D14" i="90"/>
  <c r="F13" i="90"/>
  <c r="D13" i="90"/>
  <c r="F12" i="90"/>
  <c r="D12" i="90"/>
  <c r="C12" i="90"/>
  <c r="F11" i="90"/>
  <c r="D11" i="90"/>
  <c r="C11" i="90"/>
  <c r="F10" i="90"/>
  <c r="D10" i="90"/>
  <c r="C10" i="90"/>
  <c r="F9" i="90"/>
  <c r="D9" i="90"/>
  <c r="C9" i="90"/>
  <c r="F8" i="90"/>
  <c r="D8" i="90"/>
  <c r="C8" i="90"/>
  <c r="F7" i="90"/>
  <c r="D7" i="90"/>
  <c r="F6" i="90"/>
  <c r="D6" i="90"/>
  <c r="C6" i="90"/>
  <c r="F5" i="90"/>
  <c r="C7" i="90" s="1"/>
  <c r="D5" i="90"/>
  <c r="C5" i="90"/>
  <c r="C4" i="90"/>
  <c r="F3" i="90"/>
  <c r="C3" i="90"/>
  <c r="F17" i="89"/>
  <c r="D17" i="89"/>
  <c r="F16" i="89"/>
  <c r="D16" i="89"/>
  <c r="F15" i="89"/>
  <c r="D15" i="89"/>
  <c r="F14" i="89"/>
  <c r="D14" i="89"/>
  <c r="F13" i="89"/>
  <c r="D13" i="89"/>
  <c r="F12" i="89"/>
  <c r="D12" i="89"/>
  <c r="F11" i="89"/>
  <c r="D11" i="89"/>
  <c r="F10" i="89"/>
  <c r="D10" i="89"/>
  <c r="C10" i="89"/>
  <c r="F9" i="89"/>
  <c r="D9" i="89"/>
  <c r="C9" i="89"/>
  <c r="F8" i="89"/>
  <c r="D8" i="89"/>
  <c r="C8" i="89"/>
  <c r="F7" i="89"/>
  <c r="D7" i="89"/>
  <c r="F6" i="89"/>
  <c r="D6" i="89"/>
  <c r="C6" i="89"/>
  <c r="F5" i="89"/>
  <c r="C7" i="89" s="1"/>
  <c r="D5" i="89"/>
  <c r="C5" i="89"/>
  <c r="C4" i="89"/>
  <c r="F3" i="89"/>
  <c r="C3" i="89"/>
  <c r="F13" i="88"/>
  <c r="D13" i="88"/>
  <c r="F12" i="88"/>
  <c r="D12" i="88"/>
  <c r="C12" i="88"/>
  <c r="F11" i="88"/>
  <c r="D11" i="88"/>
  <c r="F10" i="88"/>
  <c r="D10" i="88"/>
  <c r="F9" i="88"/>
  <c r="D9" i="88"/>
  <c r="F8" i="88"/>
  <c r="C10" i="88" s="1"/>
  <c r="D8" i="88"/>
  <c r="C8" i="88"/>
  <c r="F7" i="88"/>
  <c r="C9" i="88" s="1"/>
  <c r="D7" i="88"/>
  <c r="F6" i="88"/>
  <c r="C7" i="88" s="1"/>
  <c r="D6" i="88"/>
  <c r="C6" i="88"/>
  <c r="F5" i="88"/>
  <c r="D5" i="88"/>
  <c r="C5" i="88"/>
  <c r="F4" i="88"/>
  <c r="C11" i="88" s="1"/>
  <c r="D4" i="88"/>
  <c r="C4" i="88"/>
  <c r="F3" i="88"/>
  <c r="C3" i="88"/>
  <c r="D7" i="87"/>
  <c r="F11" i="16"/>
  <c r="D11" i="16"/>
  <c r="F10" i="16"/>
  <c r="D10" i="16"/>
  <c r="F9" i="16"/>
  <c r="D9" i="16"/>
  <c r="F8" i="16"/>
  <c r="D8" i="16"/>
  <c r="F7" i="16"/>
  <c r="D7" i="16"/>
  <c r="F6" i="16"/>
  <c r="D6" i="16"/>
  <c r="F5" i="16"/>
  <c r="D5" i="16"/>
  <c r="F4" i="16"/>
  <c r="D4" i="16"/>
  <c r="F7" i="3"/>
  <c r="D7" i="3"/>
  <c r="F6" i="3"/>
  <c r="D6" i="3"/>
  <c r="F5" i="3"/>
  <c r="D5" i="3"/>
  <c r="F4" i="3"/>
  <c r="D4" i="3"/>
  <c r="F8" i="5"/>
  <c r="D8" i="5"/>
  <c r="F4" i="5"/>
  <c r="F5" i="5"/>
  <c r="F6" i="5"/>
  <c r="F7" i="5"/>
  <c r="D7" i="5"/>
  <c r="D6" i="5"/>
  <c r="D5" i="5"/>
  <c r="D4" i="5"/>
  <c r="F11" i="87"/>
  <c r="D11" i="87"/>
  <c r="C11" i="87"/>
  <c r="F10" i="87"/>
  <c r="C9" i="87" s="1"/>
  <c r="D10" i="87"/>
  <c r="F9" i="87"/>
  <c r="D9" i="87"/>
  <c r="F8" i="87"/>
  <c r="D8" i="87"/>
  <c r="F7" i="87"/>
  <c r="C10" i="87" s="1"/>
  <c r="C7" i="87"/>
  <c r="F6" i="87"/>
  <c r="D6" i="87"/>
  <c r="F5" i="87"/>
  <c r="C8" i="87" s="1"/>
  <c r="D5" i="87"/>
  <c r="C5" i="87"/>
  <c r="F4" i="87"/>
  <c r="C6" i="87" s="1"/>
  <c r="D4" i="87"/>
  <c r="C4" i="87"/>
  <c r="F3" i="87"/>
  <c r="C3" i="87"/>
  <c r="F10" i="14"/>
  <c r="F9" i="14"/>
  <c r="F8" i="14"/>
  <c r="F7" i="14"/>
  <c r="F6" i="14"/>
  <c r="F5" i="14"/>
  <c r="F4" i="14"/>
  <c r="D10" i="14"/>
  <c r="D9" i="14"/>
  <c r="D8" i="14"/>
  <c r="D7" i="14"/>
  <c r="C5" i="14"/>
  <c r="D6" i="14"/>
  <c r="D5" i="14"/>
  <c r="D4" i="14"/>
  <c r="F19" i="86"/>
  <c r="D19" i="86"/>
  <c r="F18" i="86"/>
  <c r="D18" i="86"/>
  <c r="F17" i="86"/>
  <c r="D17" i="86"/>
  <c r="C12" i="86"/>
  <c r="C11" i="86"/>
  <c r="F16" i="86"/>
  <c r="D16" i="86"/>
  <c r="F15" i="86"/>
  <c r="D15" i="86"/>
  <c r="F14" i="86"/>
  <c r="D14" i="86"/>
  <c r="F13" i="86"/>
  <c r="D13" i="86"/>
  <c r="F12" i="86"/>
  <c r="D12" i="86"/>
  <c r="F11" i="86"/>
  <c r="D11" i="86"/>
  <c r="F10" i="86"/>
  <c r="D10" i="86"/>
  <c r="C10" i="86"/>
  <c r="F9" i="86"/>
  <c r="D9" i="86"/>
  <c r="C9" i="86"/>
  <c r="F8" i="86"/>
  <c r="D8" i="86"/>
  <c r="C8" i="86"/>
  <c r="F7" i="86"/>
  <c r="D7" i="86"/>
  <c r="F6" i="86"/>
  <c r="D6" i="86"/>
  <c r="C6" i="86"/>
  <c r="F5" i="86"/>
  <c r="C7" i="86" s="1"/>
  <c r="D5" i="86"/>
  <c r="C5" i="86"/>
  <c r="C4" i="86"/>
  <c r="F3" i="86"/>
  <c r="C3" i="86"/>
  <c r="F17" i="41"/>
  <c r="D17" i="41"/>
  <c r="F16" i="41"/>
  <c r="D16" i="41"/>
  <c r="F15" i="41"/>
  <c r="D15" i="41"/>
  <c r="F14" i="41"/>
  <c r="D14" i="41"/>
  <c r="F13" i="41"/>
  <c r="D13" i="41"/>
  <c r="F12" i="41"/>
  <c r="D12" i="41"/>
  <c r="F11" i="41"/>
  <c r="D11" i="41"/>
  <c r="F10" i="41"/>
  <c r="D10" i="41"/>
  <c r="F9" i="41"/>
  <c r="D9" i="41"/>
  <c r="F8" i="41"/>
  <c r="D8" i="41"/>
  <c r="F7" i="41"/>
  <c r="D7" i="41"/>
  <c r="F6" i="41"/>
  <c r="D6" i="41"/>
  <c r="F5" i="41"/>
  <c r="D5" i="41"/>
  <c r="F12" i="56"/>
  <c r="D12" i="56"/>
  <c r="F11" i="56"/>
  <c r="D11" i="56"/>
  <c r="F10" i="56"/>
  <c r="D10" i="56"/>
  <c r="F9" i="56"/>
  <c r="D9" i="56"/>
  <c r="F8" i="56"/>
  <c r="D8" i="56"/>
  <c r="F7" i="56"/>
  <c r="C5" i="56" s="1"/>
  <c r="D7" i="56"/>
  <c r="F6" i="56"/>
  <c r="D6" i="56"/>
  <c r="F5" i="56"/>
  <c r="D5" i="56"/>
  <c r="F4" i="56"/>
  <c r="D4" i="56"/>
  <c r="F7" i="40"/>
  <c r="C5" i="40"/>
  <c r="F11" i="40"/>
  <c r="D11" i="40"/>
  <c r="F10" i="40"/>
  <c r="D10" i="40"/>
  <c r="F9" i="40"/>
  <c r="D9" i="40"/>
  <c r="F8" i="40"/>
  <c r="D8" i="40"/>
  <c r="F6" i="40"/>
  <c r="F5" i="40"/>
  <c r="F4" i="40"/>
  <c r="D7" i="40"/>
  <c r="D6" i="40"/>
  <c r="D5" i="40"/>
  <c r="D4" i="40"/>
  <c r="F17" i="57"/>
  <c r="F16" i="57"/>
  <c r="F15" i="57"/>
  <c r="F14" i="57"/>
  <c r="F13" i="57"/>
  <c r="F12" i="57"/>
  <c r="F11" i="57"/>
  <c r="F10" i="57"/>
  <c r="F9" i="57"/>
  <c r="F8" i="57"/>
  <c r="F7" i="57"/>
  <c r="F6" i="57"/>
  <c r="F5" i="57"/>
  <c r="D17" i="57"/>
  <c r="D16" i="57"/>
  <c r="D15" i="57"/>
  <c r="D14" i="57"/>
  <c r="D13" i="57"/>
  <c r="D12" i="57"/>
  <c r="D11" i="57"/>
  <c r="D10" i="57"/>
  <c r="D9" i="57"/>
  <c r="D8" i="57"/>
  <c r="D7" i="57"/>
  <c r="D6" i="57"/>
  <c r="D5" i="57"/>
  <c r="D15" i="11"/>
  <c r="D14" i="11"/>
  <c r="D13" i="11"/>
  <c r="F14" i="11"/>
  <c r="F12" i="11"/>
  <c r="D12" i="11"/>
  <c r="D11" i="11"/>
  <c r="D10" i="11"/>
  <c r="D9" i="11"/>
  <c r="D8" i="11"/>
  <c r="D7" i="11"/>
  <c r="D6" i="11"/>
  <c r="D5" i="11"/>
  <c r="F15" i="11"/>
  <c r="F13" i="11"/>
  <c r="F11" i="11"/>
  <c r="F10" i="11"/>
  <c r="F9" i="11"/>
  <c r="F8" i="11"/>
  <c r="F7" i="11"/>
  <c r="F6" i="11"/>
  <c r="F5" i="11"/>
  <c r="F3" i="84"/>
  <c r="C8" i="84"/>
  <c r="C7" i="84"/>
  <c r="C6" i="84"/>
  <c r="C5" i="84"/>
  <c r="C4" i="84"/>
  <c r="C3" i="84" s="1"/>
  <c r="C9" i="50"/>
  <c r="F3" i="26"/>
  <c r="C5" i="26"/>
  <c r="C6" i="26"/>
  <c r="C7" i="26"/>
  <c r="C8" i="26"/>
  <c r="C9" i="26"/>
  <c r="C4" i="26"/>
  <c r="F3" i="25"/>
  <c r="C5" i="25"/>
  <c r="C4" i="25"/>
  <c r="F3" i="24"/>
  <c r="C5" i="24"/>
  <c r="C6" i="24"/>
  <c r="C4" i="24"/>
  <c r="C3" i="24" s="1"/>
  <c r="F3" i="4"/>
  <c r="C4" i="4"/>
  <c r="C5" i="4"/>
  <c r="C6" i="4"/>
  <c r="C7" i="4"/>
  <c r="C14" i="83"/>
  <c r="C13" i="83"/>
  <c r="C12" i="83"/>
  <c r="C11" i="83"/>
  <c r="C10" i="83"/>
  <c r="C9" i="83"/>
  <c r="C8" i="83"/>
  <c r="C7" i="83"/>
  <c r="C6" i="83"/>
  <c r="C5" i="83"/>
  <c r="C4" i="83"/>
  <c r="C3" i="83" s="1"/>
  <c r="F3" i="83"/>
  <c r="C12" i="81"/>
  <c r="C11" i="81"/>
  <c r="C10" i="81"/>
  <c r="C9" i="81"/>
  <c r="C8" i="81"/>
  <c r="C7" i="81"/>
  <c r="C6" i="81"/>
  <c r="C5" i="81"/>
  <c r="C4" i="81"/>
  <c r="C3" i="81" s="1"/>
  <c r="F3" i="81"/>
  <c r="C11" i="80"/>
  <c r="C10" i="80"/>
  <c r="C9" i="80"/>
  <c r="C8" i="80"/>
  <c r="C7" i="80"/>
  <c r="C6" i="80"/>
  <c r="C4" i="80"/>
  <c r="C3" i="80" s="1"/>
  <c r="F3" i="80"/>
  <c r="C11" i="79"/>
  <c r="C10" i="79"/>
  <c r="C9" i="79"/>
  <c r="C8" i="79"/>
  <c r="C7" i="79"/>
  <c r="C6" i="79"/>
  <c r="C4" i="79"/>
  <c r="C3" i="79" s="1"/>
  <c r="F3" i="79"/>
  <c r="C13" i="78"/>
  <c r="C12" i="78"/>
  <c r="C11" i="78"/>
  <c r="C10" i="78"/>
  <c r="C9" i="78"/>
  <c r="C8" i="78"/>
  <c r="C7" i="78"/>
  <c r="C6" i="78"/>
  <c r="C4" i="78"/>
  <c r="C3" i="78" s="1"/>
  <c r="F3" i="78"/>
  <c r="F3" i="22"/>
  <c r="C13" i="22"/>
  <c r="C12" i="22"/>
  <c r="C11" i="22"/>
  <c r="C10" i="22"/>
  <c r="C9" i="22"/>
  <c r="C8" i="22"/>
  <c r="C7" i="22"/>
  <c r="C6" i="22"/>
  <c r="C4" i="22"/>
  <c r="C3" i="22" s="1"/>
  <c r="F3" i="77"/>
  <c r="C8" i="77"/>
  <c r="C7" i="77"/>
  <c r="C6" i="77"/>
  <c r="C5" i="77"/>
  <c r="C4" i="77"/>
  <c r="C3" i="77" s="1"/>
  <c r="F3" i="60"/>
  <c r="C6" i="60"/>
  <c r="C5" i="60"/>
  <c r="C4" i="60"/>
  <c r="C3" i="60" s="1"/>
  <c r="F3" i="23"/>
  <c r="C7" i="23"/>
  <c r="C8" i="23"/>
  <c r="C6" i="23"/>
  <c r="C5" i="23"/>
  <c r="C4" i="23"/>
  <c r="C3" i="23" s="1"/>
  <c r="F3" i="53"/>
  <c r="F3" i="76"/>
  <c r="C12" i="76"/>
  <c r="C11" i="76"/>
  <c r="C10" i="76"/>
  <c r="C9" i="76"/>
  <c r="C8" i="76"/>
  <c r="C7" i="76"/>
  <c r="C6" i="76"/>
  <c r="C5" i="76"/>
  <c r="C4" i="76"/>
  <c r="C3" i="76" s="1"/>
  <c r="C11" i="53"/>
  <c r="C10" i="53"/>
  <c r="C9" i="53"/>
  <c r="C8" i="53"/>
  <c r="C7" i="53"/>
  <c r="C6" i="53"/>
  <c r="C4" i="53"/>
  <c r="C3" i="53" s="1"/>
  <c r="F3" i="52"/>
  <c r="C11" i="52"/>
  <c r="C10" i="52"/>
  <c r="C9" i="52"/>
  <c r="C8" i="52"/>
  <c r="C7" i="52"/>
  <c r="C4" i="52"/>
  <c r="C6" i="52"/>
  <c r="F3" i="50"/>
  <c r="C10" i="50"/>
  <c r="C8" i="50"/>
  <c r="C7" i="50"/>
  <c r="C6" i="50"/>
  <c r="C5" i="50"/>
  <c r="C4" i="50"/>
  <c r="C3" i="50" s="1"/>
  <c r="F3" i="75"/>
  <c r="C9" i="75"/>
  <c r="C7" i="75"/>
  <c r="C6" i="75"/>
  <c r="C4" i="75"/>
  <c r="C10" i="75"/>
  <c r="C11" i="75"/>
  <c r="C8" i="75"/>
  <c r="C12" i="74"/>
  <c r="C11" i="74"/>
  <c r="C10" i="74"/>
  <c r="C9" i="74"/>
  <c r="C8" i="74"/>
  <c r="C7" i="74"/>
  <c r="C6" i="74"/>
  <c r="C4" i="74"/>
  <c r="C3" i="74" s="1"/>
  <c r="F3" i="74"/>
  <c r="F3" i="70"/>
  <c r="F3" i="47"/>
  <c r="C4" i="47"/>
  <c r="C8" i="47"/>
  <c r="C7" i="47"/>
  <c r="C6" i="47"/>
  <c r="C5" i="47"/>
  <c r="F3" i="73"/>
  <c r="C10" i="73"/>
  <c r="C12" i="73"/>
  <c r="C11" i="73"/>
  <c r="C9" i="73"/>
  <c r="C8" i="73"/>
  <c r="C7" i="73"/>
  <c r="C6" i="73"/>
  <c r="C4" i="73"/>
  <c r="C3" i="73" s="1"/>
  <c r="D22" i="28" s="1"/>
  <c r="C7" i="72"/>
  <c r="C6" i="72"/>
  <c r="C5" i="72"/>
  <c r="C4" i="72"/>
  <c r="C3" i="72" s="1"/>
  <c r="F3" i="72"/>
  <c r="C11" i="71"/>
  <c r="C10" i="71"/>
  <c r="C9" i="71"/>
  <c r="C8" i="71"/>
  <c r="C7" i="71"/>
  <c r="C6" i="71"/>
  <c r="C4" i="71"/>
  <c r="C3" i="71" s="1"/>
  <c r="F3" i="21"/>
  <c r="C10" i="21"/>
  <c r="C9" i="21"/>
  <c r="C8" i="21"/>
  <c r="C7" i="21"/>
  <c r="C6" i="21"/>
  <c r="C4" i="21"/>
  <c r="C3" i="21" s="1"/>
  <c r="D20" i="28" s="1"/>
  <c r="F3" i="18"/>
  <c r="C5" i="18"/>
  <c r="C3" i="18"/>
  <c r="F3" i="19"/>
  <c r="C6" i="19"/>
  <c r="C5" i="19"/>
  <c r="C4" i="19"/>
  <c r="C3" i="19" s="1"/>
  <c r="F3" i="45"/>
  <c r="C7" i="45"/>
  <c r="C6" i="45"/>
  <c r="C5" i="45"/>
  <c r="C4" i="45"/>
  <c r="C3" i="45" s="1"/>
  <c r="E18" i="28" s="1"/>
  <c r="F3" i="17"/>
  <c r="C7" i="17"/>
  <c r="C5" i="17"/>
  <c r="C4" i="17"/>
  <c r="F3" i="14"/>
  <c r="F3" i="41"/>
  <c r="F3" i="56"/>
  <c r="F3" i="40"/>
  <c r="F3" i="57"/>
  <c r="F3" i="16"/>
  <c r="F3" i="3"/>
  <c r="F3" i="5"/>
  <c r="F3" i="11"/>
  <c r="C11" i="70"/>
  <c r="C10" i="70"/>
  <c r="C9" i="70"/>
  <c r="C8" i="70"/>
  <c r="C7" i="70"/>
  <c r="C6" i="70"/>
  <c r="C5" i="70"/>
  <c r="C4" i="70"/>
  <c r="C3" i="70" s="1"/>
  <c r="F22" i="28" s="1"/>
  <c r="C10" i="41"/>
  <c r="C9" i="41"/>
  <c r="C8" i="41"/>
  <c r="C7" i="41"/>
  <c r="C6" i="41"/>
  <c r="C5" i="41"/>
  <c r="C4" i="41"/>
  <c r="C3" i="41" s="1"/>
  <c r="C10" i="16"/>
  <c r="C9" i="16"/>
  <c r="C8" i="16"/>
  <c r="C7" i="16"/>
  <c r="C6" i="16"/>
  <c r="C5" i="16"/>
  <c r="C4" i="16"/>
  <c r="C3" i="16" s="1"/>
  <c r="C6" i="3"/>
  <c r="C7" i="3"/>
  <c r="C5" i="3"/>
  <c r="C4" i="3"/>
  <c r="C3" i="3" s="1"/>
  <c r="I12" i="28" s="1"/>
  <c r="C5" i="5"/>
  <c r="C6" i="5"/>
  <c r="C7" i="5"/>
  <c r="C8" i="5"/>
  <c r="C4" i="5"/>
  <c r="C10" i="14"/>
  <c r="C9" i="14"/>
  <c r="C8" i="14"/>
  <c r="C7" i="14"/>
  <c r="C6" i="14"/>
  <c r="C4" i="14"/>
  <c r="C10" i="57"/>
  <c r="C9" i="57"/>
  <c r="C8" i="57"/>
  <c r="C7" i="57"/>
  <c r="C6" i="57"/>
  <c r="C5" i="57"/>
  <c r="C4" i="57"/>
  <c r="C8" i="11"/>
  <c r="C5" i="11"/>
  <c r="C4" i="11"/>
  <c r="C7" i="11"/>
  <c r="C6" i="11"/>
  <c r="C9" i="56"/>
  <c r="C7" i="40"/>
  <c r="C9" i="40"/>
  <c r="C11" i="56"/>
  <c r="C10" i="56"/>
  <c r="C8" i="56"/>
  <c r="C7" i="56"/>
  <c r="C6" i="56"/>
  <c r="C4" i="56"/>
  <c r="C10" i="40"/>
  <c r="C8" i="40"/>
  <c r="C6" i="40"/>
  <c r="C4" i="40"/>
  <c r="C3" i="47" l="1"/>
  <c r="E22" i="28" s="1"/>
  <c r="X22" i="28"/>
  <c r="S22" i="28"/>
  <c r="C3" i="75"/>
  <c r="Z22" i="28"/>
  <c r="U22" i="28"/>
  <c r="C3" i="52"/>
  <c r="O22" i="28"/>
  <c r="J22" i="28"/>
  <c r="P22" i="28"/>
  <c r="K22" i="28"/>
  <c r="W24" i="28"/>
  <c r="R24" i="28"/>
  <c r="M24" i="28"/>
  <c r="H24" i="28"/>
  <c r="C24" i="28"/>
  <c r="N24" i="28"/>
  <c r="I24" i="28"/>
  <c r="D24" i="28"/>
  <c r="X24" i="28"/>
  <c r="S24" i="28"/>
  <c r="O24" i="28"/>
  <c r="J24" i="28"/>
  <c r="E24" i="28"/>
  <c r="Y24" i="28"/>
  <c r="T24" i="28"/>
  <c r="P24" i="28"/>
  <c r="K24" i="28"/>
  <c r="F24" i="28"/>
  <c r="Z24" i="28"/>
  <c r="U24" i="28"/>
  <c r="Q24" i="28"/>
  <c r="L24" i="28"/>
  <c r="G24" i="28"/>
  <c r="AA24" i="28"/>
  <c r="V24" i="28"/>
  <c r="C3" i="4"/>
  <c r="AB26" i="28" s="1"/>
  <c r="C30" i="28"/>
  <c r="C28" i="28"/>
  <c r="C3" i="25"/>
  <c r="C32" i="28" s="1"/>
  <c r="C3" i="26"/>
  <c r="E32" i="28" s="1"/>
  <c r="R30" i="28"/>
  <c r="R28" i="28"/>
  <c r="C10" i="91"/>
  <c r="C6" i="17"/>
  <c r="C3" i="17" s="1"/>
  <c r="C18" i="28" s="1"/>
  <c r="D4" i="93"/>
  <c r="D3" i="93"/>
  <c r="V16" i="28"/>
  <c r="AA16" i="28"/>
  <c r="AA14" i="28"/>
  <c r="V14" i="28"/>
  <c r="Y20" i="28"/>
  <c r="T20" i="28"/>
  <c r="E20" i="28"/>
  <c r="X20" i="28"/>
  <c r="S20" i="28"/>
  <c r="AA22" i="28"/>
  <c r="V22" i="28"/>
  <c r="Q22" i="28"/>
  <c r="L22" i="28"/>
  <c r="G22" i="28"/>
  <c r="AA20" i="28"/>
  <c r="V20" i="28"/>
  <c r="G20" i="28"/>
  <c r="W22" i="28"/>
  <c r="R22" i="28"/>
  <c r="M22" i="28"/>
  <c r="H22" i="28"/>
  <c r="C22" i="28"/>
  <c r="W20" i="28"/>
  <c r="R20" i="28"/>
  <c r="C20" i="28"/>
  <c r="W10" i="28"/>
  <c r="R10" i="28"/>
  <c r="O12" i="28"/>
  <c r="O16" i="28"/>
  <c r="O14" i="28"/>
  <c r="K16" i="28"/>
  <c r="K14" i="28"/>
  <c r="K12" i="28"/>
  <c r="E16" i="28"/>
  <c r="E14" i="28"/>
  <c r="E12" i="28"/>
  <c r="Y10" i="28"/>
  <c r="T10" i="28"/>
  <c r="Y8" i="28"/>
  <c r="T8" i="28"/>
  <c r="AA12" i="28"/>
  <c r="V12" i="28"/>
  <c r="Z12" i="28"/>
  <c r="T14" i="28"/>
  <c r="Z14" i="28"/>
  <c r="Z16" i="28"/>
  <c r="T16" i="28"/>
  <c r="T12" i="28"/>
  <c r="Q12" i="28"/>
  <c r="L12" i="28"/>
  <c r="G12" i="28"/>
  <c r="X16" i="28"/>
  <c r="S16" i="28"/>
  <c r="N16" i="28"/>
  <c r="I16" i="28"/>
  <c r="D16" i="28"/>
  <c r="D14" i="28"/>
  <c r="I14" i="28"/>
  <c r="N14" i="28"/>
  <c r="S14" i="28"/>
  <c r="X14" i="28"/>
  <c r="X12" i="28"/>
  <c r="S12" i="28"/>
  <c r="N12" i="28"/>
  <c r="D12" i="28"/>
  <c r="C3" i="5"/>
  <c r="W12" i="28"/>
  <c r="W14" i="28"/>
  <c r="W16" i="28"/>
  <c r="R16" i="28"/>
  <c r="R14" i="28"/>
  <c r="R12" i="28"/>
  <c r="M16" i="28"/>
  <c r="H16" i="28"/>
  <c r="C16" i="28"/>
  <c r="M14" i="28"/>
  <c r="H14" i="28"/>
  <c r="C14" i="28"/>
  <c r="M12" i="28"/>
  <c r="H12" i="28"/>
  <c r="C12" i="28"/>
  <c r="C3" i="14"/>
  <c r="M10" i="28"/>
  <c r="C10" i="28"/>
  <c r="H10" i="28"/>
  <c r="O10" i="28"/>
  <c r="J10" i="28"/>
  <c r="E10" i="28"/>
  <c r="O8" i="28"/>
  <c r="J8" i="28"/>
  <c r="E8" i="28"/>
  <c r="C3" i="56"/>
  <c r="W8" i="28"/>
  <c r="R8" i="28"/>
  <c r="C3" i="40"/>
  <c r="M8" i="28"/>
  <c r="H8" i="28"/>
  <c r="C8" i="28"/>
  <c r="C3" i="57"/>
  <c r="R6" i="28" s="1"/>
  <c r="C3" i="11"/>
  <c r="C6" i="28" s="1"/>
  <c r="C5" i="91" l="1"/>
  <c r="C3" i="91"/>
  <c r="N22" i="28"/>
  <c r="I22" i="28"/>
  <c r="Y22" i="28"/>
  <c r="T22" i="28"/>
  <c r="G16" i="28" l="1"/>
  <c r="L16" i="28"/>
  <c r="Q16" i="28"/>
  <c r="Q14" i="28"/>
  <c r="L14" i="28"/>
  <c r="G14" i="28"/>
</calcChain>
</file>

<file path=xl/sharedStrings.xml><?xml version="1.0" encoding="utf-8"?>
<sst xmlns="http://schemas.openxmlformats.org/spreadsheetml/2006/main" count="2952" uniqueCount="720">
  <si>
    <t>4. Решение</t>
  </si>
  <si>
    <t>8. Ключевые метрики</t>
  </si>
  <si>
    <t>7. Структура издержек</t>
  </si>
  <si>
    <t>6. Потоки прибыли</t>
  </si>
  <si>
    <t>9. Скрытое преимущество</t>
  </si>
  <si>
    <t>5. Каналы</t>
  </si>
  <si>
    <t>https://habr.com/ru/companies/productstar/articles/508994/</t>
  </si>
  <si>
    <t>Отдельная таблица на каждый сегмент</t>
  </si>
  <si>
    <t>3. Уникальная ценность (УТП)</t>
  </si>
  <si>
    <t>2.2 Альтернативы</t>
  </si>
  <si>
    <t>2.1 Проблема</t>
  </si>
  <si>
    <t>Небольшие проектные организации. 
ГД</t>
  </si>
  <si>
    <t>Количество продаж;
Количество отзывов</t>
  </si>
  <si>
    <t>1.1 Сегменты потребителей</t>
  </si>
  <si>
    <t>1.2 Ранние последователи</t>
  </si>
  <si>
    <t>Продукт</t>
  </si>
  <si>
    <t>Рынок</t>
  </si>
  <si>
    <t>Lean Canvas Model</t>
  </si>
  <si>
    <r>
      <t xml:space="preserve">Свои каналы
1C
1C:УНФ
</t>
    </r>
    <r>
      <rPr>
        <b/>
        <i/>
        <sz val="11"/>
        <color rgb="FFFF0000"/>
        <rFont val="Calibri"/>
        <family val="2"/>
        <charset val="204"/>
        <scheme val="minor"/>
      </rPr>
      <t>Где тусуются?</t>
    </r>
  </si>
  <si>
    <t>РП из проектного офиса под свои проекты, 
которому нужно передавать результаты заказчику, управлять на основе разнородных данных 
и формировать стандартизированную регулярную честную отчетность руководству.
Увеличивается объем проектов, нужно автоматизировать рутинные операции, уменьшить к-во ошибок.</t>
  </si>
  <si>
    <t>Количество продаж;
Количество пользователей в ГРМ;
Количество отзывов</t>
  </si>
  <si>
    <t>Малые проектные фирмы. 
ФД</t>
  </si>
  <si>
    <t>Малые проектные фирмы. 
ГД</t>
  </si>
  <si>
    <t xml:space="preserve">1C:УНФ с доработками
1С:Бит.Финанс с доработками
Б24 с доработками
</t>
  </si>
  <si>
    <t>Своя разработка;
ERP: цепочка заказов &lt;-&gt; производство</t>
  </si>
  <si>
    <t>https://scrumtrek.ru/blog/product-management/9113/lean-canvas-chto-eto/</t>
  </si>
  <si>
    <t>Свои каналы
1C
Специализированные тематические площадки</t>
  </si>
  <si>
    <t>Комплексная система для РП по управлению проектами, ресурсами и финансами проектов, проектным документооборотом</t>
  </si>
  <si>
    <t>Количество продаж;
 Количество отзывов</t>
  </si>
  <si>
    <t>Комплексные управление  бюджетами и упр.учет в одной системе.
Управление рентабельностью подразделений/направлений/организации.
Сохранение/оптимизация баланса затрат и свободного/чистого денежного потока.
Увеличение объемов/рентабельности через управление загрузкой, сроками и стоимостью.</t>
  </si>
  <si>
    <t>Сводная картина по экономике организации и ден.потоку на основании актуального сводного плана и плана инвестиций.
При изменении любой сущности все пересчитывается, т.к. взаимосвязано.</t>
  </si>
  <si>
    <t>Система мониторинга производственной деятельности, синхронизированная с планами по проектам, объемам и по ресурсам.
Управление загрузкой, сроками и стоимостью по проектам портфеля для увеличения объемов/рентабельности.</t>
  </si>
  <si>
    <t xml:space="preserve">Система мониторинга производственной деятельности, синхронизированная с планами по проектам, объемам и по ресурсам.
Управление загрузкой, сроками и стоимостью по проектам портфеля для увеличения объемов/рентабельности.
</t>
  </si>
  <si>
    <r>
      <t>Малые проектные фирмы.  
Руководители направления (</t>
    </r>
    <r>
      <rPr>
        <b/>
        <sz val="11"/>
        <color rgb="FFFF0000"/>
        <rFont val="Calibri"/>
        <family val="2"/>
        <charset val="204"/>
        <scheme val="minor"/>
      </rPr>
      <t>не влияют на покупку системы</t>
    </r>
    <r>
      <rPr>
        <b/>
        <sz val="11"/>
        <color theme="1"/>
        <rFont val="Calibri"/>
        <family val="2"/>
        <charset val="204"/>
        <scheme val="minor"/>
      </rPr>
      <t>).</t>
    </r>
  </si>
  <si>
    <t>Средние проектные фирмы. 
ФД</t>
  </si>
  <si>
    <t xml:space="preserve">Сводная картина по экономике организации и ден.потоку на основании актуального сводного плана и плана инвестиций.
</t>
  </si>
  <si>
    <r>
      <t xml:space="preserve">1C
1С:ERP 
</t>
    </r>
    <r>
      <rPr>
        <b/>
        <i/>
        <sz val="11"/>
        <rFont val="Calibri"/>
        <family val="2"/>
        <charset val="204"/>
        <scheme val="minor"/>
      </rPr>
      <t>Финансовой направленности</t>
    </r>
  </si>
  <si>
    <t xml:space="preserve">1C: ERP с доработками
1С:Бит.Финанс с доработками
Б24 с доработками
</t>
  </si>
  <si>
    <t xml:space="preserve">1C:ERP с доработками
1С:Бит.Финанс с доработками
Б24 с доработками
</t>
  </si>
  <si>
    <t>Комплексные управление  бюджетами и упр.учет в одной системе.</t>
  </si>
  <si>
    <t>Возможность самостоятельной доработки.</t>
  </si>
  <si>
    <t>1C
1С:ERP
Финансовой направленности</t>
  </si>
  <si>
    <t xml:space="preserve">Свои каналы
1C
1C:ERP
Отраслевые ресурсы </t>
  </si>
  <si>
    <r>
      <t xml:space="preserve">Свои каналы
1C
1C:ERP
</t>
    </r>
    <r>
      <rPr>
        <b/>
        <i/>
        <sz val="11"/>
        <rFont val="Calibri"/>
        <family val="2"/>
        <charset val="204"/>
        <scheme val="minor"/>
      </rPr>
      <t>Отраслевые ресурсы</t>
    </r>
  </si>
  <si>
    <t>Средние проектные фирмы.  
Директора по производству.</t>
  </si>
  <si>
    <t>Средние проектные фирмы. 
ГД</t>
  </si>
  <si>
    <t xml:space="preserve">Тематика машиностроения (авиа, судо, станко строение) - выставки, конференции, </t>
  </si>
  <si>
    <t>Тематические выставки</t>
  </si>
  <si>
    <t>Крупные проектные организации. 
ГД, 1-й Зам ГД.</t>
  </si>
  <si>
    <t>Комплексные управление основной проектной деятельностью и инвестпроектами в разрезе финансов, ресурсов и пр..
Управление и учет по ЦФО/Направлениям</t>
  </si>
  <si>
    <t>Возможность доработки;</t>
  </si>
  <si>
    <t>Сценарное моделирование.</t>
  </si>
  <si>
    <t>Иерархические проекты</t>
  </si>
  <si>
    <t>Оперативная сборка и актуализация исполнения инвестпрограммы
Сценарное моделирование.</t>
  </si>
  <si>
    <t>Инвест подразделения в Холдингах.
Начальник инвест отдела</t>
  </si>
  <si>
    <t>Свои каналы
1C
1C:УНФ</t>
  </si>
  <si>
    <t>Небольшие проектные организации. 
Руководитель проектного подразделения</t>
  </si>
  <si>
    <t>Оглавление Lean Canvas Model для РМ5</t>
  </si>
  <si>
    <t>МикроГД</t>
  </si>
  <si>
    <t>МикроРСП</t>
  </si>
  <si>
    <t>Сегмент</t>
  </si>
  <si>
    <t>Вид заказчика. Краткое описание</t>
  </si>
  <si>
    <t>Специфическая задача сегмента</t>
  </si>
  <si>
    <t>Особенности</t>
  </si>
  <si>
    <t>Вид продукта PM</t>
  </si>
  <si>
    <t>Соло</t>
  </si>
  <si>
    <t>Заказчик - РП под свои проекты.</t>
  </si>
  <si>
    <t>Есть исполнители.</t>
  </si>
  <si>
    <t>Ведение проекта для РП</t>
  </si>
  <si>
    <t>Простой аналог работы в MS Project  и MS Excel. Каждый РП ведет свой проект. Бюджетирование проектов. Многомерные проекты, Проектная продукция, task tracker+канбан-доска с лимитами</t>
  </si>
  <si>
    <t>PM.ПРОФ в ГРМ/</t>
  </si>
  <si>
    <t>PM.Стандарт</t>
  </si>
  <si>
    <t>До 60 человек; Заказчик – ГД. В управлении нет руководителей производственных отделов</t>
  </si>
  <si>
    <t xml:space="preserve">Проектное управление </t>
  </si>
  <si>
    <t>для организации с функц. или проектной структурами</t>
  </si>
  <si>
    <t xml:space="preserve">Управление ресурсами </t>
  </si>
  <si>
    <t>(доступность, решение конфликтов), Моделирование проектной загрузки. Бюджетирование по организации. Косвенные по организации в целом. Структура проектов предприятия (EPS)</t>
  </si>
  <si>
    <t>PM.ПРОФ</t>
  </si>
  <si>
    <t>Заказчик – руководитель подразделения внутри организации</t>
  </si>
  <si>
    <t>Малый1</t>
  </si>
  <si>
    <t>60-200 человек; Направления со своим управлением.</t>
  </si>
  <si>
    <t>Проекты внутри направлений.</t>
  </si>
  <si>
    <t>Разрез по подразделениям в произв. и экономических данных</t>
  </si>
  <si>
    <t>Темплан. Объемное планирование, ресурсные планы. Бюджетирование по подразделениям. Финрез по подразделениям и косвенные затраты по подразделениям</t>
  </si>
  <si>
    <t>Малый2</t>
  </si>
  <si>
    <t>60-200 человек; ГИПы+Рук.подр., сквозные проекты,</t>
  </si>
  <si>
    <t>Производственные отделы участвуют в управлении</t>
  </si>
  <si>
    <t>Проектное управление для организации с матричной стр.</t>
  </si>
  <si>
    <t>Поддержка матричной системы, бронирование</t>
  </si>
  <si>
    <t>PM.КОРП</t>
  </si>
  <si>
    <t>Средний1</t>
  </si>
  <si>
    <t>200-600 человек;</t>
  </si>
  <si>
    <t>ПЭО и ПДО под ФД</t>
  </si>
  <si>
    <t>для организации с матричной структурой</t>
  </si>
  <si>
    <t>+Оценка и Контрактация</t>
  </si>
  <si>
    <t xml:space="preserve">Контрактация проектов. </t>
  </si>
  <si>
    <t>Проектный калькулятор.</t>
  </si>
  <si>
    <t>Управление договорами.</t>
  </si>
  <si>
    <t>Модели управления портфелями, программами. Фазы.</t>
  </si>
  <si>
    <t>Ведение графиков проектов в несколько десятков тысяч строк.</t>
  </si>
  <si>
    <t xml:space="preserve">ГОЗ (Специальные счета казначейства, контроль БДДС по счетам, учет трудозатрат в разрезе работ по ГОЗ), Иерархические проекты. </t>
  </si>
  <si>
    <t xml:space="preserve">MDR – управление реестром и структурой документации. Управление рисками. </t>
  </si>
  <si>
    <t>Моделирование «что если» внутри проекта.</t>
  </si>
  <si>
    <t>Мат.нормирование проекта (по драйверам).</t>
  </si>
  <si>
    <t xml:space="preserve">API c системами управления проектами и объемами. </t>
  </si>
  <si>
    <t>Средний2</t>
  </si>
  <si>
    <t>Дир.Произв и ФД</t>
  </si>
  <si>
    <t>Средний3</t>
  </si>
  <si>
    <t>200-600 человек; НИПИ, ГИПы+Рук.подр.</t>
  </si>
  <si>
    <t>Производственные отделы участвуют в управлении;</t>
  </si>
  <si>
    <t>м.б. Контрактация</t>
  </si>
  <si>
    <t>Средний4</t>
  </si>
  <si>
    <t>200-600 человек; Инж, ГИПы+Рук.подр.</t>
  </si>
  <si>
    <t>Средний5 ИТ</t>
  </si>
  <si>
    <t>200-600 человек; ИТ</t>
  </si>
  <si>
    <t>Контрактация, буккирование.</t>
  </si>
  <si>
    <t>Крупный1</t>
  </si>
  <si>
    <t>600-3000 человек;</t>
  </si>
  <si>
    <t>Институт в институте; 2 уровня ПЭО</t>
  </si>
  <si>
    <t>Проектное управление для организации со сложной иерархической структурой</t>
  </si>
  <si>
    <t>Институт в институте.</t>
  </si>
  <si>
    <t xml:space="preserve">PM.КОРП </t>
  </si>
  <si>
    <r>
      <t xml:space="preserve">(? </t>
    </r>
    <r>
      <rPr>
        <sz val="9"/>
        <color rgb="FFFF0000"/>
        <rFont val="Calibri"/>
        <family val="2"/>
        <charset val="204"/>
      </rPr>
      <t>PM.КОРП Холдинг</t>
    </r>
    <r>
      <rPr>
        <sz val="9"/>
        <color rgb="FF000000"/>
        <rFont val="Calibri"/>
        <family val="2"/>
        <charset val="204"/>
      </rPr>
      <t>)</t>
    </r>
  </si>
  <si>
    <t>Крупный2</t>
  </si>
  <si>
    <t xml:space="preserve">600-3000 человек; </t>
  </si>
  <si>
    <t>Сквозные проекты; 2 уровня диспетчеров</t>
  </si>
  <si>
    <t>Холдинг1.1/ Кооперация</t>
  </si>
  <si>
    <t>Головной-Соисполнители. Сквозные проекты. Головной ППО и ДЗО в одной базе</t>
  </si>
  <si>
    <t>Управление работами соисполнителей</t>
  </si>
  <si>
    <t>Общее управление ресурсами (Голова-Соисп.)</t>
  </si>
  <si>
    <t>PM.КОРП Упр.Кооп.(?)</t>
  </si>
  <si>
    <t>Холдинг1.2/ Кооперация</t>
  </si>
  <si>
    <t>Головной-Соисполнители. Сквозные проекты. Головной ППО и ДЗО в разных базах</t>
  </si>
  <si>
    <t>Общее управление ресурсами (Голова-Соисп.) Иерархические проекты в разных базах.</t>
  </si>
  <si>
    <t>Холдинг2 Инвест</t>
  </si>
  <si>
    <r>
      <t xml:space="preserve">Холдинг. </t>
    </r>
    <r>
      <rPr>
        <sz val="9"/>
        <color rgb="FF000000"/>
        <rFont val="Arial"/>
        <family val="2"/>
        <charset val="204"/>
      </rPr>
      <t>УК-ДЗО.</t>
    </r>
  </si>
  <si>
    <t>Инвестиционные проекты. Gate, Заявки</t>
  </si>
  <si>
    <t>Управление инвестпрограммой</t>
  </si>
  <si>
    <t>Заявки, Gate, Моделирование «что если» для инвестпрограммы.</t>
  </si>
  <si>
    <t>PM.КОРП Холдинг</t>
  </si>
  <si>
    <t>LCM</t>
  </si>
  <si>
    <t>ГД</t>
  </si>
  <si>
    <t>ФД</t>
  </si>
  <si>
    <t>РукНапр</t>
  </si>
  <si>
    <t>Концепция</t>
  </si>
  <si>
    <t>e1cib/data/Справочник.Файлы?ref=80f7000c295e34e311ea467fc0ee57af</t>
  </si>
  <si>
    <t>РПО</t>
  </si>
  <si>
    <t>РП</t>
  </si>
  <si>
    <t>РСП</t>
  </si>
  <si>
    <t>ДП</t>
  </si>
  <si>
    <t>ППО</t>
  </si>
  <si>
    <t>Инвест подразделения в Холдингах.
Директор инвестдепартамента (ДИД)</t>
  </si>
  <si>
    <t>1-й зам ГД/ИспДир</t>
  </si>
  <si>
    <t>РукЦентров</t>
  </si>
  <si>
    <t>Трудоемкое</t>
  </si>
  <si>
    <t>Трудоемкое+сборка</t>
  </si>
  <si>
    <t>Фондо/ Финансовоемкое</t>
  </si>
  <si>
    <t>Сегменты</t>
  </si>
  <si>
    <t>НИПИ</t>
  </si>
  <si>
    <t>ИТ/консалтинг</t>
  </si>
  <si>
    <t>Проектный офис (Коммуникации и трекинг)</t>
  </si>
  <si>
    <t>Инжиниринг</t>
  </si>
  <si>
    <t>Медиа</t>
  </si>
  <si>
    <t>Машиностроение/ проектное производство</t>
  </si>
  <si>
    <t>Проектные инвестиции</t>
  </si>
  <si>
    <t>Капстрой</t>
  </si>
  <si>
    <t>Девелопмент</t>
  </si>
  <si>
    <t>Ведение проекта для РП.</t>
  </si>
  <si>
    <t>Х</t>
  </si>
  <si>
    <t>Проектное управление для компании. Специалисты подчиняются ГД.</t>
  </si>
  <si>
    <t>Проектное управление для подразделения. Специалисты подчиняются РСП.</t>
  </si>
  <si>
    <t>Нескольких проектных направлений. Проекты в рамках направлений.</t>
  </si>
  <si>
    <t>Малый2.1.</t>
  </si>
  <si>
    <t>Проектное управление для организации со слабоматричной структурой. Сквозные проекты.</t>
  </si>
  <si>
    <t>Малый2.2.</t>
  </si>
  <si>
    <t>Проектное управление для организации с сильноматричной структурой. Сквозные проекты.</t>
  </si>
  <si>
    <t>Средний1.ПЭО+ПДО. Заказчик - ФД</t>
  </si>
  <si>
    <t>Средний5.ИТ. Буккирование. Контрактация. Произв. отделы участвуют в управлении.</t>
  </si>
  <si>
    <t>Средний4.Инжиниринг</t>
  </si>
  <si>
    <t>Средний2.НИПИ без РП. Дир. по произв-ву и ФД</t>
  </si>
  <si>
    <t>Средний3.НИПИ</t>
  </si>
  <si>
    <t>Институт в Институте. Проекты в рамках направлений.</t>
  </si>
  <si>
    <t>Сквозные проекты. Два уровня диспетчеров.</t>
  </si>
  <si>
    <t>Холдинг1.1.</t>
  </si>
  <si>
    <t>ППО и ДЗО в одной базе</t>
  </si>
  <si>
    <t>Холдинг 1.2.</t>
  </si>
  <si>
    <t>ППО и ДЗО в разных базах</t>
  </si>
  <si>
    <t>Холдинг2</t>
  </si>
  <si>
    <t>УК-ДЗО. Инвестиционные проекты. Gate, Заявки</t>
  </si>
  <si>
    <t>Шаги проработки</t>
  </si>
  <si>
    <t>Вид комплексного продукта PM</t>
  </si>
  <si>
    <t>ДО</t>
  </si>
  <si>
    <t>Корп.бюдж. (+Казна)</t>
  </si>
  <si>
    <t>Учет</t>
  </si>
  <si>
    <t>Диск</t>
  </si>
  <si>
    <t>-</t>
  </si>
  <si>
    <t>УНФ/Свое</t>
  </si>
  <si>
    <t>УНФ/БП</t>
  </si>
  <si>
    <t>УНФ/ERP/БП</t>
  </si>
  <si>
    <t>ДО/Другие</t>
  </si>
  <si>
    <t>УНФ/ERP/Свое</t>
  </si>
  <si>
    <r>
      <t>УНФ</t>
    </r>
    <r>
      <rPr>
        <sz val="10"/>
        <color rgb="FF000000"/>
        <rFont val="Calibri"/>
        <family val="2"/>
        <charset val="204"/>
      </rPr>
      <t>/ERP/Свое</t>
    </r>
  </si>
  <si>
    <t>ERP/Свое</t>
  </si>
  <si>
    <t>ERP/БП</t>
  </si>
  <si>
    <t>ERP/УХ/Свое</t>
  </si>
  <si>
    <t>УХ + ERP/УХ/БП</t>
  </si>
  <si>
    <t>УХ</t>
  </si>
  <si>
    <t>(УХ.ERP в ДЗО)</t>
  </si>
  <si>
    <t>УХ + Шаблон на ERP</t>
  </si>
  <si>
    <t>УХ (УХ.ERP в ДЗО)</t>
  </si>
  <si>
    <t>УНФ+PM</t>
  </si>
  <si>
    <t>УНФ+PM
ERP+PM</t>
  </si>
  <si>
    <t>ERP+PM</t>
  </si>
  <si>
    <t>?</t>
  </si>
  <si>
    <t>Средний3-5</t>
  </si>
  <si>
    <t>ДИД</t>
  </si>
  <si>
    <t>НИО</t>
  </si>
  <si>
    <t>Тип производства/Виды деятельности</t>
  </si>
  <si>
    <t>Материалоемкое</t>
  </si>
  <si>
    <t>Инжиниринговые организации.  
Директора по проектам.</t>
  </si>
  <si>
    <t>Система мониторинга производственной и закупочной деятельности, синхронизированная с планами по проектам, объемам и по ресурсам.
Актуализация: сроки закупки ТМЦ  и актуализируемый план проекта в обе стороны</t>
  </si>
  <si>
    <t>Комплексные управление проектами, бюджетами и упр.учет в одной системе.
Управление рентабельностью проектов и фирмы в целом.
Сохранение/оптимизация баланса затрат и свободного/чистого денежного потока.
Увеличение объемов/рентабельности через управление загрузкой, сроками и стоимостью.</t>
  </si>
  <si>
    <t>Комплексные управление проектами, бюджетами и упр.учет в одной системе.
Управление рентабельностью проектов и направления в целом.
Увеличение объемов/ рентабельности через управление загрузкой, сроками и стоимостью.
Сокращение простоев за счет планирования и анализа обеспеченности работ при интеграции с КИС.</t>
  </si>
  <si>
    <t>Не занимались</t>
  </si>
  <si>
    <t>В работе</t>
  </si>
  <si>
    <t>Глубокая реализация</t>
  </si>
  <si>
    <t>решение сформулировано</t>
  </si>
  <si>
    <t>решение не сформулировано</t>
  </si>
  <si>
    <t>решение сформулировано частично</t>
  </si>
  <si>
    <t>Базовая реализация (в т.ч. удобно)</t>
  </si>
  <si>
    <t>Техническая реализация</t>
  </si>
  <si>
    <r>
      <t>Интеграция с CRM-системой (</t>
    </r>
    <r>
      <rPr>
        <b/>
        <sz val="11"/>
        <color theme="3" tint="0.39997558519241921"/>
        <rFont val="Calibri"/>
        <family val="2"/>
        <charset val="204"/>
        <scheme val="minor"/>
      </rPr>
      <t>УНФ</t>
    </r>
    <r>
      <rPr>
        <b/>
        <sz val="11"/>
        <color theme="1"/>
        <rFont val="Calibri"/>
        <family val="2"/>
        <charset val="204"/>
        <scheme val="minor"/>
      </rPr>
      <t xml:space="preserve"> или Б24);
</t>
    </r>
    <r>
      <rPr>
        <b/>
        <sz val="11"/>
        <color theme="9" tint="-0.499984740745262"/>
        <rFont val="Calibri"/>
        <family val="2"/>
        <charset val="204"/>
        <scheme val="minor"/>
      </rPr>
      <t>Возможность доработки</t>
    </r>
    <r>
      <rPr>
        <b/>
        <sz val="11"/>
        <color theme="1"/>
        <rFont val="Calibri"/>
        <family val="2"/>
        <charset val="204"/>
        <scheme val="minor"/>
      </rPr>
      <t>;
Облако-коробка.</t>
    </r>
  </si>
  <si>
    <r>
      <rPr>
        <b/>
        <sz val="11"/>
        <color theme="9" tint="-0.499984740745262"/>
        <rFont val="Calibri"/>
        <family val="2"/>
        <charset val="204"/>
        <scheme val="minor"/>
      </rPr>
      <t>Многофирменный учет;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3" tint="0.39997558519241921"/>
        <rFont val="Calibri"/>
        <family val="2"/>
        <charset val="204"/>
        <scheme val="minor"/>
      </rPr>
      <t>Бесшовная интеграция с 1С (УНФ, БП)</t>
    </r>
    <r>
      <rPr>
        <b/>
        <sz val="11"/>
        <color theme="1"/>
        <rFont val="Calibri"/>
        <family val="2"/>
        <charset val="204"/>
        <scheme val="minor"/>
      </rPr>
      <t xml:space="preserve">;
Облако-коробка;
</t>
    </r>
    <r>
      <rPr>
        <b/>
        <sz val="11"/>
        <color theme="9" tint="-0.499984740745262"/>
        <rFont val="Calibri"/>
        <family val="2"/>
        <charset val="204"/>
        <scheme val="minor"/>
      </rPr>
      <t>Возможность доработки.</t>
    </r>
  </si>
  <si>
    <t>Малые проектные фирмы.  
Дир по производству (РПО, ГИ+ППО).</t>
  </si>
  <si>
    <t>Ведение проекта для РП (М)</t>
  </si>
  <si>
    <t>Проектное управление для компании. Специалисты подчиняются ГД. (М)</t>
  </si>
  <si>
    <t>Проектное управление для подразделения. Специалисты подчиняются РСП. (М)</t>
  </si>
  <si>
    <t>Нескольких проектных направлений. Проекты в рамках направлений. (М)</t>
  </si>
  <si>
    <t>Слабоматричная структура. Сквозные проекты. (М)</t>
  </si>
  <si>
    <t>Сильноматрична структура. Сквозные проекты.(М)</t>
  </si>
  <si>
    <t>Средний2.НИПИ без РП. Дир. по произв-ву и ФД (М)</t>
  </si>
  <si>
    <t>Комплексные управление проектами, бюджетами и упр.учет в одной системе.
Управление рентабельностью проектов и фирмы в целом.
Сохранение/оптимизация баланса затрат и свободного/чистого денежного потока.
Увеличение объемов/рентабельности через управление загрузкой, сроками и стоимостью.
Сокращение простоев за счет планирования и анализа обеспеченности работ
Повышение рентабельности за счет объединенных закупок</t>
  </si>
  <si>
    <t>Система мониторинга производственной деятельности, синхронизированная с планами по проектам, объемам и по ресурсам.
Управление загрузкой, сроками и стоимостью по проектам портфеля для увеличения объемов/рентабельности.
Сокращение простоев за счет планирования и анализа обеспеченности работ</t>
  </si>
  <si>
    <t xml:space="preserve">2.1 Проблема </t>
  </si>
  <si>
    <r>
      <rPr>
        <b/>
        <sz val="11"/>
        <rFont val="Calibri"/>
        <family val="2"/>
        <charset val="204"/>
        <scheme val="minor"/>
      </rPr>
      <t>MS Excel, MS Project, Трекинговые системы</t>
    </r>
    <r>
      <rPr>
        <b/>
        <sz val="11"/>
        <color rgb="FFFF0000"/>
        <rFont val="Calibri"/>
        <family val="2"/>
        <charset val="204"/>
        <scheme val="minor"/>
      </rPr>
      <t xml:space="preserve">
1С:ДО (!!!)</t>
    </r>
    <r>
      <rPr>
        <b/>
        <sz val="11"/>
        <color theme="1"/>
        <rFont val="Calibri"/>
        <family val="2"/>
        <charset val="204"/>
        <scheme val="minor"/>
      </rPr>
      <t xml:space="preserve"> с доработками
Б24 с доработками
А2 (?)</t>
    </r>
  </si>
  <si>
    <t>1) Не понятна рентабельность проектов</t>
  </si>
  <si>
    <t>2) Неравномерная рваная загрузка</t>
  </si>
  <si>
    <t>[4]</t>
  </si>
  <si>
    <t>[1]</t>
  </si>
  <si>
    <t>Упр.учет фирмы в разрезе проектов</t>
  </si>
  <si>
    <t>Предконтрактный план с оценкой (простой проектный калькулятор)</t>
  </si>
  <si>
    <t>Средние проектные фирмы. 
ПДО</t>
  </si>
  <si>
    <t>Небольшие проектные организации. 
РП</t>
  </si>
  <si>
    <t>Средние проектные фирмы. 
ППО</t>
  </si>
  <si>
    <t xml:space="preserve">
</t>
  </si>
  <si>
    <t>Средние ИТ организации.  
Директора по проектам/РПО.</t>
  </si>
  <si>
    <t>Средние ИТ организации.  
Проектный офис</t>
  </si>
  <si>
    <t>Средние ИТ организации. 
РП</t>
  </si>
  <si>
    <t>Инжиниринговые организации. 
Дир по производству (РПО, ГИ+ППО).</t>
  </si>
  <si>
    <t>Инжиниринговые организации. 
РП</t>
  </si>
  <si>
    <t>НИПИ
ППО</t>
  </si>
  <si>
    <t>Малые проектные организации. 
РП</t>
  </si>
  <si>
    <t>3) Сложности устойчивого роста (с т.з. синхронного роста объемов и персонала)</t>
  </si>
  <si>
    <t>4) Как сохранить контроль и прозрачность при делегировании</t>
  </si>
  <si>
    <t>5) Кассовые разрывы (тогда и не обращаются)</t>
  </si>
  <si>
    <t>6) Сложное перераспределение специалистов по задачам проектов</t>
  </si>
  <si>
    <t>7) Понимание фронта работ, готовых к исполнению</t>
  </si>
  <si>
    <t>[2]</t>
  </si>
  <si>
    <t>[6]</t>
  </si>
  <si>
    <t>[3]</t>
  </si>
  <si>
    <t>[5]</t>
  </si>
  <si>
    <t>Актуализация загрузки</t>
  </si>
  <si>
    <t>[7]</t>
  </si>
  <si>
    <t>Анализ обеспеченности и формирование фронта работ</t>
  </si>
  <si>
    <t>7) Непонимание фронта работ, готовых к исполнению</t>
  </si>
  <si>
    <t xml:space="preserve">8) Высокая трудоемкость и стоимость каждой отдельной закупки ТМЦ. Закупок очень много. </t>
  </si>
  <si>
    <t>[8]</t>
  </si>
  <si>
    <t>Объединенные закупки (лоты)</t>
  </si>
  <si>
    <t>Небольшие проектные организации со сборкой.
ГД</t>
  </si>
  <si>
    <t>7) Непонимание фронта работ, готовых к исполнению (в т.ч. обеспеченных ТМЦ)</t>
  </si>
  <si>
    <t>Анализ обеспеченности (в т.ч. ТМЦ) и формирование фронта работ</t>
  </si>
  <si>
    <t xml:space="preserve">Комплексная система по управлению проектом для РП, обеспечивающая: </t>
  </si>
  <si>
    <t>Связь</t>
  </si>
  <si>
    <t>[1, 4]</t>
  </si>
  <si>
    <t>[2, 6]</t>
  </si>
  <si>
    <t xml:space="preserve"> [1, 2, 4]</t>
  </si>
  <si>
    <t xml:space="preserve"> [3]</t>
  </si>
  <si>
    <t>Статус-отчеты по проекту. От Фазы Пресейла до Завершения договора</t>
  </si>
  <si>
    <t>Диспетчирование работ (поручения)</t>
  </si>
  <si>
    <t>Канбан-доска</t>
  </si>
  <si>
    <t>Интеграция с трекинг-системами</t>
  </si>
  <si>
    <t>1С:Взаимодействие</t>
  </si>
  <si>
    <t xml:space="preserve"> [5]</t>
  </si>
  <si>
    <t>Многомерный проект (проект, у которого несколько планов)</t>
  </si>
  <si>
    <t xml:space="preserve"> [4]</t>
  </si>
  <si>
    <t>1) Нет единой системы управления проектами и проектного документооборота (~MDR базовый)</t>
  </si>
  <si>
    <t>2) Тратится много времени на обмен печ.формами и реестрами с заказчиком/своей бухгалтерией. Нужно регистрировать такой вспомогательный документооборот и отслеживать его статусы в привязке к Проекту и этапу проекта.</t>
  </si>
  <si>
    <t>3) Нет возможности полуавтоматической генерации отчетности по проекту заказчику/руководству.</t>
  </si>
  <si>
    <t>4) Сложно организовать хранение разноплановых данных: этапы, сроки, документы, реестры, обязательства предконтрактной стадии и договорные суммы, ресурсы</t>
  </si>
  <si>
    <t>5) Нет удобной и надежной системы взаимодействия с исполнителями работ</t>
  </si>
  <si>
    <t>6) Нет четкого понимания когда и какие ТМЦ будут нужны с учетом текущей ситуации по проекту</t>
  </si>
  <si>
    <t>7) Нет данных какие работы обеспечены ТМЦ</t>
  </si>
  <si>
    <t xml:space="preserve"> [6]</t>
  </si>
  <si>
    <t xml:space="preserve"> [7]</t>
  </si>
  <si>
    <t>Комплексная система для РП по управлению проектами, ресурсами и финансами проектов, проектным документооборотом
Сокращение простоев за счет планирования и анализа обеспеченности работ</t>
  </si>
  <si>
    <t>Управление проектами</t>
  </si>
  <si>
    <t>Привязка спецификаций к работам проекта</t>
  </si>
  <si>
    <t>Связь проектов, заказов поставщикам и факта поставки ТМЦ</t>
  </si>
  <si>
    <t>3) Сложности в обосновании привлечения ресурсов (увеличение штата/ привлечение подрядчиков)</t>
  </si>
  <si>
    <t>4) Не оплачиваются счета на оплату подрядчиков.</t>
  </si>
  <si>
    <t>5) Сложное перераспределение специалистов по задачам проектов</t>
  </si>
  <si>
    <t>6) Насколько исполняются проекты подразделения.</t>
  </si>
  <si>
    <t>[2, 5]</t>
  </si>
  <si>
    <t>[1, 3]</t>
  </si>
  <si>
    <t>Интеграция с КИС</t>
  </si>
  <si>
    <t>Упр и ресурсный учет подразделения в разрезе проектов</t>
  </si>
  <si>
    <t>8) Нет данных когда требуемые проекту ТМЦ поступят</t>
  </si>
  <si>
    <t>1) Не понятна рентабельность  (подразделений/ направлений)</t>
  </si>
  <si>
    <t>2) Сложности устойчивого роста (с т.з. синхронного роста объемов, обеспеченности заказами и персонала)</t>
  </si>
  <si>
    <t>3) На все ли открывшиеся возможности хватит денег</t>
  </si>
  <si>
    <t>4) Как сохранить прозрачность и контроль при делегировании</t>
  </si>
  <si>
    <t>5) Отсутствие передачи лучших практик между направлениями</t>
  </si>
  <si>
    <t xml:space="preserve"> [1]</t>
  </si>
  <si>
    <t xml:space="preserve"> [2]</t>
  </si>
  <si>
    <t>Тиражирование технологий управления на все направления</t>
  </si>
  <si>
    <t>Бюджеты для финансирования возможностей</t>
  </si>
  <si>
    <t>Управление сводными планами</t>
  </si>
  <si>
    <t>1) Сводный бюджет организации не актуализируется по изменениям сводного плана. Нет инфо об изменениях в проектах.</t>
  </si>
  <si>
    <t>2) Кассовые разрывы из-за п.1 и больших инвестиций.</t>
  </si>
  <si>
    <t>3) Котловой учет себестоимости, нет инструмента для управления рентабельностью проектов/подразделений/направлений.</t>
  </si>
  <si>
    <t>4) Платежный календарь верстается вручную в XLS. Заявки ходят по почте.</t>
  </si>
  <si>
    <t>[1, 2]</t>
  </si>
  <si>
    <t>Сводная картина по экономике фирмы и ден.потоку на основании актуального сводного плана и плана инвестиций</t>
  </si>
  <si>
    <t>Платежный календарь</t>
  </si>
  <si>
    <r>
      <rPr>
        <b/>
        <sz val="11"/>
        <color theme="9" tint="-0.499984740745262"/>
        <rFont val="Calibri"/>
        <family val="2"/>
        <charset val="204"/>
        <scheme val="minor"/>
      </rPr>
      <t>Многофирменный учет;</t>
    </r>
    <r>
      <rPr>
        <b/>
        <sz val="11"/>
        <rFont val="Calibri"/>
        <family val="2"/>
        <charset val="204"/>
        <scheme val="minor"/>
      </rPr>
      <t xml:space="preserve">
</t>
    </r>
    <r>
      <rPr>
        <b/>
        <sz val="11"/>
        <color theme="3" tint="0.39997558519241921"/>
        <rFont val="Calibri"/>
        <family val="2"/>
        <charset val="204"/>
        <scheme val="minor"/>
      </rPr>
      <t>Интеграция 1С:РМ с КИС на 1С;</t>
    </r>
    <r>
      <rPr>
        <b/>
        <sz val="11"/>
        <rFont val="Calibri"/>
        <family val="2"/>
        <charset val="204"/>
        <scheme val="minor"/>
      </rPr>
      <t xml:space="preserve">
Облако-коробка;
</t>
    </r>
    <r>
      <rPr>
        <b/>
        <sz val="11"/>
        <color theme="9" tint="-0.499984740745262"/>
        <rFont val="Calibri"/>
        <family val="2"/>
        <charset val="204"/>
        <scheme val="minor"/>
      </rPr>
      <t>Возможность доработки.</t>
    </r>
  </si>
  <si>
    <r>
      <rPr>
        <b/>
        <sz val="11"/>
        <color theme="9" tint="-0.499984740745262"/>
        <rFont val="Calibri"/>
        <family val="2"/>
        <charset val="204"/>
        <scheme val="minor"/>
      </rPr>
      <t>Многофирменный учет;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3" tint="0.39997558519241921"/>
        <rFont val="Calibri"/>
        <family val="2"/>
        <charset val="204"/>
        <scheme val="minor"/>
      </rPr>
      <t>Бесшовная интеграция с 1С;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9" tint="-0.499984740745262"/>
        <rFont val="Calibri"/>
        <family val="2"/>
        <charset val="204"/>
        <scheme val="minor"/>
      </rPr>
      <t>Возможность самостоятельной доработки;</t>
    </r>
    <r>
      <rPr>
        <b/>
        <sz val="11"/>
        <color theme="1"/>
        <rFont val="Calibri"/>
        <family val="2"/>
        <charset val="204"/>
        <scheme val="minor"/>
      </rPr>
      <t xml:space="preserve">
Облако-коробка (размещение на своих серверах).</t>
    </r>
  </si>
  <si>
    <r>
      <rPr>
        <b/>
        <sz val="11"/>
        <color theme="9" tint="-0.499984740745262"/>
        <rFont val="Calibri"/>
        <family val="2"/>
        <charset val="204"/>
        <scheme val="minor"/>
      </rPr>
      <t>Возможность самостоятельной доработки.</t>
    </r>
    <r>
      <rPr>
        <b/>
        <sz val="11"/>
        <color theme="1"/>
        <rFont val="Calibri"/>
        <family val="2"/>
        <charset val="204"/>
        <scheme val="minor"/>
      </rPr>
      <t xml:space="preserve">
???</t>
    </r>
  </si>
  <si>
    <r>
      <t xml:space="preserve">Крупные проектные организации. 
</t>
    </r>
    <r>
      <rPr>
        <b/>
        <sz val="11"/>
        <rFont val="Calibri"/>
        <family val="2"/>
        <charset val="204"/>
        <scheme val="minor"/>
      </rPr>
      <t>ППО</t>
    </r>
  </si>
  <si>
    <t>Крупные проектные организации. 
Руководители центров/ направлений</t>
  </si>
  <si>
    <t>Крупные проектно-инжиниринговые организации. 
Руководители центров/ направлений</t>
  </si>
  <si>
    <t>Крупные проектные организации.
РП</t>
  </si>
  <si>
    <t>1) Нужна система мониторинга производственной деятельности, синхронизированная с планами по проектам, объемам и по ресурсам</t>
  </si>
  <si>
    <t>2) Сложности устойчивого роста</t>
  </si>
  <si>
    <t>2.1) с т.з. синхронного роста объемов и персонала</t>
  </si>
  <si>
    <t>2.2) Неравномерная рваная загрузка (не скажут об этом)</t>
  </si>
  <si>
    <t>2.3) Несогласованность возможностей производственных направлений и планов продаж</t>
  </si>
  <si>
    <t>2.4) Требуется сокращение сроков и повышение точности предварительной оценки проектов</t>
  </si>
  <si>
    <t>2.5) Нужно зрелое ресурсное линейно-функциональное/ проектное управление.</t>
  </si>
  <si>
    <t>Интеграция с внешней производственной системой</t>
  </si>
  <si>
    <t>[2.1, 2.2]</t>
  </si>
  <si>
    <t>[2.4]</t>
  </si>
  <si>
    <t>[2.5]</t>
  </si>
  <si>
    <t>[2.3]</t>
  </si>
  <si>
    <t>2.6) Понимание фронта работ, готовых к исполнению (в т.ч. обеспеченных ТМЦ)</t>
  </si>
  <si>
    <t xml:space="preserve">3) Высокая трудоемкость и стоимость каждой отдельной закупки ТМЦ. Закупок очень много. </t>
  </si>
  <si>
    <t>[2.6]</t>
  </si>
  <si>
    <t>[1, 2.6]</t>
  </si>
  <si>
    <t>[2.5, 2.6]</t>
  </si>
  <si>
    <t>Синхронизация мониторинга производственной деятельности с планами по проектам, объемам и по ресурсам</t>
  </si>
  <si>
    <t>Балансировка объемов и ресурсов</t>
  </si>
  <si>
    <t>Механизм укрупненной оценки проектов на структуре проекта с печатной формой (Обоснование стоимости проекта)</t>
  </si>
  <si>
    <t>Трехуровневое ресурсное планирование с прогнозами</t>
  </si>
  <si>
    <t>Контроль качества и применимость ресурсов (компетенции, квалификации)</t>
  </si>
  <si>
    <t>Влияние производительности ресурсов на трудоемкость и сроки</t>
  </si>
  <si>
    <t>Темплан, включая планирование объемов актирования по контрактации (без самой контрактации)</t>
  </si>
  <si>
    <t xml:space="preserve">2.5) Нужно зрелое ресурсное матричное управление </t>
  </si>
  <si>
    <t>3) Нужно автоформирование оперативного фронта работ (плана производства).</t>
  </si>
  <si>
    <t>4) Недостаточный контроль заключения договоров и актирования</t>
  </si>
  <si>
    <t>Матричное ресурсное управление:</t>
  </si>
  <si>
    <t>Оперативный фронт работ (план производственных подраз): - подошли сроки, работы обеспечены, баласировки под мощность подразделений</t>
  </si>
  <si>
    <t>Управление договорами</t>
  </si>
  <si>
    <t>Контроль актирования</t>
  </si>
  <si>
    <r>
      <t xml:space="preserve">Многофирменный учет;
</t>
    </r>
    <r>
      <rPr>
        <b/>
        <sz val="11"/>
        <color theme="3" tint="0.39997558519241921"/>
        <rFont val="Calibri"/>
        <family val="2"/>
        <charset val="204"/>
        <scheme val="minor"/>
      </rPr>
      <t>Бесшовная интеграция с 1С;</t>
    </r>
    <r>
      <rPr>
        <b/>
        <sz val="11"/>
        <color theme="9" tint="-0.499984740745262"/>
        <rFont val="Calibri"/>
        <family val="2"/>
        <charset val="204"/>
        <scheme val="minor"/>
      </rPr>
      <t xml:space="preserve">
Возможность самостоятельной доработки;</t>
    </r>
  </si>
  <si>
    <r>
      <rPr>
        <b/>
        <sz val="11"/>
        <color theme="9" tint="-0.499984740745262"/>
        <rFont val="Calibri"/>
        <family val="2"/>
        <charset val="204"/>
        <scheme val="minor"/>
      </rPr>
      <t>Многофирменный учет;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3" tint="0.39997558519241921"/>
        <rFont val="Calibri"/>
        <family val="2"/>
        <charset val="204"/>
        <scheme val="minor"/>
      </rPr>
      <t>Бесшовная интеграция с 1С;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9" tint="-0.499984740745262"/>
        <rFont val="Calibri"/>
        <family val="2"/>
        <charset val="204"/>
        <scheme val="minor"/>
      </rPr>
      <t>Возможность самостоятельной доработки;</t>
    </r>
  </si>
  <si>
    <r>
      <rPr>
        <b/>
        <sz val="11"/>
        <color theme="9" tint="-0.499984740745262"/>
        <rFont val="Calibri"/>
        <family val="2"/>
        <charset val="204"/>
        <scheme val="minor"/>
      </rPr>
      <t xml:space="preserve">Многофирменный учет;
</t>
    </r>
    <r>
      <rPr>
        <b/>
        <sz val="11"/>
        <color theme="3" tint="0.39997558519241921"/>
        <rFont val="Calibri"/>
        <family val="2"/>
        <charset val="204"/>
        <scheme val="minor"/>
      </rPr>
      <t>Бесшовная интеграция с 1С;</t>
    </r>
    <r>
      <rPr>
        <b/>
        <sz val="11"/>
        <color theme="9" tint="-0.499984740745262"/>
        <rFont val="Calibri"/>
        <family val="2"/>
        <charset val="204"/>
        <scheme val="minor"/>
      </rPr>
      <t xml:space="preserve">
Возможность самостоятельной доработки;</t>
    </r>
  </si>
  <si>
    <r>
      <t xml:space="preserve">Бесшовная интеграция с 1С:ERP (Финансы, ЗУП, Закупки, ...);
Поддержка учета в филиальной структуре;
Импортонезависимый стек;
Поддержка ГОЗ;
</t>
    </r>
    <r>
      <rPr>
        <b/>
        <sz val="11"/>
        <color theme="9" tint="-0.499984740745262"/>
        <rFont val="Calibri"/>
        <family val="2"/>
        <charset val="204"/>
        <scheme val="minor"/>
      </rPr>
      <t>Возможность самостоятельной доработки и поддержки внутренними центрами компетенций.</t>
    </r>
  </si>
  <si>
    <r>
      <t xml:space="preserve">Бесшовная интеграция с 1С:ERP (производство, спецификации, номенклатура);
</t>
    </r>
    <r>
      <rPr>
        <b/>
        <sz val="11"/>
        <color theme="9" tint="-0.499984740745262"/>
        <rFont val="Calibri"/>
        <family val="2"/>
        <charset val="204"/>
        <scheme val="minor"/>
      </rPr>
      <t xml:space="preserve">Возможность доработки;
</t>
    </r>
    <r>
      <rPr>
        <b/>
        <sz val="11"/>
        <color theme="1"/>
        <rFont val="Calibri"/>
        <family val="2"/>
        <charset val="204"/>
        <scheme val="minor"/>
      </rPr>
      <t>Импортонезависимый стек.</t>
    </r>
  </si>
  <si>
    <t>6) Не понятна рентабельность проекта</t>
  </si>
  <si>
    <t>7) Нет понимания фронта работ, готовых к исполнению</t>
  </si>
  <si>
    <t>Единообразное планирование проектов (План-график, трудозатраты, фин план)</t>
  </si>
  <si>
    <t>Проектный документооборот (~MDR базовый)  (жизненный цикл основных проектных артефактов, указанных в ТЗ и договоре)</t>
  </si>
  <si>
    <t>Актуализация информации</t>
  </si>
  <si>
    <t>Формирование отчетности по проектам</t>
  </si>
  <si>
    <t>8) Нет четкого понимания когда и какие ТМЦ будут нужны с учетом текущей ситуации по проекту</t>
  </si>
  <si>
    <t>9) Нет данных когда требуемые проекту ТМЦ поступят</t>
  </si>
  <si>
    <t>[8, 9]</t>
  </si>
  <si>
    <t>1) Нет единой системы управления проектами</t>
  </si>
  <si>
    <t>MDR</t>
  </si>
  <si>
    <t>8) У служб предприятия отличаются взгляды (подходы) к планированию проекта</t>
  </si>
  <si>
    <t xml:space="preserve"> [8]</t>
  </si>
  <si>
    <t>Средние проектные организации. НИПИ.
РП</t>
  </si>
  <si>
    <t>1) Котловой учет себестоимости, нет инструмента для управления рентабельностью проектов/подразделений/направлений.</t>
  </si>
  <si>
    <t>3) Разрозненные данные по отдельным проектам. Нет актуальной сводной информации и анализа перегрузов, недогрузов, БДР и БДДС.</t>
  </si>
  <si>
    <t>4) Недостаточный контроль за исполнением обязательств по договорам.</t>
  </si>
  <si>
    <t>[2, 3]</t>
  </si>
  <si>
    <t>1) Неравномерная рваная загрузка</t>
  </si>
  <si>
    <t>2) Разрозненные данные по отдельным проектам. Нет актуальной сводной информации и анализа перегрузов, недогрузов.</t>
  </si>
  <si>
    <t>3) Очень трудоемко и долго актуализировать данные по проектам и подразделениям</t>
  </si>
  <si>
    <t>1) Сложности устойчивого роста (с т.з. синхронного роста объемов, обеспеченности заказами и персонала)</t>
  </si>
  <si>
    <t>2) На все ли открывшиеся возможности хватит денег</t>
  </si>
  <si>
    <t>3) Как сохранить прозрачность и контроль при делегировании</t>
  </si>
  <si>
    <t xml:space="preserve"> [1, 3]</t>
  </si>
  <si>
    <t>2)Непрозрачное планирование затрат на ФОТ</t>
  </si>
  <si>
    <t>Подробные планы загрузки сотрудников</t>
  </si>
  <si>
    <t>2.2) Неравномерная рваная загрузка</t>
  </si>
  <si>
    <t>3) Недостаточный контроль за исполнением обязательств по договорам.</t>
  </si>
  <si>
    <t>4) Нет компоновок совокупности проектов под различные цели.</t>
  </si>
  <si>
    <t>[2.1]</t>
  </si>
  <si>
    <t>[2.2]</t>
  </si>
  <si>
    <t>Интеграция с системой управления проектами</t>
  </si>
  <si>
    <t>Управление портфелями и программами</t>
  </si>
  <si>
    <t>Темплан, включая планирование контрактации</t>
  </si>
  <si>
    <t>5) Понимание фронта работ, готовых к исполнению (в т.ч. обеспеченных ТМЦ)</t>
  </si>
  <si>
    <t>Составление сводных планов, балансировка и минимизация ресурсных конфликтов</t>
  </si>
  <si>
    <t>Интеграции c системой трекинга работ</t>
  </si>
  <si>
    <t>2.5) Нужно зрелое ресурсное управление.</t>
  </si>
  <si>
    <t>[2.4].</t>
  </si>
  <si>
    <t>Проектный калькулятор</t>
  </si>
  <si>
    <t>[2.5].</t>
  </si>
  <si>
    <t>3) Отсутствие передачи лучших практик между проектами.</t>
  </si>
  <si>
    <t>Тиражирование технологий управления на все проекты</t>
  </si>
  <si>
    <t>2) Неравномерная рваная загрузка (не скажут об этом)</t>
  </si>
  <si>
    <t xml:space="preserve">3) Нужно зрелое ресурсное матричное управление </t>
  </si>
  <si>
    <t>4) Нужно автоформирование оперативного фронта работ (плана производства).</t>
  </si>
  <si>
    <t>Матричное ресурсное управление</t>
  </si>
  <si>
    <t>Оперативный фронт работ (план производства)</t>
  </si>
  <si>
    <r>
      <t>4</t>
    </r>
    <r>
      <rPr>
        <b/>
        <sz val="11"/>
        <rFont val="Calibri"/>
        <family val="2"/>
        <charset val="204"/>
        <scheme val="minor"/>
      </rPr>
      <t>) Сложно обеспечивать ритмичный ход производства (диспетчирование и планирование)</t>
    </r>
  </si>
  <si>
    <t>5) Сложно обеспечивать ритмичный ход производства (диспетчирование и планирование)</t>
  </si>
  <si>
    <t>Система мониторинга производственной деятельности, синхронизированная с планами по проектам, объемам и по ресурсам.
Актуализация: сроки закупки ТМЦ  и актуализируемый план проекта в обе стороны</t>
  </si>
  <si>
    <t>3) Нужно автоформирование оперативного фронта работ (плана производства) из обеспеченных работ (в т.ч. ТМЦ)</t>
  </si>
  <si>
    <t>1) Не понятна рентабельность проекта</t>
  </si>
  <si>
    <t>2) Очень много субпродуктов проекта с различных статусах и составах.</t>
  </si>
  <si>
    <t>3) Нет понимания фронта работ, готовых к исполнению (в т.ч. обеспеченных ТМЦ)</t>
  </si>
  <si>
    <t>4) Слабый контроль выполнения работ. Не укладываются в срок.</t>
  </si>
  <si>
    <t>5) У служб предприятия отличаются взгляды (подходы) к планированию проекта</t>
  </si>
  <si>
    <t>7) Нет данных когда требуемые проекту ТМЦ поступят</t>
  </si>
  <si>
    <t>1) Не понятна рентабельность  (подразделений/ направлений/проектов)</t>
  </si>
  <si>
    <t>2.4) Нужно зрелое ресурсное управление.</t>
  </si>
  <si>
    <t>2.3) Требуется сокращение сроков и повышение точности предварительной оценки проектов</t>
  </si>
  <si>
    <t>2.2) Несогласованность возможностей производственных направлений и планов продаж</t>
  </si>
  <si>
    <t>1) Требуется планировать, балансировать и актуализировать объемы по проектам и подразделениям на длительный срок (производственная программа).</t>
  </si>
  <si>
    <t>[1, 2.3]</t>
  </si>
  <si>
    <t>9) Слабый контроль выполнения работ. Не укладываются в срок.</t>
  </si>
  <si>
    <t>[9]</t>
  </si>
  <si>
    <t>Учет факта выполнения работ.</t>
  </si>
  <si>
    <t>1) Как обеспечить прозрачность и контроль</t>
  </si>
  <si>
    <t>3) Синхронизированность денпотоков по основной деятельности, инвестициям и фин.инструментам.</t>
  </si>
  <si>
    <t>4) Отсутствие передачи лучших практик между направлениями.</t>
  </si>
  <si>
    <t>5) Нужно мониторить достижение стратегических целей.</t>
  </si>
  <si>
    <t xml:space="preserve">[1, 2] </t>
  </si>
  <si>
    <t xml:space="preserve">[3] </t>
  </si>
  <si>
    <t xml:space="preserve">[4] </t>
  </si>
  <si>
    <t xml:space="preserve">[5] </t>
  </si>
  <si>
    <t>3) Требуется планировать, балансировать и актуализировать объемы по проектам и подразделениям на длительный срок (производственная программа).</t>
  </si>
  <si>
    <t>3) Нет четкого понимания когда и какие ТМЦ будут нужны с учетом текущей ситуации по проекту</t>
  </si>
  <si>
    <t>4) Нет данных когда требуемые проекту ТМЦ поступят</t>
  </si>
  <si>
    <t>5) Требуется планировать, балансировать и актуализировать объемы по проектам и подразделениям на длительный срок (производственная программа).</t>
  </si>
  <si>
    <t>[3, 4]</t>
  </si>
  <si>
    <t>[1, 5]</t>
  </si>
  <si>
    <t>5) Слабый контроль за повышением производительности труда</t>
  </si>
  <si>
    <t>[2.2, 2.5]</t>
  </si>
  <si>
    <t>[1, 2.2]</t>
  </si>
  <si>
    <t>[2.5, 5]</t>
  </si>
  <si>
    <t>[1, 2.1]</t>
  </si>
  <si>
    <t>Крупные проектные организации. 
ПДО</t>
  </si>
  <si>
    <t>3) Нужно автоформирование оперативного фронта работ (плана производства) (в т.ч. ТМЦ)</t>
  </si>
  <si>
    <t>7) Нет понимания фронта работ, готовых к исполнению  (в т.ч. обеспеченных ТМЦ)</t>
  </si>
  <si>
    <t>10) Нет четкого понимания когда и какие ТМЦ будут нужны с учетом текущей ситуации по проекту</t>
  </si>
  <si>
    <t>11) Нет данных когда требуемые проекту ТМЦ поступят</t>
  </si>
  <si>
    <t>[10]</t>
  </si>
  <si>
    <t>[10, 11]</t>
  </si>
  <si>
    <t>Крупные инжиниринговые организации.
РП</t>
  </si>
  <si>
    <t>1) Нет автоматической связи/акутализации данных между разными уровнями управления (2 уровня диспетчеров). План-графики неактуальны.</t>
  </si>
  <si>
    <t>2) По цехам нет актуального приоритизированного фронта работ.</t>
  </si>
  <si>
    <t>3) В планах проектов отражены не все работы, которые необходимы для выпуска изделий и постройки объектов. РП при составлении планов по незнанию указывает не все связи.</t>
  </si>
  <si>
    <t>Многомерные проекты.</t>
  </si>
  <si>
    <t>Оперативный фронт работ (план производства).</t>
  </si>
  <si>
    <t>Загрузка из файла-шаблона с PDM/PLM данными. Состав изделия, состав работ, связи.</t>
  </si>
  <si>
    <t>Проектное производство/ машиностроительные организации. 
Дир.по производству/по проектам</t>
  </si>
  <si>
    <t>Средство визуализации 3D модели изделий и последовательностей изготовления, привязанных к плану проекта</t>
  </si>
  <si>
    <r>
      <t xml:space="preserve">Многомерные взаимосвязанные графики;
Актуализация план-графика работ по данным производства (по разным уровням);
Формирование фронта работ цехов на основании графиков работ и приоритезации.
Формирование планов проектов на основании структуры изделий из PDM.
Анализ обеспеченности работ.
</t>
    </r>
    <r>
      <rPr>
        <b/>
        <sz val="11"/>
        <rFont val="Calibri"/>
        <family val="2"/>
        <charset val="204"/>
        <scheme val="minor"/>
      </rPr>
      <t>Визуализация в 3D производства изделия для мониторинга состояния объекта, проверки последовательности работ в плане.</t>
    </r>
  </si>
  <si>
    <t>1) Неравномерная рваная загрузка ресурсов холдинга</t>
  </si>
  <si>
    <t>2) Оперативное получение актуальных данных от ДЗО</t>
  </si>
  <si>
    <t>3) Для Холдинг1.2. понимание актуальных планов, причин проблем, подтвержденные планами и фактом из баз ДЗО</t>
  </si>
  <si>
    <t>Cоставление сводных планов, минимизация ресурсных конфликтов.</t>
  </si>
  <si>
    <t>Интеграция баз Холдинг-ДЗО.</t>
  </si>
  <si>
    <t>Начальник ППО Холдинга</t>
  </si>
  <si>
    <t>Расчет финпоказателей в заявках.</t>
  </si>
  <si>
    <t xml:space="preserve">Сценарное моделирование. «Что если». </t>
  </si>
  <si>
    <t>Актуализация инвестпрограммы на основании связанных проектов.</t>
  </si>
  <si>
    <t>Инвестпрограмма.</t>
  </si>
  <si>
    <t>1) Нет точных расчетов инвестпрограммы</t>
  </si>
  <si>
    <t>2) Редко и трудоемко собирается и актуализируется инвестпрограмма</t>
  </si>
  <si>
    <t>1) Заявки передаются разными каналами, теряются, в разных форматах, нет всех данных.</t>
  </si>
  <si>
    <t>2) Не рассчитывается эконэффект и финпоказатели</t>
  </si>
  <si>
    <t>3) Долго формируется сводная инвестпрограмма.</t>
  </si>
  <si>
    <t>4) Нет контрольных точек продолжения финансирования</t>
  </si>
  <si>
    <t>5) Разрозненные данные по исполнению инвестпрограммы</t>
  </si>
  <si>
    <t xml:space="preserve">6) Нет связи между рисками и инвестпроектами </t>
  </si>
  <si>
    <t>%</t>
  </si>
  <si>
    <t>Учет факта выполнения работ</t>
  </si>
  <si>
    <t>Многомерные проекты</t>
  </si>
  <si>
    <t>[6, 7]</t>
  </si>
  <si>
    <t>Упр.учет фирмы в разрезе  подразделений, направлений, проектов</t>
  </si>
  <si>
    <t>Возможность доработки</t>
  </si>
  <si>
    <t>ППО. Трудоемкое+сборка (Закупка у Холдинга)</t>
  </si>
  <si>
    <t>4) Сложно обеспечивать ритмичный ход производства (диспетчирование и планирование)</t>
  </si>
  <si>
    <t>Идея</t>
  </si>
  <si>
    <t>Статус</t>
  </si>
  <si>
    <t>Бронирование базовое</t>
  </si>
  <si>
    <t>РСП: управление пакетами работ, за которые они назначены ответственными</t>
  </si>
  <si>
    <t>Актуализация и балансировка фин.планов</t>
  </si>
  <si>
    <t>Балансировка и минимизация кассовых разрывов</t>
  </si>
  <si>
    <t>Инвестпрограмма</t>
  </si>
  <si>
    <t>Инвестзаявки в системе</t>
  </si>
  <si>
    <t>Gate</t>
  </si>
  <si>
    <t>Отметка в работах проекта о наличии ТМЦ из спецификаций и смена статуса работ на "обеспеченные"</t>
  </si>
  <si>
    <t>Актуализация инвестпрограммы на основании связанных проектов</t>
  </si>
  <si>
    <t>Балансировка объемов и минимизация ресурсных конфликтов</t>
  </si>
  <si>
    <t>Расчет финпоказателей в заявках</t>
  </si>
  <si>
    <t>Заявки в системе</t>
  </si>
  <si>
    <t>Сценарное моделирование. «Что если»</t>
  </si>
  <si>
    <t xml:space="preserve">4) Нет визуализации состава и последовательности изготовления изделий:
- Не очевидна последовательность сборки изделий
- </t>
  </si>
  <si>
    <t>Актуализация информации по проектам</t>
  </si>
  <si>
    <t>Интеграция баз Холдинг-ДЗО</t>
  </si>
  <si>
    <t>Загрузка из файла-шаблона с PDM/PLM данными. Состав изделия, состав работ, связи</t>
  </si>
  <si>
    <t>Нет в сценарии</t>
  </si>
  <si>
    <t>Нет Функций ИС</t>
  </si>
  <si>
    <t>Комментарий</t>
  </si>
  <si>
    <t>Упр.учет фирмы в разрезе подразделений, направлений, проектов</t>
  </si>
  <si>
    <t>Малые инжиниринговые фирмы.  
Дир по производству (РПО, ГИ+ППО).</t>
  </si>
  <si>
    <t>3) Нужно автоформирование оперативного фронта работ (плана производства), в т.ч. ТМЦ.</t>
  </si>
  <si>
    <t>Для кого: Генеральный директор (РПО)</t>
  </si>
  <si>
    <t>Исполнитель - РП</t>
  </si>
  <si>
    <t>Бизнес задача: Верхнеуровневый контроль состояния проектов реестра</t>
  </si>
  <si>
    <t>Актуальная информация по реестру проектов в разрезе (анализ текущего состоянию проектов):</t>
  </si>
  <si>
    <t>КСГ проекта (актируемые этапы) план/факт сроков</t>
  </si>
  <si>
    <t>Контрольных точек ( Проектные решения - ответственных за них) план/факт исполнения КТ</t>
  </si>
  <si>
    <t>Потенциальные риски Есть/нет наличие</t>
  </si>
  <si>
    <t>БДР и БДДС - План/факт</t>
  </si>
  <si>
    <t>Факт и актуализация в ручном режиме</t>
  </si>
  <si>
    <t>ЛПР</t>
  </si>
  <si>
    <t>Крупный бизнес (Стандарт.проекты, заказные проекты)</t>
  </si>
  <si>
    <t>Финансовый директор</t>
  </si>
  <si>
    <t>Директор по производству</t>
  </si>
  <si>
    <t>Прямые финансовые потери на перерасходах. Условно: на проекте стоимостью 1млн.руб. потери могут составлять 200-300тыс.</t>
  </si>
  <si>
    <t xml:space="preserve">Потери/ недополученная прибыль </t>
  </si>
  <si>
    <t>Невозможно управлять маржинальностью, отсюда большие финансовые потери, низкая скорость реакции и неверные управленческие решения</t>
  </si>
  <si>
    <r>
      <rPr>
        <b/>
        <sz val="11"/>
        <color theme="1"/>
        <rFont val="Calibri"/>
        <family val="2"/>
        <charset val="204"/>
        <scheme val="minor"/>
      </rPr>
      <t xml:space="preserve">№1 Предсказуемость и управляемость 
(Скорость и качество управленческих решений, возможность влиять на ситуацию)
</t>
    </r>
    <r>
      <rPr>
        <sz val="11"/>
        <color theme="1"/>
        <rFont val="Calibri"/>
        <family val="2"/>
        <charset val="204"/>
        <scheme val="minor"/>
      </rPr>
      <t xml:space="preserve">
То, чт о раньше было просто - теперь стало сложно (отчетность). Нужно переходить от EXCEL - Куда-то. Куда пока не ясно.  Сводные данные по конторе - есть и без нас.  
Шаг 1 - им нужна информация по маржинальности по подразделениям с возможностью провалиться до первички
Шаг 2 - нужен переход от котлового учета, чтобы внутри подразделений видеть маржинальность до уровня направлений/ проектов</t>
    </r>
  </si>
  <si>
    <t>Проблемы/ Боли/ Задачи
За что ЛПР будет готов заплатить 1млн.+ руб.?</t>
  </si>
  <si>
    <r>
      <t xml:space="preserve">№4 Предотвращение кассовых разрывов и контроль ликвидности (является прямым следствием маржинальности организации)
</t>
    </r>
    <r>
      <rPr>
        <sz val="11"/>
        <color theme="1"/>
        <rFont val="Calibri"/>
        <family val="2"/>
        <charset val="204"/>
        <scheme val="minor"/>
      </rPr>
      <t>- Из-за неактуальных данных кассовые разрывы чаще всего не видны
- Из-за этого постоянно  приходится "тушить пожары" 
- Что в свою очередь снижает рентабельность бизнеса</t>
    </r>
  </si>
  <si>
    <r>
      <t xml:space="preserve">№3 Актуальный бюджет и Прибыль организации
</t>
    </r>
    <r>
      <rPr>
        <sz val="11"/>
        <color theme="1"/>
        <rFont val="Calibri"/>
        <family val="2"/>
        <charset val="204"/>
        <scheme val="minor"/>
      </rPr>
      <t>- Бюджет теряет актуальность уже через 1-2 месяца т.к. ситуация на проектах меняется
- Учетная система зачастую не содержит информации о перспективных объемов, их планируют общей суммой (серая зона = зона нехватки объемов), поэтому невозможно оценить прогресс контрактации и осуществимость этих планов.
- подразделения не отвечают за прибыль, расходы растут, не понятно какие из них действительно нужны, а какие можно срезать
- Инвестиционные расходы в итоге выше, чем прибыль организации</t>
    </r>
  </si>
  <si>
    <t>Не выполняется план по прибыли
Нет возможности повлиять на ситуацию, когда ещё можно
Инвестиции превышают доходы компании или наоборот, упущенная выгода от того что не вложили в развитие</t>
  </si>
  <si>
    <t>Не выполняется план по прибыли
Большие финансовые потери
Нет понимания, как выйти на желаемую прибыль</t>
  </si>
  <si>
    <t>Снижение маржинальности бизнеса (прибыли) из-за "внезапных" кассовых разрывов, погасить которые стоит дорого</t>
  </si>
  <si>
    <r>
      <rPr>
        <b/>
        <sz val="11"/>
        <color theme="1"/>
        <rFont val="Calibri"/>
        <family val="2"/>
        <charset val="204"/>
        <scheme val="minor"/>
      </rPr>
      <t>№1 Регулярные срывы сроков по проектам и перерасход нормочасов</t>
    </r>
    <r>
      <rPr>
        <sz val="11"/>
        <color theme="1"/>
        <rFont val="Calibri"/>
        <family val="2"/>
        <charset val="204"/>
        <scheme val="minor"/>
      </rPr>
      <t xml:space="preserve">
 - не можем вовремя увидеть, где есть отклонения по проекту и принять меры, часто принимаем интуитивные решения а не на основе цифр, Перерасход по нормочасам видим, когда исправить уже ничего нельзя
 - Нельзя сравнить проекты между собой. В итоге - не выстроить внятные контролируемые показатели
 - Разные подразделения не понимают кто что делает. Взаимодействуют через руководителя. В итоге- нарушена коммуникация участников внутри проекта. Ручное разруливание конфликтов лично руководителем
 - Специалисты на проектах делают то, что им удобно, а не то что нужно по графику В итоге - это ставит под угрозу срывы сроков на проектах</t>
    </r>
  </si>
  <si>
    <r>
      <rPr>
        <b/>
        <sz val="11"/>
        <color theme="1"/>
        <rFont val="Calibri"/>
        <family val="2"/>
        <charset val="204"/>
        <scheme val="minor"/>
      </rPr>
      <t>№2  Выполнение объемов: Не выполнить / непонимаю как выполнить план, который мне ставят, текущими ресурсами, а руководство настаивает</t>
    </r>
    <r>
      <rPr>
        <sz val="11"/>
        <color theme="1"/>
        <rFont val="Calibri"/>
        <family val="2"/>
        <charset val="204"/>
        <scheme val="minor"/>
      </rPr>
      <t xml:space="preserve">
 - Нет взаимосвязей между разными проектами. Сложно проследить, как сдвиг сроков на одном проекте влияет на другой проект. В итоге - ситуации, когда люди перегружены и рарываются между проектами и мы не можем выполнить объем.
- Нет синхронизации с планами по продажам. В итоге приходят выгодные контракты, которые мы не можем начать выполнять из-за нехватки мощности.
- Не понимаем при старте проекта, выполним ли он в указанные сроки или нет. В итоге - берем проект, сроки все время на грани срывов.
- Страдает качество и актуальность экономических и финансовых данных по проектной деятельности</t>
    </r>
  </si>
  <si>
    <t>Не получается масштабировать</t>
  </si>
  <si>
    <t xml:space="preserve">№3 Не хвататет объемов, чтобы обеспечить загрузку сотрудников. Простои.
</t>
  </si>
  <si>
    <t>Прямые убытки - ЗП платим, доходы снижаются, люди не загружены</t>
  </si>
  <si>
    <r>
      <rPr>
        <b/>
        <sz val="11"/>
        <color theme="1"/>
        <rFont val="Calibri"/>
        <family val="2"/>
        <charset val="204"/>
        <scheme val="minor"/>
      </rPr>
      <t xml:space="preserve">1. Прозрачность, управлемость порядок
 </t>
    </r>
    <r>
      <rPr>
        <sz val="11"/>
        <color theme="1"/>
        <rFont val="Calibri"/>
        <family val="2"/>
        <charset val="204"/>
        <scheme val="minor"/>
      </rPr>
      <t xml:space="preserve">- Нет актуальной аналитики. Решения принимаются вслепую или на основе неактуальных данных.
- Непредсказуемость сроков и хронические срывы сроков. </t>
    </r>
  </si>
  <si>
    <r>
      <t xml:space="preserve"> №2 Рост маржинальности портфеля проектов за счет управляемости
</t>
    </r>
    <r>
      <rPr>
        <sz val="11"/>
        <color theme="1"/>
        <rFont val="Calibri"/>
        <family val="2"/>
        <charset val="204"/>
        <scheme val="minor"/>
      </rPr>
      <t>- из-за сдвигов сроков и внеплановых затрат снижается маржинальность
- Нет оценки проектов 
- При оценке маржинальности проектов не учитывается  стоимость денег
- … дополнить</t>
    </r>
  </si>
  <si>
    <t>№5 Дефицит бюджета т.к. турбулентность на рынке, не выполняются планы по объемам</t>
  </si>
  <si>
    <r>
      <t xml:space="preserve">№4 Маржинальность портфеля проектов
- </t>
    </r>
    <r>
      <rPr>
        <sz val="11"/>
        <color theme="1"/>
        <rFont val="Calibri"/>
        <family val="2"/>
        <charset val="204"/>
        <scheme val="minor"/>
      </rPr>
      <t>Не понимаем, насколько необходимо делать все эти работы, которые списываем на проект
- Не понимаем, насколько корректно мы оцениваем будущие проекты из-за кривой статистики
- Не понимаем актуальную загрузку (свободную мощность подразделения, текущие трудовые резервы) 
- Понимаем, что есть недополученная прибыль, но за счет чего ее можно добиться - непонятно. 
- Каждый проект вынуждены выполнять как уникальный, несмотря на то, что есть "типовые задачи", как следствие проекты менее маржинальны</t>
    </r>
  </si>
  <si>
    <r>
      <rPr>
        <b/>
        <sz val="11"/>
        <color theme="1"/>
        <rFont val="Calibri"/>
        <family val="2"/>
        <charset val="204"/>
        <scheme val="minor"/>
      </rPr>
      <t>№5 Команда: Ключевые специалисты перегружены</t>
    </r>
    <r>
      <rPr>
        <sz val="11"/>
        <color theme="1"/>
        <rFont val="Calibri"/>
        <family val="2"/>
        <charset val="204"/>
        <scheme val="minor"/>
      </rPr>
      <t xml:space="preserve">
- "Бегство" ключевых специалистов из-за хаоса и выгорания</t>
    </r>
  </si>
  <si>
    <t>Упущенная выгода. Прибыли можно получать больше!</t>
  </si>
  <si>
    <r>
      <rPr>
        <b/>
        <sz val="11"/>
        <color theme="1"/>
        <rFont val="Calibri"/>
        <family val="2"/>
        <charset val="204"/>
        <scheme val="minor"/>
      </rPr>
      <t>2. Повышение прибыльности/маржинальности бизнеса за счет повышения эффективности процессов и сокращения расходов</t>
    </r>
    <r>
      <rPr>
        <sz val="11"/>
        <color theme="1"/>
        <rFont val="Calibri"/>
        <family val="2"/>
        <charset val="204"/>
        <scheme val="minor"/>
      </rPr>
      <t xml:space="preserve">
 - Неконтролируемые финансовые потери по проектам (из-за срыва сроков,  перерасходов по трудозатратам, недоучтенным материалам &gt;20-30%)
- Рост накладных расходов</t>
    </r>
  </si>
  <si>
    <t xml:space="preserve">  - Потери от неправильных решений - неправильные решения ТОПового уровня ведут к Потери миллионов
- авральный режим работы
- упущенная выгода от Потери клиента
- репутационные риски - вплодь до Потери бизнеса.</t>
  </si>
  <si>
    <t xml:space="preserve"> - Нехватка квалифицированных кадров, не можем брать больше проектов
- Мы не можем тиражировать успешные практики, теряем прибыль
- Страдает качество и репутация</t>
  </si>
  <si>
    <r>
      <rPr>
        <b/>
        <sz val="11"/>
        <color theme="1"/>
        <rFont val="Calibri"/>
        <family val="2"/>
        <charset val="204"/>
        <scheme val="minor"/>
      </rPr>
      <t>3. Масштабирование бизнеса - брать больше проектов и не терять в качестве</t>
    </r>
    <r>
      <rPr>
        <sz val="11"/>
        <color theme="1"/>
        <rFont val="Calibri"/>
        <family val="2"/>
        <charset val="204"/>
        <scheme val="minor"/>
      </rPr>
      <t xml:space="preserve">
- Перегрузка ключевых сотрудников
- Хаос в процессах. Нет регламентов, нормативов. Сотрудники делают что им хочется, а не то что нужно
- Все проекты "индивидуальные", отсутсвует единая методология ведения проектов
- Постоянные конфликты между отделами, парализующие работу (отдел продаж продает нереализуемое, производство не успевает, финансы блокируют все инициативы)</t>
    </r>
  </si>
  <si>
    <t>4. Выжить в условиях турбулентности. Сохранить прибыль. Не потерять команду.</t>
  </si>
  <si>
    <t>Генеральный директор.</t>
  </si>
  <si>
    <t>Автоматический контроль за актуализацией данных</t>
  </si>
  <si>
    <t>РАС Промблематика:</t>
  </si>
  <si>
    <t>1.1. Остутствие едиой среды ведения проектов - все ведут проекты по разному в разных инструментах</t>
  </si>
  <si>
    <t>1.3. РП Забывают внести данные - смотрим на ситуацию в прошлом</t>
  </si>
  <si>
    <t>1.2. Остутсвие актуальной информации по проектам (на какой вехи/ кто за нее ответсвенный, попадаем ли в сроки, есть/нет ли рисков, подписаны ли акты, списание  ДС. ) - тратим много времени на сбор акутальной информации</t>
  </si>
  <si>
    <t>1. Большое кол-во разразненной информации по проектам, не понятно на что уделить внимание - ключевые показатели всегда перед глазами онлайн</t>
  </si>
  <si>
    <t>Что нужно доработать:</t>
  </si>
  <si>
    <t>Отчетность по ключевым вехам (как в ЦКБМ)</t>
  </si>
  <si>
    <t>Механизм влияния рисков и других показателей (go, get, …) на расчет плановых данных</t>
  </si>
  <si>
    <t>Механизм автоматической актуализации плановых данных по бюджетам (плана по факту)</t>
  </si>
  <si>
    <t>Для компаний с начальным уровнем проектного управления (внешние и внутренние проекты).
Генеральный директор / РПО / ТОП Менеджер (ответсвенный за проетконую деятельность) - потребитель отчетности от РП.
осуществляет контроль за ходом реализации реестра проектов в одном окне (Вехи), показатели (план/факт сроки, бюджеты, риски). В основном контроль за внутренними проектами.
РП (администратор проекта) - быстрое ведение проектов без детализации до объемов и ресурсов
актуализация План/факт 
Вехи, сроки, бюджет, риски</t>
  </si>
  <si>
    <t>Методическая поддержка</t>
  </si>
  <si>
    <t>Контрольных точек ( Проектные решения - ответственных за них) план/факт исполнения КТ; Вехам (из-за чего проиходит сдвиг, какие промблемы)</t>
  </si>
  <si>
    <t>1.4. Порядок</t>
  </si>
  <si>
    <t>1.1. Остутствие единой среды ведения проектов - все ведут проекты по разному в разных инструментах</t>
  </si>
  <si>
    <t>Битрикс 24
Excel
Он-лайн табличный процессор
Адванта (базовый запуск)
Яндекс трекер
Импортозамещается:
Шарепоинт + ПроджектСервер + Локальный Проджект + MS BI</t>
  </si>
  <si>
    <t>Интеграция с Битрикс24</t>
  </si>
  <si>
    <t>Единое окно с набором актуальных показателей по реестру проектов (Вехи, БДР, риски, сроки). Панель руководителя</t>
  </si>
  <si>
    <t>Вехи в панели руководителя</t>
  </si>
  <si>
    <t xml:space="preserve">1. Большое кол-во разразненной информации по проектам, не понятно на что уделить внимание - ключевые показатели всегда перед глазами онлайн </t>
  </si>
  <si>
    <t>КСГ проекта /  актируемые этапы - план/факт сроков</t>
  </si>
  <si>
    <t>2. Оперативный и достоверный учет фактических данных по первичным документам - опция 1</t>
  </si>
  <si>
    <t>3. Актуальный БДР и БДДС по портфелю (план и факт) - опция 2</t>
  </si>
  <si>
    <t>1.1.</t>
  </si>
  <si>
    <t>1.2.</t>
  </si>
  <si>
    <t>1.3.</t>
  </si>
  <si>
    <t>1.4.</t>
  </si>
  <si>
    <t>Опция 2:</t>
  </si>
  <si>
    <t>сколько запросов под эту тематику за год было</t>
  </si>
  <si>
    <t>запросов какое количество было бы куплено</t>
  </si>
  <si>
    <t>какое количество заказчиков купило бы такое предложение из текущей воронки</t>
  </si>
  <si>
    <t>больше 2 млдр. Не Трудоемкое производство - 90 SQL</t>
  </si>
  <si>
    <t>больше 2 млдр. Не Трудоемкое производство - 19</t>
  </si>
  <si>
    <t>как первый шаг на РМ5 для стандарт проектов  - 41</t>
  </si>
  <si>
    <t>как первый шаг на РМ5 для стандарт проектов - 119 SQL</t>
  </si>
  <si>
    <t xml:space="preserve">как первый шаг на РМ5 для стандарт проектов  -98 </t>
  </si>
  <si>
    <t>Опции</t>
  </si>
  <si>
    <t>2. трансляция БДР в БДДС (не знаю сделана сейчас или нет, но на тот момент ее не было),</t>
  </si>
  <si>
    <t>3. вопрос настроек трансляции в зависимости от договора (т.к. это влияет как раз на формирование ДДС)</t>
  </si>
  <si>
    <t>4. ну и всеже работа с НДС у разных заказчиков с разными ставками. точно не знаю, но боюсь, что там сценарий не проверялся. сроков проекта</t>
  </si>
  <si>
    <t>1. вопрос Актуализации (без перевод всех планов в ручной режим. Это наше ключевое конкурентное преимущество и основа эффектов от автоматизации)</t>
  </si>
  <si>
    <t>5. другие критичные задачи из бэклога очереди 2</t>
  </si>
  <si>
    <t>Равно БЗ 1 уровень ФД</t>
  </si>
  <si>
    <t>Совокупность Вех по всем проектам (аналог ВК в панели руководителя)</t>
  </si>
  <si>
    <t xml:space="preserve">1. Большое кол-во разрозненной информации по проектам, не понятно, на что уделить внимание - ключевые показатели всегда перед глазами онлайн </t>
  </si>
  <si>
    <t>Единое окно с набором актуальных показателей по реестру проектов (БДР, риски, сроки). Панель руководителя</t>
  </si>
  <si>
    <t>Ответственные за проекты (РП)</t>
  </si>
  <si>
    <t>Контрольные точки ( Проектные решения - ответственных за них) план/факт исполнения КТ; Вехам (из-за чего проиходит сдвиг, какие промблемы)</t>
  </si>
  <si>
    <t xml:space="preserve">Уверенная основа для дальнейшего развития проектного управления
Богатый базовый фунционал решения
Возможность повторения уникальной отчетности 
</t>
  </si>
  <si>
    <t>Механизм автоматической актуализации плановых данных по бюджетам (плана по факту) - (опционально 2)</t>
  </si>
  <si>
    <t xml:space="preserve">Интеграция для получения учетных данных из БП;
Трансляция фактических данных из УНФ+РМ, ERP+РМ (опционально 1). </t>
  </si>
  <si>
    <t>Что нужно ОП для старта: демо-база, презентации.</t>
  </si>
  <si>
    <t>Х продаж за первые 3 мес.;
У продаж за вторые 3 мес.</t>
  </si>
  <si>
    <r>
      <t>Порядок в проектах при любом текущем состоянии проектного управления 
Дашборд с консолидированной информацией о состоянии проектов (вехи, сроки, бюджеты, риски)
Минимизация трудозатрат руководителя на получение информации о состоянии проектов
Быстрый и легкий старт работы в системе
Автомическое контроль исполнительской дисциплины
Интеграции с учетными системами: БП, УНФ, ERP (опционально)
ОП: Стоимость от 3 до 5 млн., сроки - до 4х мес. запуска
Производство:</t>
    </r>
    <r>
      <rPr>
        <b/>
        <sz val="11"/>
        <color rgb="FFFF0000"/>
        <rFont val="Calibri"/>
        <family val="2"/>
        <charset val="204"/>
        <scheme val="minor"/>
      </rPr>
      <t xml:space="preserve"> 
Стоимость до  млн., сроки - до х мес. запуска</t>
    </r>
  </si>
  <si>
    <r>
      <rPr>
        <b/>
        <sz val="11"/>
        <color rgb="FFFF0000"/>
        <rFont val="Calibri"/>
        <family val="2"/>
        <charset val="204"/>
        <scheme val="minor"/>
      </rPr>
      <t>Подробная оценка по Варианту 1,2 по заполнению чек-листа</t>
    </r>
    <r>
      <rPr>
        <b/>
        <sz val="11"/>
        <color theme="1"/>
        <rFont val="Calibri"/>
        <family val="2"/>
        <charset val="204"/>
        <scheme val="minor"/>
      </rPr>
      <t xml:space="preserve">:
 </t>
    </r>
    <r>
      <rPr>
        <sz val="11"/>
        <color theme="1"/>
        <rFont val="Calibri"/>
        <family val="2"/>
        <charset val="204"/>
        <scheme val="minor"/>
      </rPr>
      <t>Чек-лист настройки правил трасляции из ERP в PM через Проектное бюджетирование:
 e1cib/data/Справочник.ВнутренниеДокументы?ref=8122000c295e34e311ef1e892acfb24d</t>
    </r>
  </si>
  <si>
    <r>
      <t>Настройка типовых правил загрузки факта из БП 3.0 в PM 
(</t>
    </r>
    <r>
      <rPr>
        <b/>
        <sz val="11"/>
        <color rgb="FFFF0000"/>
        <rFont val="Calibri"/>
        <family val="2"/>
        <charset val="204"/>
        <scheme val="minor"/>
      </rPr>
      <t>При их реализации в типовой и наличии соответсвующей детализации учета в Бухгалтерии, 
и готовности Бухгалтерии к интеграции в управленческими системами</t>
    </r>
    <r>
      <rPr>
        <b/>
        <sz val="11"/>
        <color theme="1"/>
        <rFont val="Calibri"/>
        <family val="2"/>
        <charset val="204"/>
        <scheme val="minor"/>
      </rPr>
      <t>)</t>
    </r>
  </si>
  <si>
    <r>
      <rPr>
        <b/>
        <sz val="11"/>
        <color rgb="FFFF0000"/>
        <rFont val="Calibri"/>
        <family val="2"/>
        <charset val="204"/>
        <scheme val="minor"/>
      </rPr>
      <t>НАИБОЛЕЕ вероятный, в реальной жизни: При неготовности учетной системы Заказчика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(недостаточность аналитики в учете для автоматической перекладки данных правилами изи интеграцийе без двойного ввода)
Необходимо прорабатывать рабочее место экономиста для корректного разнесения факта бюджетов по проектам вручную по данным отраженным в учете</t>
    </r>
  </si>
  <si>
    <r>
      <t xml:space="preserve">Варианты оценки стоимости трансляции факта бюджетов в проетный контур и интеграций. </t>
    </r>
    <r>
      <rPr>
        <b/>
        <sz val="11"/>
        <color rgb="FFFF0000"/>
        <rFont val="Calibri"/>
        <family val="2"/>
        <charset val="204"/>
        <scheme val="minor"/>
      </rPr>
      <t>Производственная оценка, без резервов</t>
    </r>
  </si>
  <si>
    <r>
      <t xml:space="preserve">Трансляция данных первичных документов ERP+PM 
</t>
    </r>
    <r>
      <rPr>
        <b/>
        <sz val="11"/>
        <color rgb="FFFF0000"/>
        <rFont val="Calibri"/>
        <family val="2"/>
        <charset val="204"/>
        <scheme val="minor"/>
      </rPr>
      <t xml:space="preserve">по основным хоз. операциям при налиции соответствующих аналитик учета </t>
    </r>
  </si>
  <si>
    <r>
      <t xml:space="preserve">Трансляция данных первичных документов ERP+PM по
 </t>
    </r>
    <r>
      <rPr>
        <b/>
        <sz val="11"/>
        <color rgb="FFFF0000"/>
        <rFont val="Calibri"/>
        <family val="2"/>
        <charset val="204"/>
        <scheme val="minor"/>
      </rPr>
      <t xml:space="preserve">не стандартным хоз. операциям при налиции соответствующих аналитик учета </t>
    </r>
  </si>
  <si>
    <r>
      <t>250 000 р</t>
    </r>
    <r>
      <rPr>
        <b/>
        <sz val="11"/>
        <color theme="1"/>
        <rFont val="Calibri"/>
        <family val="2"/>
        <charset val="204"/>
        <scheme val="minor"/>
      </rPr>
      <t xml:space="preserve"> + 2 недели к сроку проекта</t>
    </r>
  </si>
  <si>
    <t>Вариант 1:</t>
  </si>
  <si>
    <t>от 1500 000 р. От 2 месяцев</t>
  </si>
  <si>
    <t xml:space="preserve">Вариант 2: </t>
  </si>
  <si>
    <t>250000 + 2 недели к сроку проекта</t>
  </si>
  <si>
    <t xml:space="preserve">Вариант 3: </t>
  </si>
  <si>
    <t xml:space="preserve">Вариант 4: </t>
  </si>
  <si>
    <r>
      <t xml:space="preserve">При разработке под Заказчика порядка </t>
    </r>
    <r>
      <rPr>
        <b/>
        <sz val="11"/>
        <color theme="1"/>
        <rFont val="Calibri"/>
        <family val="2"/>
        <charset val="204"/>
        <scheme val="minor"/>
      </rPr>
      <t>4-6 млн, срок 3 месяца</t>
    </r>
  </si>
  <si>
    <t xml:space="preserve">может быть применим к Проекты и бюджеты под контролем при наличии соответствующих аналитик в документах </t>
  </si>
  <si>
    <t xml:space="preserve">
Богатый базовый фунционал решения
Возможность повторения уникальной отчетности 
Возможность Интеграции с учетными системами: БУХ, УНФ, ERP</t>
  </si>
  <si>
    <t>1. Огромные инвестиции, которые требуют контроля. Пример: Северсталь - 100млрд инвест.программа. 1 ошибка в планировании проекта, которая привела на 1 день просрочки простаивания ресурсов может стоить в большом проекте десятки миллионов рублей.</t>
  </si>
  <si>
    <t>Прединвестиционная стадия</t>
  </si>
  <si>
    <r>
      <t xml:space="preserve">Единственное отраслевое решение на 1С, адаптированное для кап.строя и инвестиций
Автоматизация актуализация прогноза с учетом фактических данных, получение фактических данных из учетных систем на 1С 
</t>
    </r>
    <r>
      <rPr>
        <sz val="10"/>
        <color theme="1"/>
        <rFont val="Calibri"/>
        <family val="2"/>
        <charset val="204"/>
        <scheme val="minor"/>
      </rPr>
      <t>Единое информационное пространство по управлению инвест.программой компании
Своевременнная индикация критичных отклонений по срокам и бюджетам проектов
Продуманная связка с учетными системами компании</t>
    </r>
    <r>
      <rPr>
        <b/>
        <sz val="10"/>
        <color theme="1"/>
        <rFont val="Calibri"/>
        <family val="2"/>
        <charset val="204"/>
        <scheme val="minor"/>
      </rPr>
      <t xml:space="preserve">
</t>
    </r>
  </si>
  <si>
    <t>Опыт лидеров отрасли, заложенный в решение
Быстрая интеграция с существующей корпоративной архитектурой
Бизнес-модель</t>
  </si>
  <si>
    <t>Сегмент - Ultra 10млрд+, все отрасли
- Директор по инвестициям
- или может быть бюджетом конкретного проекта - директор этого проекта
Событие? 
Необходимость отказа от управления проектами кап.строя в Excel:
1) Павртия сказала через 2 года отказаться и перейти на отчественные решения, а российский аналог Excel не тянет требуемый функционал
2) Очень сильная зависимость от конкретных людей - например, всю модель управления разработал 1 человек, который может уйти в любой момент</t>
  </si>
  <si>
    <t>2. Очень длительные проекты - чем больше горизонт планирования, тем сложнее строить отчетность + больше параллельных проектов, больше ошибок в планировании</t>
  </si>
  <si>
    <t>Решение для исполнения инвест.программы (что-то написать, чтобы разрулить B9 2-е предложение)</t>
  </si>
  <si>
    <t>3. Необходимость отказа от управления проектами кап.строя в Excel. Почему уходят: 
- российский аналог Excel не тянет требуемый функционал: ...(конкретика)
б). Очень сильная зависимость от конкретных людей - например, всю модель управления разработал 1 человек, который может уйти в любой момент</t>
  </si>
  <si>
    <t>Решение для исполнения инвест.проекта</t>
  </si>
  <si>
    <t>4. Внутреннее спокойствие ЛПРа. Людей много, много экселей, много денег, а управляемости не чувствуется.</t>
  </si>
  <si>
    <t xml:space="preserve">Особенности:
  -- 3 ключевых показателя - освоение бюджета (объемы), финансирование (БДДС) и ввод объекта в эксплуатацию (БДР).
</t>
  </si>
  <si>
    <t>В любой момент убедиться, что все в порядке, сроки не срываются и не сорвутся, из бюджета не вышли и не выйдем. Нужен факт и прогноз.</t>
  </si>
  <si>
    <t xml:space="preserve">  -- факторный анализ отклонений по бюджетам - из-за чего произошли отклонения</t>
  </si>
  <si>
    <t>Управление одним монопроектом бывает, но редко. Чаще будет - управление исполнением инвестиционной программы (состояние каждого проекта в отдельности и исполнение инвест.программы на год)</t>
  </si>
  <si>
    <t xml:space="preserve">  -- распределение затрат на объекты разные схемы</t>
  </si>
  <si>
    <t xml:space="preserve">  -- важная аналитика - объект</t>
  </si>
  <si>
    <t>Если есть отклонения - кто их источник - какой отдел, подрядчик, по какому договору,</t>
  </si>
  <si>
    <t xml:space="preserve">  -- валютный учёт (столкнулись в 2-х проектах) - например, бюджет поехал потому что изменился курс валют</t>
  </si>
  <si>
    <t xml:space="preserve">  -- много интеграций (но нас выручает шина 1С, можно показать на шине структуру интеграции)</t>
  </si>
  <si>
    <t xml:space="preserve">  -- интеграция по УХ</t>
  </si>
  <si>
    <t xml:space="preserve">  -- S-кривые с прогнозом освоения и финансирования</t>
  </si>
  <si>
    <t>Планнер, 
РМ-софт
Excel</t>
  </si>
  <si>
    <r>
      <t xml:space="preserve">Запросы за последние месяцы: </t>
    </r>
    <r>
      <rPr>
        <sz val="11"/>
        <color theme="1"/>
        <rFont val="Calibri"/>
        <family val="2"/>
        <charset val="204"/>
        <scheme val="minor"/>
      </rPr>
      <t>Новатек, Роснефть, Эфко, Таиф, Евраз, Мособлэнерго - по каждому есть демо-базы</t>
    </r>
    <r>
      <rPr>
        <b/>
        <sz val="11"/>
        <color theme="1"/>
        <rFont val="Calibri"/>
        <family val="2"/>
        <charset val="204"/>
        <scheme val="minor"/>
      </rPr>
      <t xml:space="preserve">
Х продаж за первые 3 мес.;
У продаж за вторые 3 мес.
</t>
    </r>
  </si>
  <si>
    <t>У Айтиленд богатый опыт работы с кап.строем. Но есть внутр. ограничение - оценка от 100млн. Между тем, задачи можно стандартизировать. Глеб понимает, как.</t>
  </si>
  <si>
    <t>Нюансы: есть ли потребность в автоматизации прединвестиционного этапа (фин.моделирование, инвестиции, заявки, ранжирование, инвест.проекты)? Или реализация?</t>
  </si>
  <si>
    <t>Опыт - часто показываем из девеломпента т.к. там много общего</t>
  </si>
  <si>
    <t>Особенности:
  -- 3 ключевых показателя - освоение бюджета, финансирование и ввод объекта в эксплуатацию.
  -- факторный анализ отклонений по бюджетам - из-за чего произошли отклонения
  -- распределение затрат на объекты разные схемы
  -- важная аналитика - объект
  -- валютный учёт (столкнулись в 2-х проектах) - например, бюджет поехал потому что изменился курс валют
  -- много интеграций (но нас выручает шина 1С, можно показать на шине структуру интеграции)</t>
  </si>
  <si>
    <t>Портфели и программы</t>
  </si>
  <si>
    <t>Тематическое планирование</t>
  </si>
  <si>
    <t>Проекты, паспорт, KPI</t>
  </si>
  <si>
    <t>Дорожные карты проектов (Gates)</t>
  </si>
  <si>
    <t>Календарно-сетевое планирование</t>
  </si>
  <si>
    <t>Проектное бюджетирование</t>
  </si>
  <si>
    <t>Объемы проектов</t>
  </si>
  <si>
    <t>Материалы и оборудование проектов</t>
  </si>
  <si>
    <t>Трекинг заданий и коммуникации</t>
  </si>
  <si>
    <t>Юридические условия договоров</t>
  </si>
  <si>
    <t>Статусы проектов</t>
  </si>
  <si>
    <t>Документооборот</t>
  </si>
  <si>
    <t>Шаблонирование и нормирование</t>
  </si>
  <si>
    <t>Расширение: Математическое нормирование</t>
  </si>
  <si>
    <t>Расширение: Тендерная работа</t>
  </si>
  <si>
    <t>Уже есть в УХ</t>
  </si>
  <si>
    <t>Расширение: Распределение затрат</t>
  </si>
  <si>
    <t>Важно!</t>
  </si>
  <si>
    <t>Расширение: Перепланирование с учетом факта</t>
  </si>
  <si>
    <t xml:space="preserve">Проблема: Нет фокуса. Руководителю сложно понять какие проекты требуют внимания, </t>
  </si>
  <si>
    <t>1. Проблема: Экономика и сроки ведутся в разных инструментах.
2. Проблема: Отчетность собирается вручную и быстро устаревает</t>
  </si>
  <si>
    <t>Проблема: Система сама по себе не наводит порядок без правил.</t>
  </si>
  <si>
    <t>Проблема: Проекты ведутся по разным правилам и с разной детализацией.</t>
  </si>
  <si>
    <t>1.1. Остутствие единой среды ведения проектов - все ведут проекты в разных инструментах</t>
  </si>
  <si>
    <t>1.1. Остутствие единой среды ведения проектов - все ведут проекты по разному</t>
  </si>
  <si>
    <t>НА старте портфеля разрозненные инструменты работают, но по мере роста кол-ва проектов, появляются органичения. Существующая система перестала работать? (общая канва, не отдельная проблематика в презентации)</t>
  </si>
  <si>
    <t>1.2. Остутсвие актуальной информации по проектам (на какой вехе/ кто за нее ответсвенный</t>
  </si>
  <si>
    <t>1.2. Остутсвие актуальной информации по проектам (, попадаем ли в сроки, есть/нет ли рисков, подписаны ли акты, списание  ДС. ) - тратим много времени на сбор акутальной информации</t>
  </si>
  <si>
    <t>Отвественные за проекты (РП), ответсвенные за задачи</t>
  </si>
  <si>
    <t>Проблематика: .2.Размытая ответственность за проекты и их задачи.
Добавить раздел в презентацию.</t>
  </si>
  <si>
    <r>
      <t>Проблема: РП Забывают внести данные (</t>
    </r>
    <r>
      <rPr>
        <b/>
        <sz val="11"/>
        <color rgb="FFFF0000"/>
        <rFont val="Calibri"/>
        <family val="2"/>
        <charset val="204"/>
        <scheme val="minor"/>
      </rPr>
      <t>Добавить новый раздел)</t>
    </r>
  </si>
  <si>
    <t>Проблема:  Факт по бюджетам ведется в учетной системе и не сопоставим с планом. Нужно видеть факт в проектах вплоть до первичных документов.  Двойной ввод данных</t>
  </si>
  <si>
    <r>
      <t xml:space="preserve">Не получить актуальный прогноз по бюджетам портфеля с учетом фактических данных
</t>
    </r>
    <r>
      <rPr>
        <b/>
        <strike/>
        <sz val="11"/>
        <rFont val="Calibri"/>
        <family val="2"/>
        <charset val="204"/>
        <scheme val="minor"/>
      </rPr>
      <t>Трудоемко обновлять план с учетом фактических отклонений..</t>
    </r>
  </si>
  <si>
    <t>Для компаний с начальным уровнем проектного управления (внешние проекты - оборот 800М до 4Я), (внутренние проекты - оборот от 2Я).
Генеральный директор / РПО / ТОП Менеджер (ответсвенный за проектную деятельность) - потребитель отчетности от РП.
осуществляет контроль за ходом реализации реестра проектов в одном окне (Вехи), показатели (план/факт сроки, бюджеты, риски). В основном контроль за внутренними проектами.
РП (администратор проекта) - быстрое ведение проектов без детализации до объемов и ресурсов
актуализация План/факт 
Вехи, сроки, бюджет, риски
Тригеры: 
1. Существующая система перестала работать из-за использования разрозненных инструментов, и отсетствия методики ведения проектов
2. Управленческие решения запаздывают из-за отсутсвия актуальной информации по проектам</t>
  </si>
  <si>
    <t>1С:PM  Создает единую управленческую среду  где данные обновляются в процессе работы, а руководитель видит отклонение, ответсвенных и последствия в одном контуре:
 - Елиные правила управления (ПРоекты ведутся в общей логике: структура, роли и контрольные точки)
 - Контроль через отклонения (Руководитель видит где проблема и может сразу провалиться в причину)
 - Связь проектов и экономики
(Сроки, жтапы и фин. показатели связаны между собой. Изменения сразу отражаются на бюджете)
Порядок в проектах при любом текущем состоянии проектного управления 
Уверенная основа для дальнейшего развития проектного управления
За счет айтисистемы и методической оддержки вы получите:
Дашборд с консолидированной информацией о состоянии проектов (вехи, сроки, бюджеты, риски)
Минимизация трудозатрат руководителя на получение информации о состоянии проектов
Быстрый и легкий старт работы в системе
Автомический контроль исполнительской дисциплины
Стоимость до 2,5 млн., сроки - до 2х мес. запуска</t>
  </si>
  <si>
    <t>Нет фокуса. Руководителю сложно понять, какие проекты требуют внимания</t>
  </si>
  <si>
    <t>Размытая ответственность  за проекты и их задачи</t>
  </si>
  <si>
    <t>Не получить актуальный прогноз по бюджетам портфеля с учетом фактических данных</t>
  </si>
  <si>
    <t>Единая панель  по портфелю проектов  с индикаторами состояния проекта по срокам, бюджету и наличия рисков</t>
  </si>
  <si>
    <t>РП каждого проекта  и ответственный  по каждой задаче  внутри проекта
КСГ проекта /   актируемые этапы –план/факт сроков  с  ответственными</t>
  </si>
  <si>
    <t>Единый ЖЦ проектов
Единая структура этапов  и КТ
Единый формат  дорожной карты проектов
Единая шкала  статусов готовности  и % исполнения задач</t>
  </si>
  <si>
    <t>Проекты ведутся  по разным правилам:  разные форматы,  разные инструменты, разная детализация.
Сравнивать проекты невозможно</t>
  </si>
  <si>
    <t xml:space="preserve">Экономика проекта и сроки ведутся в разных инструментах
Не видны изменения бюджетов проектов при изменении сроков
Отчетность по портфелю собирается вручную из разрозненных файлов. Подготовленный отчет  уже не актуален
</t>
  </si>
  <si>
    <t>Факт по бюджетам ведется в учетной системе  и не сопоставим с планом
Нужно видеть факт  в проектах вплоть  до первичных документов
Двойной ввод данных</t>
  </si>
  <si>
    <t>Ввод факта напрямую  в системе или интеграции с учётными системами (опционально)</t>
  </si>
  <si>
    <t>Автоматическая актуализация прогноза  по факту (опционально)</t>
  </si>
  <si>
    <t>Сквозное решение  для управления сроками  и бюджетами проектов
Пользователь один раз задает сроки актирования и условия оплаты по проекту,  а система сама рассчитывает сроки поступлений и платежей
Актуализация данных  в системе по мере возникновения информации,  а не под отчет</t>
  </si>
  <si>
    <t>Единое окно с набором актуальных показателей  по проекту и ответственным
Единые правила управления.
Проекты ведутся в общей логике: структура, роли, контрольные точки
Финансы в привязке  к срокам проектов. Сроки, этапы и бюджеты связаны между собой, изменения сразу отражаются в отчетности
Контрольные точки. Контроль графика ведения  проектов по вехам и ответственным
Данные «до первички»
Возможность «провалиться» в проект  и узнать всю информацию о проекте  до первички
Стоимость до 2,5 млн., сроки - до 2х мес. запуска</t>
  </si>
  <si>
    <t>2.1. Сопоставление с проблемами в презентации</t>
  </si>
  <si>
    <t>Экономика проекта и сроки ведутся в разных инструментах
Не видны изменения бюджетов проектов при изменении сроков
Отчетность по портфелю собирается вручную из разрозненных файлов. Подготовленный отчет  уже не актуален</t>
  </si>
  <si>
    <t>2.1. Сопоставление с проблемами в презентации с вебинара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</si>
</sst>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9"/>
      <color rgb="FF000000"/>
      <name val="Calibri"/>
      <family val="2"/>
      <charset val="204"/>
    </font>
    <font>
      <b/>
      <sz val="9"/>
      <color rgb="FF000000"/>
      <name val="Calibri"/>
      <family val="2"/>
      <charset val="204"/>
    </font>
    <font>
      <b/>
      <sz val="9"/>
      <color rgb="FFFF0000"/>
      <name val="Calibri"/>
      <family val="2"/>
      <charset val="204"/>
    </font>
    <font>
      <sz val="9"/>
      <color rgb="FFFF0000"/>
      <name val="Calibri"/>
      <family val="2"/>
      <charset val="204"/>
    </font>
    <font>
      <sz val="9"/>
      <color rgb="FF00000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4"/>
      <color theme="1"/>
      <name val="Arial"/>
      <family val="2"/>
      <charset val="204"/>
    </font>
    <font>
      <sz val="14"/>
      <name val="Arial"/>
      <family val="2"/>
      <charset val="204"/>
    </font>
    <font>
      <sz val="14"/>
      <color theme="1"/>
      <name val="Calibri"/>
      <family val="2"/>
      <charset val="204"/>
      <scheme val="minor"/>
    </font>
    <font>
      <sz val="12"/>
      <color rgb="FF000000"/>
      <name val="Arial"/>
      <family val="2"/>
      <charset val="204"/>
    </font>
    <font>
      <sz val="12"/>
      <name val="Arial"/>
      <family val="2"/>
      <charset val="204"/>
    </font>
    <font>
      <sz val="18"/>
      <name val="Arial"/>
      <family val="2"/>
      <charset val="204"/>
    </font>
    <font>
      <sz val="10"/>
      <color rgb="FF000000"/>
      <name val="Calibri"/>
      <family val="2"/>
      <charset val="204"/>
    </font>
    <font>
      <sz val="8"/>
      <name val="Calibri"/>
      <family val="2"/>
      <charset val="204"/>
      <scheme val="minor"/>
    </font>
    <font>
      <sz val="11"/>
      <color theme="7" tint="-0.249977111117893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b/>
      <sz val="11"/>
      <color theme="9" tint="-0.499984740745262"/>
      <name val="Calibri"/>
      <family val="2"/>
      <charset val="204"/>
      <scheme val="minor"/>
    </font>
    <font>
      <sz val="11"/>
      <color theme="3" tint="0.39997558519241921"/>
      <name val="Calibri"/>
      <family val="2"/>
      <charset val="204"/>
      <scheme val="minor"/>
    </font>
    <font>
      <b/>
      <sz val="11"/>
      <color theme="3" tint="0.3999755851924192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theme="7" tint="-0.249977111117893"/>
      <name val="Calibri"/>
      <family val="2"/>
      <charset val="204"/>
      <scheme val="minor"/>
    </font>
    <font>
      <sz val="9"/>
      <color theme="3" tint="0.39997558519241921"/>
      <name val="Calibri"/>
      <family val="2"/>
      <charset val="204"/>
      <scheme val="minor"/>
    </font>
    <font>
      <sz val="9"/>
      <color theme="9" tint="-0.499984740745262"/>
      <name val="Calibri"/>
      <family val="2"/>
      <charset val="204"/>
      <scheme val="minor"/>
    </font>
    <font>
      <sz val="9"/>
      <color rgb="FF0070C0"/>
      <name val="Calibri"/>
      <family val="2"/>
      <charset val="204"/>
      <scheme val="minor"/>
    </font>
    <font>
      <b/>
      <sz val="11"/>
      <color theme="7" tint="-0.249977111117893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9"/>
      <color theme="7" tint="-0.249977111117893"/>
      <name val="Calibri"/>
      <family val="2"/>
      <charset val="204"/>
      <scheme val="minor"/>
    </font>
    <font>
      <b/>
      <sz val="9"/>
      <color theme="3" tint="0.39997558519241921"/>
      <name val="Calibri"/>
      <family val="2"/>
      <charset val="204"/>
      <scheme val="minor"/>
    </font>
    <font>
      <b/>
      <sz val="9"/>
      <color theme="9" tint="-0.499984740745262"/>
      <name val="Calibri"/>
      <family val="2"/>
      <charset val="204"/>
      <scheme val="minor"/>
    </font>
    <font>
      <b/>
      <sz val="9"/>
      <color rgb="FF0070C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1"/>
      <color rgb="FF333333"/>
      <name val="Segoe UI"/>
      <family val="2"/>
      <charset val="204"/>
    </font>
    <font>
      <i/>
      <sz val="8"/>
      <color rgb="FF333333"/>
      <name val="Segoe UI"/>
      <family val="2"/>
      <charset val="204"/>
    </font>
    <font>
      <sz val="8"/>
      <color rgb="FF333333"/>
      <name val="Segoe U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9"/>
      <color rgb="FF333333"/>
      <name val="Segoe UI"/>
      <family val="2"/>
      <charset val="204"/>
    </font>
    <font>
      <sz val="9"/>
      <color rgb="FF333333"/>
      <name val="Segoe UI"/>
      <family val="2"/>
      <charset val="204"/>
    </font>
    <font>
      <sz val="10"/>
      <color theme="1"/>
      <name val="Calibri"/>
      <family val="2"/>
      <charset val="204"/>
      <scheme val="minor"/>
    </font>
    <font>
      <b/>
      <strike/>
      <sz val="11"/>
      <name val="Calibri"/>
      <family val="2"/>
      <charset val="204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5" fillId="0" borderId="0" applyNumberFormat="0" applyFill="0" applyBorder="0" applyAlignment="0" applyProtection="0"/>
    <xf numFmtId="9" fontId="48" fillId="0" borderId="0" applyFont="0" applyFill="0" applyBorder="0" applyAlignment="0" applyProtection="0"/>
  </cellStyleXfs>
  <cellXfs count="648">
    <xf numFmtId="0" fontId="0" fillId="0" borderId="0" xfId="0"/>
    <xf numFmtId="0" fontId="1" fillId="0" borderId="0" xfId="0" applyFont="1"/>
    <xf numFmtId="0" fontId="0" fillId="2" borderId="2" xfId="0" applyFill="1" applyBorder="1" applyAlignment="1">
      <alignment wrapText="1"/>
    </xf>
    <xf numFmtId="0" fontId="0" fillId="0" borderId="14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1" fillId="0" borderId="2" xfId="0" applyFont="1" applyBorder="1" applyAlignment="1">
      <alignment horizontal="left" vertical="top" wrapText="1"/>
    </xf>
    <xf numFmtId="0" fontId="0" fillId="2" borderId="15" xfId="0" applyFill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0" fillId="0" borderId="10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24" xfId="0" applyBorder="1" applyAlignment="1">
      <alignment vertical="top" wrapText="1"/>
    </xf>
    <xf numFmtId="0" fontId="1" fillId="2" borderId="2" xfId="0" applyFont="1" applyFill="1" applyBorder="1" applyAlignment="1">
      <alignment horizontal="left" vertical="top" wrapText="1"/>
    </xf>
    <xf numFmtId="0" fontId="0" fillId="2" borderId="7" xfId="0" applyFill="1" applyBorder="1" applyAlignment="1">
      <alignment wrapText="1"/>
    </xf>
    <xf numFmtId="0" fontId="0" fillId="2" borderId="16" xfId="0" applyFill="1" applyBorder="1" applyAlignment="1">
      <alignment vertical="top" wrapText="1"/>
    </xf>
    <xf numFmtId="0" fontId="0" fillId="0" borderId="3" xfId="0" applyBorder="1" applyAlignment="1">
      <alignment wrapText="1"/>
    </xf>
    <xf numFmtId="0" fontId="1" fillId="0" borderId="28" xfId="0" applyFont="1" applyBorder="1" applyAlignment="1">
      <alignment vertical="top" wrapText="1"/>
    </xf>
    <xf numFmtId="0" fontId="0" fillId="0" borderId="29" xfId="0" applyBorder="1" applyAlignment="1">
      <alignment vertical="top" wrapText="1"/>
    </xf>
    <xf numFmtId="0" fontId="1" fillId="2" borderId="28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/>
    </xf>
    <xf numFmtId="0" fontId="7" fillId="0" borderId="0" xfId="0" applyFont="1"/>
    <xf numFmtId="0" fontId="0" fillId="0" borderId="34" xfId="0" applyBorder="1"/>
    <xf numFmtId="0" fontId="16" fillId="0" borderId="34" xfId="0" applyFont="1" applyBorder="1" applyAlignment="1">
      <alignment horizontal="center" vertical="center" wrapText="1"/>
    </xf>
    <xf numFmtId="0" fontId="20" fillId="6" borderId="34" xfId="0" applyFont="1" applyFill="1" applyBorder="1" applyAlignment="1">
      <alignment vertical="top" wrapText="1"/>
    </xf>
    <xf numFmtId="0" fontId="20" fillId="8" borderId="34" xfId="0" applyFont="1" applyFill="1" applyBorder="1" applyAlignment="1">
      <alignment vertical="top" wrapText="1"/>
    </xf>
    <xf numFmtId="0" fontId="20" fillId="9" borderId="34" xfId="0" applyFont="1" applyFill="1" applyBorder="1" applyAlignment="1">
      <alignment vertical="top" wrapText="1"/>
    </xf>
    <xf numFmtId="0" fontId="21" fillId="4" borderId="34" xfId="0" applyFont="1" applyFill="1" applyBorder="1" applyAlignment="1">
      <alignment vertical="top" wrapText="1"/>
    </xf>
    <xf numFmtId="0" fontId="0" fillId="0" borderId="34" xfId="0" applyBorder="1" applyAlignment="1">
      <alignment horizontal="center" vertical="center"/>
    </xf>
    <xf numFmtId="0" fontId="21" fillId="7" borderId="34" xfId="0" applyFont="1" applyFill="1" applyBorder="1" applyAlignment="1">
      <alignment vertical="top" wrapText="1"/>
    </xf>
    <xf numFmtId="0" fontId="21" fillId="8" borderId="34" xfId="0" applyFont="1" applyFill="1" applyBorder="1" applyAlignment="1">
      <alignment vertical="top" wrapText="1"/>
    </xf>
    <xf numFmtId="0" fontId="21" fillId="9" borderId="34" xfId="0" applyFont="1" applyFill="1" applyBorder="1" applyAlignment="1">
      <alignment vertical="top" wrapText="1"/>
    </xf>
    <xf numFmtId="0" fontId="21" fillId="6" borderId="34" xfId="0" applyFont="1" applyFill="1" applyBorder="1" applyAlignment="1">
      <alignment vertical="top" wrapText="1"/>
    </xf>
    <xf numFmtId="0" fontId="8" fillId="0" borderId="0" xfId="0" applyFont="1"/>
    <xf numFmtId="0" fontId="9" fillId="0" borderId="30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7" fillId="0" borderId="34" xfId="0" applyFont="1" applyBorder="1" applyAlignment="1">
      <alignment horizontal="center" vertical="center" wrapText="1" readingOrder="1"/>
    </xf>
    <xf numFmtId="0" fontId="16" fillId="0" borderId="34" xfId="0" applyFont="1" applyBorder="1" applyAlignment="1">
      <alignment horizontal="left" vertical="center" wrapText="1"/>
    </xf>
    <xf numFmtId="0" fontId="20" fillId="8" borderId="34" xfId="0" applyFont="1" applyFill="1" applyBorder="1" applyAlignment="1">
      <alignment horizontal="left" vertical="center" wrapText="1"/>
    </xf>
    <xf numFmtId="0" fontId="10" fillId="10" borderId="31" xfId="0" applyFont="1" applyFill="1" applyBorder="1" applyAlignment="1">
      <alignment horizontal="left" vertical="center" wrapText="1" readingOrder="1"/>
    </xf>
    <xf numFmtId="0" fontId="10" fillId="10" borderId="32" xfId="0" applyFont="1" applyFill="1" applyBorder="1" applyAlignment="1">
      <alignment horizontal="left" vertical="center" wrapText="1" readingOrder="1"/>
    </xf>
    <xf numFmtId="0" fontId="10" fillId="11" borderId="30" xfId="0" applyFont="1" applyFill="1" applyBorder="1" applyAlignment="1">
      <alignment horizontal="left" vertical="center" wrapText="1" readingOrder="1"/>
    </xf>
    <xf numFmtId="0" fontId="15" fillId="11" borderId="30" xfId="1" applyFill="1" applyBorder="1" applyAlignment="1">
      <alignment horizontal="left" vertical="center" wrapText="1" readingOrder="1"/>
    </xf>
    <xf numFmtId="0" fontId="10" fillId="11" borderId="31" xfId="0" applyFont="1" applyFill="1" applyBorder="1" applyAlignment="1">
      <alignment horizontal="left" vertical="center" wrapText="1" readingOrder="1"/>
    </xf>
    <xf numFmtId="0" fontId="11" fillId="11" borderId="30" xfId="0" applyFont="1" applyFill="1" applyBorder="1" applyAlignment="1">
      <alignment horizontal="left" vertical="center" wrapText="1" readingOrder="1"/>
    </xf>
    <xf numFmtId="0" fontId="10" fillId="11" borderId="32" xfId="0" applyFont="1" applyFill="1" applyBorder="1" applyAlignment="1">
      <alignment horizontal="left" vertical="center" wrapText="1" readingOrder="1"/>
    </xf>
    <xf numFmtId="0" fontId="10" fillId="12" borderId="31" xfId="0" applyFont="1" applyFill="1" applyBorder="1" applyAlignment="1">
      <alignment horizontal="left" vertical="center" wrapText="1" readingOrder="1"/>
    </xf>
    <xf numFmtId="0" fontId="15" fillId="12" borderId="31" xfId="1" applyFill="1" applyBorder="1" applyAlignment="1">
      <alignment vertical="center" wrapText="1" readingOrder="1"/>
    </xf>
    <xf numFmtId="0" fontId="10" fillId="12" borderId="33" xfId="0" applyFont="1" applyFill="1" applyBorder="1" applyAlignment="1">
      <alignment horizontal="left" vertical="center" wrapText="1" readingOrder="1"/>
    </xf>
    <xf numFmtId="0" fontId="15" fillId="12" borderId="33" xfId="1" applyFill="1" applyBorder="1" applyAlignment="1">
      <alignment vertical="center" wrapText="1" readingOrder="1"/>
    </xf>
    <xf numFmtId="0" fontId="10" fillId="12" borderId="32" xfId="0" applyFont="1" applyFill="1" applyBorder="1" applyAlignment="1">
      <alignment horizontal="left" vertical="center" wrapText="1" readingOrder="1"/>
    </xf>
    <xf numFmtId="0" fontId="15" fillId="12" borderId="32" xfId="1" applyFill="1" applyBorder="1" applyAlignment="1">
      <alignment vertical="center" wrapText="1" readingOrder="1"/>
    </xf>
    <xf numFmtId="0" fontId="15" fillId="12" borderId="31" xfId="1" applyFill="1" applyBorder="1" applyAlignment="1">
      <alignment horizontal="left" vertical="center" wrapText="1" readingOrder="1"/>
    </xf>
    <xf numFmtId="0" fontId="15" fillId="12" borderId="33" xfId="1" applyFill="1" applyBorder="1" applyAlignment="1">
      <alignment horizontal="left" vertical="center" wrapText="1" readingOrder="1"/>
    </xf>
    <xf numFmtId="0" fontId="15" fillId="12" borderId="32" xfId="1" applyFill="1" applyBorder="1" applyAlignment="1">
      <alignment horizontal="left" vertical="center" wrapText="1" readingOrder="1"/>
    </xf>
    <xf numFmtId="0" fontId="10" fillId="13" borderId="31" xfId="0" applyFont="1" applyFill="1" applyBorder="1" applyAlignment="1">
      <alignment horizontal="left" vertical="center" wrapText="1" readingOrder="1"/>
    </xf>
    <xf numFmtId="0" fontId="15" fillId="13" borderId="31" xfId="1" applyFill="1" applyBorder="1" applyAlignment="1">
      <alignment horizontal="left" vertical="center" wrapText="1" readingOrder="1"/>
    </xf>
    <xf numFmtId="0" fontId="10" fillId="13" borderId="33" xfId="0" applyFont="1" applyFill="1" applyBorder="1" applyAlignment="1">
      <alignment horizontal="left" vertical="center" wrapText="1" readingOrder="1"/>
    </xf>
    <xf numFmtId="0" fontId="15" fillId="13" borderId="33" xfId="1" applyFill="1" applyBorder="1" applyAlignment="1">
      <alignment horizontal="left" vertical="center" wrapText="1" readingOrder="1"/>
    </xf>
    <xf numFmtId="0" fontId="15" fillId="13" borderId="32" xfId="1" applyFill="1" applyBorder="1" applyAlignment="1">
      <alignment horizontal="left" vertical="center" wrapText="1" readingOrder="1"/>
    </xf>
    <xf numFmtId="0" fontId="10" fillId="13" borderId="32" xfId="0" applyFont="1" applyFill="1" applyBorder="1" applyAlignment="1">
      <alignment horizontal="left" vertical="center" wrapText="1" readingOrder="1"/>
    </xf>
    <xf numFmtId="0" fontId="0" fillId="13" borderId="33" xfId="0" applyFill="1" applyBorder="1" applyAlignment="1">
      <alignment vertical="center" wrapText="1"/>
    </xf>
    <xf numFmtId="0" fontId="0" fillId="13" borderId="32" xfId="0" applyFill="1" applyBorder="1" applyAlignment="1">
      <alignment vertical="center" wrapText="1"/>
    </xf>
    <xf numFmtId="0" fontId="10" fillId="14" borderId="31" xfId="0" applyFont="1" applyFill="1" applyBorder="1" applyAlignment="1">
      <alignment horizontal="left" vertical="center" wrapText="1" readingOrder="1"/>
    </xf>
    <xf numFmtId="0" fontId="15" fillId="14" borderId="31" xfId="1" applyFill="1" applyBorder="1" applyAlignment="1">
      <alignment vertical="center" wrapText="1" readingOrder="1"/>
    </xf>
    <xf numFmtId="0" fontId="11" fillId="14" borderId="31" xfId="0" applyFont="1" applyFill="1" applyBorder="1" applyAlignment="1">
      <alignment horizontal="left" vertical="center" wrapText="1" readingOrder="1"/>
    </xf>
    <xf numFmtId="0" fontId="10" fillId="14" borderId="32" xfId="0" applyFont="1" applyFill="1" applyBorder="1" applyAlignment="1">
      <alignment horizontal="left" vertical="center" wrapText="1" readingOrder="1"/>
    </xf>
    <xf numFmtId="0" fontId="15" fillId="14" borderId="32" xfId="1" applyFill="1" applyBorder="1" applyAlignment="1">
      <alignment vertical="center" wrapText="1" readingOrder="1"/>
    </xf>
    <xf numFmtId="0" fontId="10" fillId="14" borderId="33" xfId="0" applyFont="1" applyFill="1" applyBorder="1" applyAlignment="1">
      <alignment horizontal="left" vertical="center" wrapText="1" readingOrder="1"/>
    </xf>
    <xf numFmtId="0" fontId="15" fillId="14" borderId="31" xfId="1" applyFill="1" applyBorder="1" applyAlignment="1">
      <alignment horizontal="left" vertical="center" wrapText="1" readingOrder="1"/>
    </xf>
    <xf numFmtId="0" fontId="10" fillId="2" borderId="34" xfId="0" applyFont="1" applyFill="1" applyBorder="1" applyAlignment="1">
      <alignment horizontal="left" vertical="center" wrapText="1" readingOrder="1"/>
    </xf>
    <xf numFmtId="0" fontId="15" fillId="2" borderId="34" xfId="1" applyFill="1" applyBorder="1" applyAlignment="1">
      <alignment horizontal="left" vertical="center" wrapText="1" readingOrder="1"/>
    </xf>
    <xf numFmtId="0" fontId="14" fillId="2" borderId="34" xfId="0" applyFont="1" applyFill="1" applyBorder="1" applyAlignment="1">
      <alignment horizontal="left" vertical="center" wrapText="1" readingOrder="1"/>
    </xf>
    <xf numFmtId="0" fontId="12" fillId="2" borderId="34" xfId="0" applyFont="1" applyFill="1" applyBorder="1" applyAlignment="1">
      <alignment horizontal="left" vertical="center" wrapText="1" readingOrder="1"/>
    </xf>
    <xf numFmtId="0" fontId="11" fillId="2" borderId="34" xfId="0" applyFont="1" applyFill="1" applyBorder="1" applyAlignment="1">
      <alignment horizontal="left" vertical="center" wrapText="1" readingOrder="1"/>
    </xf>
    <xf numFmtId="0" fontId="20" fillId="8" borderId="34" xfId="0" applyFont="1" applyFill="1" applyBorder="1" applyAlignment="1">
      <alignment vertical="center" wrapText="1"/>
    </xf>
    <xf numFmtId="0" fontId="20" fillId="6" borderId="34" xfId="0" applyFont="1" applyFill="1" applyBorder="1" applyAlignment="1">
      <alignment horizontal="center" vertical="top" wrapText="1"/>
    </xf>
    <xf numFmtId="0" fontId="20" fillId="8" borderId="34" xfId="0" applyFont="1" applyFill="1" applyBorder="1" applyAlignment="1">
      <alignment horizontal="center" vertical="top" wrapText="1"/>
    </xf>
    <xf numFmtId="0" fontId="20" fillId="9" borderId="34" xfId="0" applyFont="1" applyFill="1" applyBorder="1" applyAlignment="1">
      <alignment horizontal="center" vertical="top" wrapText="1"/>
    </xf>
    <xf numFmtId="0" fontId="20" fillId="5" borderId="35" xfId="0" applyFont="1" applyFill="1" applyBorder="1" applyAlignment="1">
      <alignment horizontal="center" vertical="center" wrapText="1"/>
    </xf>
    <xf numFmtId="0" fontId="20" fillId="5" borderId="38" xfId="0" applyFont="1" applyFill="1" applyBorder="1" applyAlignment="1">
      <alignment horizontal="center" vertical="center" wrapText="1"/>
    </xf>
    <xf numFmtId="0" fontId="20" fillId="5" borderId="36" xfId="0" applyFont="1" applyFill="1" applyBorder="1" applyAlignment="1">
      <alignment horizontal="center" vertical="center" wrapText="1"/>
    </xf>
    <xf numFmtId="0" fontId="15" fillId="4" borderId="34" xfId="1" applyFill="1" applyBorder="1" applyAlignment="1">
      <alignment vertical="center" wrapText="1"/>
    </xf>
    <xf numFmtId="0" fontId="15" fillId="7" borderId="34" xfId="1" applyFill="1" applyBorder="1" applyAlignment="1">
      <alignment vertical="center" wrapText="1"/>
    </xf>
    <xf numFmtId="0" fontId="15" fillId="7" borderId="35" xfId="1" applyFill="1" applyBorder="1" applyAlignment="1">
      <alignment vertical="center" wrapText="1"/>
    </xf>
    <xf numFmtId="0" fontId="15" fillId="7" borderId="34" xfId="1" applyFill="1" applyBorder="1" applyAlignment="1">
      <alignment horizontal="left" vertical="center" wrapText="1"/>
    </xf>
    <xf numFmtId="0" fontId="15" fillId="8" borderId="34" xfId="1" applyFill="1" applyBorder="1" applyAlignment="1">
      <alignment horizontal="left" vertical="center" wrapText="1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8" fillId="0" borderId="0" xfId="0" applyFont="1"/>
    <xf numFmtId="0" fontId="15" fillId="4" borderId="34" xfId="1" applyFill="1" applyBorder="1" applyAlignment="1">
      <alignment vertical="top" wrapText="1"/>
    </xf>
    <xf numFmtId="0" fontId="15" fillId="7" borderId="34" xfId="1" applyFill="1" applyBorder="1" applyAlignment="1">
      <alignment vertical="top" wrapText="1"/>
    </xf>
    <xf numFmtId="0" fontId="5" fillId="0" borderId="7" xfId="0" applyFont="1" applyBorder="1" applyAlignment="1">
      <alignment horizontal="left" vertical="top" wrapText="1"/>
    </xf>
    <xf numFmtId="0" fontId="15" fillId="7" borderId="34" xfId="1" applyFill="1" applyBorder="1"/>
    <xf numFmtId="0" fontId="0" fillId="0" borderId="12" xfId="0" applyBorder="1" applyAlignment="1">
      <alignment vertical="top" wrapText="1"/>
    </xf>
    <xf numFmtId="9" fontId="30" fillId="0" borderId="0" xfId="0" applyNumberFormat="1" applyFont="1"/>
    <xf numFmtId="9" fontId="34" fillId="0" borderId="0" xfId="0" applyNumberFormat="1" applyFont="1"/>
    <xf numFmtId="9" fontId="31" fillId="0" borderId="0" xfId="0" applyNumberFormat="1" applyFont="1"/>
    <xf numFmtId="9" fontId="32" fillId="0" borderId="0" xfId="0" applyNumberFormat="1" applyFont="1"/>
    <xf numFmtId="9" fontId="33" fillId="0" borderId="0" xfId="0" applyNumberFormat="1" applyFont="1"/>
    <xf numFmtId="0" fontId="1" fillId="0" borderId="7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26" fillId="0" borderId="0" xfId="0" applyFont="1" applyAlignment="1">
      <alignment wrapText="1"/>
    </xf>
    <xf numFmtId="0" fontId="0" fillId="0" borderId="0" xfId="0" applyAlignment="1">
      <alignment wrapText="1"/>
    </xf>
    <xf numFmtId="0" fontId="24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5" fillId="0" borderId="8" xfId="0" applyFont="1" applyBorder="1" applyAlignment="1">
      <alignment vertical="top" wrapText="1"/>
    </xf>
    <xf numFmtId="0" fontId="1" fillId="0" borderId="39" xfId="0" applyFont="1" applyBorder="1" applyAlignment="1">
      <alignment horizontal="center" vertical="top" wrapText="1"/>
    </xf>
    <xf numFmtId="0" fontId="1" fillId="0" borderId="28" xfId="0" applyFont="1" applyBorder="1" applyAlignment="1">
      <alignment horizontal="center" vertical="top" wrapText="1"/>
    </xf>
    <xf numFmtId="0" fontId="0" fillId="0" borderId="5" xfId="0" applyBorder="1" applyAlignment="1">
      <alignment wrapText="1"/>
    </xf>
    <xf numFmtId="0" fontId="1" fillId="0" borderId="8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35" fillId="0" borderId="0" xfId="0" applyFont="1"/>
    <xf numFmtId="0" fontId="29" fillId="0" borderId="0" xfId="0" applyFont="1"/>
    <xf numFmtId="0" fontId="27" fillId="0" borderId="0" xfId="0" applyFont="1"/>
    <xf numFmtId="0" fontId="36" fillId="0" borderId="0" xfId="0" applyFont="1"/>
    <xf numFmtId="0" fontId="1" fillId="0" borderId="39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5" fillId="0" borderId="39" xfId="0" applyFont="1" applyBorder="1" applyAlignment="1">
      <alignment horizontal="left" vertical="top" wrapText="1"/>
    </xf>
    <xf numFmtId="0" fontId="1" fillId="0" borderId="0" xfId="0" applyFont="1" applyAlignment="1">
      <alignment wrapText="1"/>
    </xf>
    <xf numFmtId="0" fontId="35" fillId="0" borderId="0" xfId="0" applyFont="1" applyAlignment="1">
      <alignment wrapText="1"/>
    </xf>
    <xf numFmtId="0" fontId="29" fillId="0" borderId="0" xfId="0" applyFont="1" applyAlignment="1">
      <alignment wrapText="1"/>
    </xf>
    <xf numFmtId="0" fontId="36" fillId="0" borderId="0" xfId="0" applyFont="1" applyAlignment="1">
      <alignment wrapText="1"/>
    </xf>
    <xf numFmtId="0" fontId="5" fillId="0" borderId="28" xfId="0" applyFont="1" applyBorder="1" applyAlignment="1">
      <alignment horizontal="left" vertical="top" wrapText="1"/>
    </xf>
    <xf numFmtId="0" fontId="0" fillId="2" borderId="8" xfId="0" applyFill="1" applyBorder="1" applyAlignment="1">
      <alignment vertical="top" wrapText="1"/>
    </xf>
    <xf numFmtId="0" fontId="15" fillId="16" borderId="34" xfId="1" applyFill="1" applyBorder="1" applyAlignment="1">
      <alignment vertical="center" wrapText="1"/>
    </xf>
    <xf numFmtId="0" fontId="1" fillId="2" borderId="39" xfId="0" applyFont="1" applyFill="1" applyBorder="1" applyAlignment="1">
      <alignment horizontal="left" vertical="top" wrapText="1"/>
    </xf>
    <xf numFmtId="0" fontId="1" fillId="0" borderId="42" xfId="0" applyFont="1" applyBorder="1" applyAlignment="1">
      <alignment vertical="top" wrapText="1"/>
    </xf>
    <xf numFmtId="0" fontId="29" fillId="0" borderId="34" xfId="0" applyFont="1" applyBorder="1" applyAlignment="1">
      <alignment horizontal="center" vertical="center" wrapText="1"/>
    </xf>
    <xf numFmtId="9" fontId="29" fillId="0" borderId="45" xfId="0" applyNumberFormat="1" applyFont="1" applyBorder="1" applyAlignment="1">
      <alignment horizontal="center" vertical="center" wrapText="1"/>
    </xf>
    <xf numFmtId="0" fontId="29" fillId="0" borderId="44" xfId="0" quotePrefix="1" applyFont="1" applyBorder="1" applyAlignment="1">
      <alignment horizontal="left" vertical="center"/>
    </xf>
    <xf numFmtId="0" fontId="0" fillId="0" borderId="13" xfId="0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9" fontId="37" fillId="0" borderId="0" xfId="0" applyNumberFormat="1" applyFont="1"/>
    <xf numFmtId="9" fontId="38" fillId="0" borderId="0" xfId="0" applyNumberFormat="1" applyFont="1"/>
    <xf numFmtId="9" fontId="39" fillId="0" borderId="0" xfId="0" applyNumberFormat="1" applyFont="1"/>
    <xf numFmtId="9" fontId="40" fillId="0" borderId="0" xfId="0" applyNumberFormat="1" applyFont="1"/>
    <xf numFmtId="9" fontId="41" fillId="0" borderId="0" xfId="0" applyNumberFormat="1" applyFont="1"/>
    <xf numFmtId="0" fontId="27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0" fillId="2" borderId="5" xfId="0" applyFill="1" applyBorder="1" applyAlignment="1">
      <alignment horizontal="left" vertical="top" wrapText="1"/>
    </xf>
    <xf numFmtId="0" fontId="27" fillId="2" borderId="39" xfId="0" applyFont="1" applyFill="1" applyBorder="1" applyAlignment="1">
      <alignment horizontal="left" vertical="top" wrapText="1"/>
    </xf>
    <xf numFmtId="9" fontId="37" fillId="0" borderId="0" xfId="0" applyNumberFormat="1" applyFont="1" applyAlignment="1">
      <alignment wrapText="1"/>
    </xf>
    <xf numFmtId="9" fontId="38" fillId="0" borderId="0" xfId="0" applyNumberFormat="1" applyFont="1" applyAlignment="1">
      <alignment wrapText="1"/>
    </xf>
    <xf numFmtId="9" fontId="39" fillId="0" borderId="0" xfId="0" applyNumberFormat="1" applyFont="1" applyAlignment="1">
      <alignment wrapText="1"/>
    </xf>
    <xf numFmtId="9" fontId="40" fillId="0" borderId="0" xfId="0" applyNumberFormat="1" applyFont="1" applyAlignment="1">
      <alignment wrapText="1"/>
    </xf>
    <xf numFmtId="9" fontId="41" fillId="0" borderId="0" xfId="0" applyNumberFormat="1" applyFont="1" applyAlignment="1">
      <alignment wrapText="1"/>
    </xf>
    <xf numFmtId="0" fontId="1" fillId="0" borderId="6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2" fillId="2" borderId="34" xfId="0" applyFont="1" applyFill="1" applyBorder="1" applyAlignment="1">
      <alignment vertical="top" wrapText="1"/>
    </xf>
    <xf numFmtId="0" fontId="0" fillId="2" borderId="34" xfId="0" applyFill="1" applyBorder="1" applyAlignment="1">
      <alignment horizontal="left" vertical="top" wrapText="1"/>
    </xf>
    <xf numFmtId="0" fontId="1" fillId="0" borderId="11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39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29" xfId="0" applyFont="1" applyBorder="1" applyAlignment="1">
      <alignment vertical="top" wrapText="1"/>
    </xf>
    <xf numFmtId="0" fontId="1" fillId="2" borderId="7" xfId="0" applyFont="1" applyFill="1" applyBorder="1" applyAlignment="1">
      <alignment wrapText="1"/>
    </xf>
    <xf numFmtId="0" fontId="1" fillId="2" borderId="16" xfId="0" applyFont="1" applyFill="1" applyBorder="1" applyAlignment="1">
      <alignment vertical="top" wrapText="1"/>
    </xf>
    <xf numFmtId="9" fontId="1" fillId="0" borderId="45" xfId="0" applyNumberFormat="1" applyFont="1" applyBorder="1" applyAlignment="1">
      <alignment horizontal="center" vertical="center" wrapText="1"/>
    </xf>
    <xf numFmtId="9" fontId="1" fillId="0" borderId="46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top" wrapText="1"/>
    </xf>
    <xf numFmtId="9" fontId="1" fillId="0" borderId="48" xfId="0" applyNumberFormat="1" applyFont="1" applyBorder="1" applyAlignment="1">
      <alignment horizontal="center" vertical="center" wrapText="1"/>
    </xf>
    <xf numFmtId="0" fontId="27" fillId="0" borderId="44" xfId="0" applyFont="1" applyBorder="1" applyAlignment="1">
      <alignment vertical="top" wrapText="1"/>
    </xf>
    <xf numFmtId="0" fontId="1" fillId="0" borderId="44" xfId="0" applyFont="1" applyBorder="1" applyAlignment="1">
      <alignment horizontal="left" vertical="top" wrapText="1"/>
    </xf>
    <xf numFmtId="0" fontId="1" fillId="0" borderId="45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left" vertical="top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vertical="top" wrapText="1"/>
    </xf>
    <xf numFmtId="0" fontId="42" fillId="0" borderId="50" xfId="0" applyFont="1" applyBorder="1" applyAlignment="1">
      <alignment horizontal="center" vertical="top" wrapText="1"/>
    </xf>
    <xf numFmtId="9" fontId="1" fillId="0" borderId="48" xfId="0" applyNumberFormat="1" applyFont="1" applyBorder="1" applyAlignment="1">
      <alignment horizontal="left" vertical="top" wrapText="1"/>
    </xf>
    <xf numFmtId="0" fontId="1" fillId="0" borderId="44" xfId="0" applyFont="1" applyBorder="1" applyAlignment="1">
      <alignment vertical="top" wrapText="1"/>
    </xf>
    <xf numFmtId="0" fontId="1" fillId="0" borderId="51" xfId="0" applyFont="1" applyBorder="1" applyAlignment="1">
      <alignment horizontal="center" vertical="center" wrapText="1"/>
    </xf>
    <xf numFmtId="0" fontId="27" fillId="0" borderId="44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42" fillId="0" borderId="50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 vertical="center"/>
    </xf>
    <xf numFmtId="0" fontId="5" fillId="0" borderId="1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2" borderId="15" xfId="0" applyFont="1" applyFill="1" applyBorder="1" applyAlignment="1">
      <alignment vertical="top" wrapText="1"/>
    </xf>
    <xf numFmtId="0" fontId="5" fillId="2" borderId="8" xfId="0" applyFont="1" applyFill="1" applyBorder="1" applyAlignment="1">
      <alignment vertical="top" wrapText="1"/>
    </xf>
    <xf numFmtId="0" fontId="5" fillId="0" borderId="42" xfId="0" applyFont="1" applyBorder="1" applyAlignment="1">
      <alignment vertical="top" wrapText="1"/>
    </xf>
    <xf numFmtId="0" fontId="5" fillId="0" borderId="6" xfId="0" applyFont="1" applyBorder="1" applyAlignment="1">
      <alignment horizontal="center" vertical="center" wrapText="1"/>
    </xf>
    <xf numFmtId="0" fontId="27" fillId="0" borderId="49" xfId="0" applyFont="1" applyBorder="1" applyAlignment="1">
      <alignment vertical="top" wrapText="1"/>
    </xf>
    <xf numFmtId="0" fontId="27" fillId="0" borderId="46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5" fillId="0" borderId="39" xfId="0" applyFont="1" applyBorder="1" applyAlignment="1">
      <alignment wrapText="1"/>
    </xf>
    <xf numFmtId="0" fontId="43" fillId="0" borderId="50" xfId="0" applyFont="1" applyBorder="1" applyAlignment="1">
      <alignment horizontal="center" vertical="center" wrapText="1"/>
    </xf>
    <xf numFmtId="0" fontId="29" fillId="0" borderId="44" xfId="0" applyFont="1" applyBorder="1" applyAlignment="1">
      <alignment vertical="center"/>
    </xf>
    <xf numFmtId="0" fontId="27" fillId="0" borderId="44" xfId="0" applyFont="1" applyBorder="1" applyAlignment="1">
      <alignment wrapText="1"/>
    </xf>
    <xf numFmtId="0" fontId="29" fillId="0" borderId="44" xfId="0" applyFont="1" applyBorder="1" applyAlignment="1">
      <alignment vertical="center" wrapText="1"/>
    </xf>
    <xf numFmtId="0" fontId="5" fillId="0" borderId="49" xfId="0" applyFont="1" applyBorder="1" applyAlignment="1">
      <alignment horizontal="left" vertical="top" wrapText="1"/>
    </xf>
    <xf numFmtId="9" fontId="1" fillId="0" borderId="52" xfId="0" applyNumberFormat="1" applyFont="1" applyBorder="1" applyAlignment="1">
      <alignment horizontal="center" vertical="center" wrapText="1"/>
    </xf>
    <xf numFmtId="9" fontId="1" fillId="0" borderId="35" xfId="0" applyNumberFormat="1" applyFont="1" applyBorder="1" applyAlignment="1">
      <alignment horizontal="center" vertical="center" wrapText="1"/>
    </xf>
    <xf numFmtId="9" fontId="1" fillId="0" borderId="53" xfId="0" applyNumberFormat="1" applyFont="1" applyBorder="1" applyAlignment="1">
      <alignment horizontal="center" vertical="center" wrapText="1"/>
    </xf>
    <xf numFmtId="0" fontId="1" fillId="0" borderId="57" xfId="0" applyFont="1" applyBorder="1" applyAlignment="1">
      <alignment vertical="top" wrapText="1"/>
    </xf>
    <xf numFmtId="0" fontId="1" fillId="0" borderId="59" xfId="0" applyFont="1" applyBorder="1" applyAlignment="1">
      <alignment horizontal="left" vertical="top" wrapText="1"/>
    </xf>
    <xf numFmtId="0" fontId="1" fillId="0" borderId="55" xfId="0" applyFont="1" applyBorder="1" applyAlignment="1">
      <alignment vertical="top" wrapText="1"/>
    </xf>
    <xf numFmtId="0" fontId="1" fillId="2" borderId="56" xfId="0" applyFont="1" applyFill="1" applyBorder="1" applyAlignment="1">
      <alignment vertical="top" wrapText="1"/>
    </xf>
    <xf numFmtId="0" fontId="1" fillId="0" borderId="57" xfId="0" applyFont="1" applyBorder="1" applyAlignment="1">
      <alignment wrapText="1"/>
    </xf>
    <xf numFmtId="0" fontId="1" fillId="0" borderId="44" xfId="0" quotePrefix="1" applyFont="1" applyBorder="1" applyAlignment="1">
      <alignment horizontal="left" vertical="center" wrapText="1"/>
    </xf>
    <xf numFmtId="9" fontId="5" fillId="0" borderId="34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vertical="center" wrapText="1"/>
    </xf>
    <xf numFmtId="0" fontId="5" fillId="0" borderId="29" xfId="0" applyFont="1" applyBorder="1" applyAlignment="1">
      <alignment vertical="top" wrapText="1"/>
    </xf>
    <xf numFmtId="0" fontId="5" fillId="2" borderId="16" xfId="0" applyFont="1" applyFill="1" applyBorder="1" applyAlignment="1">
      <alignment vertical="top" wrapText="1"/>
    </xf>
    <xf numFmtId="0" fontId="29" fillId="0" borderId="44" xfId="0" applyFont="1" applyBorder="1" applyAlignment="1">
      <alignment wrapText="1"/>
    </xf>
    <xf numFmtId="0" fontId="1" fillId="0" borderId="51" xfId="0" applyFont="1" applyBorder="1" applyAlignment="1">
      <alignment vertical="center" wrapText="1"/>
    </xf>
    <xf numFmtId="0" fontId="1" fillId="0" borderId="44" xfId="0" applyFont="1" applyBorder="1" applyAlignment="1">
      <alignment vertical="center" wrapText="1"/>
    </xf>
    <xf numFmtId="0" fontId="29" fillId="0" borderId="49" xfId="0" applyFont="1" applyBorder="1" applyAlignment="1">
      <alignment horizontal="left" vertical="center" wrapText="1"/>
    </xf>
    <xf numFmtId="0" fontId="29" fillId="0" borderId="44" xfId="0" applyFont="1" applyBorder="1" applyAlignment="1">
      <alignment horizontal="left" vertical="center" wrapText="1"/>
    </xf>
    <xf numFmtId="0" fontId="27" fillId="0" borderId="44" xfId="0" applyFont="1" applyBorder="1" applyAlignment="1">
      <alignment vertical="center" wrapText="1"/>
    </xf>
    <xf numFmtId="0" fontId="27" fillId="0" borderId="49" xfId="0" applyFont="1" applyBorder="1" applyAlignment="1">
      <alignment vertical="center" wrapText="1"/>
    </xf>
    <xf numFmtId="0" fontId="27" fillId="0" borderId="49" xfId="0" applyFont="1" applyBorder="1" applyAlignment="1">
      <alignment horizontal="left" vertical="center" wrapText="1"/>
    </xf>
    <xf numFmtId="9" fontId="42" fillId="0" borderId="45" xfId="0" applyNumberFormat="1" applyFont="1" applyBorder="1" applyAlignment="1">
      <alignment horizontal="center" vertical="center" wrapText="1"/>
    </xf>
    <xf numFmtId="9" fontId="27" fillId="0" borderId="45" xfId="0" applyNumberFormat="1" applyFont="1" applyBorder="1" applyAlignment="1">
      <alignment horizontal="center" vertical="center" wrapText="1"/>
    </xf>
    <xf numFmtId="0" fontId="27" fillId="0" borderId="45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left" vertical="center" wrapText="1"/>
    </xf>
    <xf numFmtId="9" fontId="5" fillId="0" borderId="51" xfId="0" applyNumberFormat="1" applyFont="1" applyBorder="1" applyAlignment="1">
      <alignment horizontal="center" vertical="center" wrapText="1"/>
    </xf>
    <xf numFmtId="0" fontId="1" fillId="0" borderId="44" xfId="0" applyFont="1" applyBorder="1" applyAlignment="1">
      <alignment vertical="center"/>
    </xf>
    <xf numFmtId="0" fontId="27" fillId="0" borderId="44" xfId="0" applyFont="1" applyBorder="1" applyAlignment="1">
      <alignment horizontal="left" vertical="center"/>
    </xf>
    <xf numFmtId="0" fontId="5" fillId="0" borderId="49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left" vertical="center" wrapText="1"/>
    </xf>
    <xf numFmtId="0" fontId="27" fillId="0" borderId="60" xfId="0" applyFont="1" applyBorder="1" applyAlignment="1">
      <alignment vertical="center" wrapText="1"/>
    </xf>
    <xf numFmtId="0" fontId="1" fillId="0" borderId="50" xfId="0" applyFont="1" applyBorder="1" applyAlignment="1">
      <alignment vertical="top" wrapText="1"/>
    </xf>
    <xf numFmtId="0" fontId="1" fillId="0" borderId="47" xfId="0" applyFont="1" applyBorder="1" applyAlignment="1">
      <alignment horizontal="left" vertical="center" wrapText="1"/>
    </xf>
    <xf numFmtId="0" fontId="29" fillId="0" borderId="49" xfId="0" applyFont="1" applyBorder="1" applyAlignment="1">
      <alignment vertical="center" wrapText="1"/>
    </xf>
    <xf numFmtId="0" fontId="1" fillId="2" borderId="15" xfId="0" applyFont="1" applyFill="1" applyBorder="1" applyAlignment="1">
      <alignment vertical="top" wrapText="1"/>
    </xf>
    <xf numFmtId="0" fontId="1" fillId="0" borderId="47" xfId="0" applyFont="1" applyBorder="1" applyAlignment="1">
      <alignment vertical="center" wrapText="1"/>
    </xf>
    <xf numFmtId="0" fontId="1" fillId="0" borderId="49" xfId="0" applyFont="1" applyBorder="1" applyAlignment="1">
      <alignment vertical="center" wrapText="1"/>
    </xf>
    <xf numFmtId="9" fontId="5" fillId="0" borderId="45" xfId="0" applyNumberFormat="1" applyFont="1" applyBorder="1" applyAlignment="1">
      <alignment horizontal="center" vertical="center" wrapText="1"/>
    </xf>
    <xf numFmtId="9" fontId="5" fillId="0" borderId="46" xfId="0" applyNumberFormat="1" applyFont="1" applyBorder="1" applyAlignment="1">
      <alignment horizontal="center" vertical="center" wrapText="1"/>
    </xf>
    <xf numFmtId="0" fontId="27" fillId="3" borderId="44" xfId="0" applyFont="1" applyFill="1" applyBorder="1" applyAlignment="1">
      <alignment vertical="center" wrapText="1"/>
    </xf>
    <xf numFmtId="9" fontId="27" fillId="3" borderId="45" xfId="0" applyNumberFormat="1" applyFont="1" applyFill="1" applyBorder="1" applyAlignment="1">
      <alignment horizontal="center" vertical="center" wrapText="1"/>
    </xf>
    <xf numFmtId="0" fontId="27" fillId="3" borderId="49" xfId="0" applyFont="1" applyFill="1" applyBorder="1" applyAlignment="1">
      <alignment vertical="center" wrapText="1"/>
    </xf>
    <xf numFmtId="0" fontId="27" fillId="3" borderId="46" xfId="0" applyFont="1" applyFill="1" applyBorder="1" applyAlignment="1">
      <alignment horizontal="center" vertical="center" wrapText="1"/>
    </xf>
    <xf numFmtId="0" fontId="5" fillId="3" borderId="44" xfId="0" applyFont="1" applyFill="1" applyBorder="1" applyAlignment="1">
      <alignment horizontal="left" vertical="center" wrapText="1"/>
    </xf>
    <xf numFmtId="0" fontId="5" fillId="3" borderId="49" xfId="0" applyFont="1" applyFill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/>
    </xf>
    <xf numFmtId="0" fontId="1" fillId="0" borderId="39" xfId="0" applyFont="1" applyBorder="1" applyAlignment="1">
      <alignment vertical="center" wrapText="1"/>
    </xf>
    <xf numFmtId="0" fontId="1" fillId="3" borderId="49" xfId="0" applyFont="1" applyFill="1" applyBorder="1" applyAlignment="1">
      <alignment horizontal="left" vertical="center" wrapText="1"/>
    </xf>
    <xf numFmtId="0" fontId="27" fillId="3" borderId="45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 wrapText="1"/>
    </xf>
    <xf numFmtId="9" fontId="40" fillId="0" borderId="45" xfId="0" applyNumberFormat="1" applyFont="1" applyBorder="1" applyAlignment="1">
      <alignment horizontal="center" vertical="center"/>
    </xf>
    <xf numFmtId="9" fontId="39" fillId="0" borderId="45" xfId="0" applyNumberFormat="1" applyFont="1" applyBorder="1" applyAlignment="1">
      <alignment horizontal="center" vertical="center"/>
    </xf>
    <xf numFmtId="9" fontId="37" fillId="0" borderId="45" xfId="0" applyNumberFormat="1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 wrapText="1"/>
    </xf>
    <xf numFmtId="9" fontId="37" fillId="0" borderId="46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vertical="center" wrapText="1"/>
    </xf>
    <xf numFmtId="9" fontId="1" fillId="0" borderId="48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9" fontId="29" fillId="0" borderId="45" xfId="0" applyNumberFormat="1" applyFont="1" applyBorder="1" applyAlignment="1">
      <alignment horizontal="center" vertical="center"/>
    </xf>
    <xf numFmtId="9" fontId="1" fillId="0" borderId="45" xfId="0" applyNumberFormat="1" applyFont="1" applyBorder="1" applyAlignment="1">
      <alignment horizontal="center" vertical="center"/>
    </xf>
    <xf numFmtId="0" fontId="1" fillId="0" borderId="49" xfId="0" applyFont="1" applyBorder="1" applyAlignment="1">
      <alignment vertical="center"/>
    </xf>
    <xf numFmtId="0" fontId="29" fillId="0" borderId="51" xfId="0" applyFont="1" applyBorder="1" applyAlignment="1">
      <alignment horizontal="center" vertical="center" wrapText="1"/>
    </xf>
    <xf numFmtId="0" fontId="29" fillId="0" borderId="46" xfId="0" applyFont="1" applyBorder="1" applyAlignment="1">
      <alignment horizontal="center" vertical="center" wrapText="1"/>
    </xf>
    <xf numFmtId="9" fontId="27" fillId="0" borderId="48" xfId="0" applyNumberFormat="1" applyFont="1" applyBorder="1" applyAlignment="1">
      <alignment horizontal="center" vertical="center" wrapText="1"/>
    </xf>
    <xf numFmtId="9" fontId="39" fillId="0" borderId="46" xfId="0" applyNumberFormat="1" applyFont="1" applyBorder="1" applyAlignment="1">
      <alignment horizontal="center" vertical="center"/>
    </xf>
    <xf numFmtId="9" fontId="27" fillId="0" borderId="45" xfId="0" applyNumberFormat="1" applyFont="1" applyBorder="1" applyAlignment="1">
      <alignment horizontal="center" vertical="center"/>
    </xf>
    <xf numFmtId="9" fontId="29" fillId="0" borderId="46" xfId="0" applyNumberFormat="1" applyFont="1" applyBorder="1" applyAlignment="1">
      <alignment horizontal="center" vertical="center"/>
    </xf>
    <xf numFmtId="9" fontId="1" fillId="0" borderId="46" xfId="0" applyNumberFormat="1" applyFont="1" applyBorder="1" applyAlignment="1">
      <alignment horizontal="center" vertical="center"/>
    </xf>
    <xf numFmtId="0" fontId="27" fillId="3" borderId="44" xfId="0" applyFont="1" applyFill="1" applyBorder="1" applyAlignment="1">
      <alignment vertical="top" wrapText="1"/>
    </xf>
    <xf numFmtId="0" fontId="27" fillId="3" borderId="49" xfId="0" applyFont="1" applyFill="1" applyBorder="1" applyAlignment="1">
      <alignment vertical="top" wrapText="1"/>
    </xf>
    <xf numFmtId="0" fontId="5" fillId="3" borderId="44" xfId="0" applyFont="1" applyFill="1" applyBorder="1" applyAlignment="1">
      <alignment horizontal="left" vertical="top" wrapText="1"/>
    </xf>
    <xf numFmtId="0" fontId="5" fillId="3" borderId="49" xfId="0" applyFont="1" applyFill="1" applyBorder="1" applyAlignment="1">
      <alignment horizontal="left" vertical="top" wrapText="1"/>
    </xf>
    <xf numFmtId="9" fontId="1" fillId="0" borderId="48" xfId="0" applyNumberFormat="1" applyFont="1" applyBorder="1" applyAlignment="1">
      <alignment horizontal="right" vertical="center" wrapText="1"/>
    </xf>
    <xf numFmtId="9" fontId="27" fillId="0" borderId="34" xfId="0" applyNumberFormat="1" applyFont="1" applyBorder="1" applyAlignment="1">
      <alignment horizontal="center" vertical="center"/>
    </xf>
    <xf numFmtId="0" fontId="29" fillId="3" borderId="49" xfId="0" applyFont="1" applyFill="1" applyBorder="1" applyAlignment="1">
      <alignment horizontal="left" vertical="center" wrapText="1"/>
    </xf>
    <xf numFmtId="9" fontId="27" fillId="0" borderId="51" xfId="0" applyNumberFormat="1" applyFont="1" applyBorder="1" applyAlignment="1">
      <alignment horizontal="center" vertical="center"/>
    </xf>
    <xf numFmtId="0" fontId="29" fillId="0" borderId="49" xfId="0" applyFont="1" applyBorder="1" applyAlignment="1">
      <alignment horizontal="left" vertical="center"/>
    </xf>
    <xf numFmtId="0" fontId="1" fillId="0" borderId="4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51" xfId="0" applyFont="1" applyBorder="1" applyAlignment="1">
      <alignment horizontal="center" vertical="center"/>
    </xf>
    <xf numFmtId="0" fontId="2" fillId="0" borderId="49" xfId="0" applyFont="1" applyBorder="1" applyAlignment="1">
      <alignment vertical="center" wrapText="1"/>
    </xf>
    <xf numFmtId="0" fontId="1" fillId="2" borderId="2" xfId="0" applyFont="1" applyFill="1" applyBorder="1" applyAlignment="1">
      <alignment wrapText="1"/>
    </xf>
    <xf numFmtId="0" fontId="2" fillId="0" borderId="4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48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left" vertical="center" wrapText="1"/>
    </xf>
    <xf numFmtId="0" fontId="5" fillId="0" borderId="34" xfId="0" applyFont="1" applyBorder="1" applyAlignment="1">
      <alignment vertical="center" wrapText="1"/>
    </xf>
    <xf numFmtId="9" fontId="5" fillId="0" borderId="34" xfId="0" applyNumberFormat="1" applyFont="1" applyBorder="1" applyAlignment="1">
      <alignment horizontal="center" vertical="center"/>
    </xf>
    <xf numFmtId="9" fontId="29" fillId="0" borderId="34" xfId="0" applyNumberFormat="1" applyFont="1" applyBorder="1" applyAlignment="1">
      <alignment horizontal="center" vertical="center"/>
    </xf>
    <xf numFmtId="0" fontId="44" fillId="0" borderId="34" xfId="0" applyFont="1" applyBorder="1" applyAlignment="1">
      <alignment horizontal="center" vertical="center"/>
    </xf>
    <xf numFmtId="0" fontId="18" fillId="0" borderId="0" xfId="0" applyFont="1"/>
    <xf numFmtId="0" fontId="29" fillId="0" borderId="34" xfId="0" applyFont="1" applyBorder="1" applyAlignment="1">
      <alignment wrapText="1"/>
    </xf>
    <xf numFmtId="0" fontId="27" fillId="0" borderId="34" xfId="0" applyFont="1" applyBorder="1" applyAlignment="1">
      <alignment wrapText="1"/>
    </xf>
    <xf numFmtId="0" fontId="5" fillId="0" borderId="44" xfId="0" quotePrefix="1" applyFont="1" applyBorder="1" applyAlignment="1">
      <alignment horizontal="left" vertical="center" wrapText="1"/>
    </xf>
    <xf numFmtId="0" fontId="27" fillId="0" borderId="42" xfId="0" applyFont="1" applyBorder="1" applyAlignment="1">
      <alignment vertical="top" wrapText="1"/>
    </xf>
    <xf numFmtId="0" fontId="27" fillId="0" borderId="0" xfId="0" applyFont="1" applyAlignment="1">
      <alignment horizontal="center" vertical="center" wrapText="1"/>
    </xf>
    <xf numFmtId="0" fontId="27" fillId="3" borderId="62" xfId="0" applyFont="1" applyFill="1" applyBorder="1" applyAlignment="1">
      <alignment vertical="center" wrapText="1"/>
    </xf>
    <xf numFmtId="9" fontId="27" fillId="3" borderId="35" xfId="0" applyNumberFormat="1" applyFont="1" applyFill="1" applyBorder="1" applyAlignment="1">
      <alignment horizontal="center" vertical="center" wrapText="1"/>
    </xf>
    <xf numFmtId="0" fontId="27" fillId="3" borderId="20" xfId="0" applyFont="1" applyFill="1" applyBorder="1" applyAlignment="1">
      <alignment horizontal="center" vertical="center" wrapText="1"/>
    </xf>
    <xf numFmtId="9" fontId="42" fillId="0" borderId="35" xfId="0" applyNumberFormat="1" applyFont="1" applyBorder="1" applyAlignment="1">
      <alignment horizontal="center" vertical="center" wrapText="1"/>
    </xf>
    <xf numFmtId="9" fontId="27" fillId="0" borderId="35" xfId="0" applyNumberFormat="1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27" fillId="3" borderId="47" xfId="0" applyFont="1" applyFill="1" applyBorder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9" fontId="27" fillId="3" borderId="52" xfId="0" applyNumberFormat="1" applyFont="1" applyFill="1" applyBorder="1" applyAlignment="1">
      <alignment horizontal="center" vertical="center" wrapText="1"/>
    </xf>
    <xf numFmtId="0" fontId="27" fillId="3" borderId="35" xfId="0" applyFont="1" applyFill="1" applyBorder="1" applyAlignment="1">
      <alignment horizontal="center" vertical="center" wrapText="1"/>
    </xf>
    <xf numFmtId="0" fontId="27" fillId="3" borderId="53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left" vertical="center"/>
    </xf>
    <xf numFmtId="0" fontId="27" fillId="0" borderId="29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9" fontId="37" fillId="0" borderId="29" xfId="0" applyNumberFormat="1" applyFont="1" applyBorder="1" applyAlignment="1">
      <alignment horizontal="center" vertical="center"/>
    </xf>
    <xf numFmtId="0" fontId="27" fillId="0" borderId="24" xfId="0" applyFont="1" applyBorder="1" applyAlignment="1">
      <alignment vertical="center" wrapText="1"/>
    </xf>
    <xf numFmtId="9" fontId="27" fillId="0" borderId="29" xfId="0" applyNumberFormat="1" applyFont="1" applyBorder="1" applyAlignment="1">
      <alignment horizontal="center" vertical="center" wrapText="1"/>
    </xf>
    <xf numFmtId="0" fontId="29" fillId="0" borderId="24" xfId="0" applyFont="1" applyBorder="1" applyAlignment="1">
      <alignment horizontal="left" vertical="center" wrapText="1"/>
    </xf>
    <xf numFmtId="9" fontId="29" fillId="0" borderId="29" xfId="0" applyNumberFormat="1" applyFont="1" applyBorder="1" applyAlignment="1">
      <alignment horizontal="center" vertical="center"/>
    </xf>
    <xf numFmtId="0" fontId="0" fillId="16" borderId="0" xfId="0" applyFill="1" applyAlignment="1">
      <alignment horizontal="right"/>
    </xf>
    <xf numFmtId="0" fontId="0" fillId="0" borderId="0" xfId="0" applyAlignment="1">
      <alignment horizontal="left" vertical="center" wrapText="1" indent="2"/>
    </xf>
    <xf numFmtId="0" fontId="46" fillId="0" borderId="0" xfId="0" applyFont="1" applyAlignment="1">
      <alignment vertical="center" wrapText="1"/>
    </xf>
    <xf numFmtId="20" fontId="47" fillId="0" borderId="0" xfId="0" applyNumberFormat="1" applyFont="1" applyAlignment="1">
      <alignment vertical="center" wrapText="1"/>
    </xf>
    <xf numFmtId="0" fontId="45" fillId="17" borderId="0" xfId="0" applyFont="1" applyFill="1" applyAlignment="1">
      <alignment horizontal="left" vertical="center" wrapText="1" indent="2"/>
    </xf>
    <xf numFmtId="0" fontId="0" fillId="17" borderId="0" xfId="0" applyFill="1" applyAlignment="1">
      <alignment horizontal="left" vertical="center" wrapText="1" indent="2"/>
    </xf>
    <xf numFmtId="0" fontId="1" fillId="0" borderId="0" xfId="0" applyFont="1" applyAlignment="1">
      <alignment horizontal="center"/>
    </xf>
    <xf numFmtId="0" fontId="1" fillId="0" borderId="34" xfId="0" applyFont="1" applyBorder="1" applyAlignment="1">
      <alignment horizontal="center" wrapText="1"/>
    </xf>
    <xf numFmtId="0" fontId="1" fillId="0" borderId="34" xfId="0" applyFont="1" applyBorder="1" applyAlignment="1">
      <alignment horizontal="center"/>
    </xf>
    <xf numFmtId="0" fontId="0" fillId="13" borderId="34" xfId="0" applyFill="1" applyBorder="1" applyAlignment="1">
      <alignment horizontal="left" wrapText="1"/>
    </xf>
    <xf numFmtId="0" fontId="1" fillId="13" borderId="34" xfId="0" applyFont="1" applyFill="1" applyBorder="1" applyAlignment="1">
      <alignment horizontal="left" wrapText="1"/>
    </xf>
    <xf numFmtId="0" fontId="0" fillId="2" borderId="34" xfId="0" applyFill="1" applyBorder="1" applyAlignment="1">
      <alignment wrapText="1"/>
    </xf>
    <xf numFmtId="0" fontId="0" fillId="2" borderId="34" xfId="0" applyFill="1" applyBorder="1"/>
    <xf numFmtId="0" fontId="1" fillId="2" borderId="34" xfId="0" applyFont="1" applyFill="1" applyBorder="1" applyAlignment="1">
      <alignment wrapText="1"/>
    </xf>
    <xf numFmtId="0" fontId="1" fillId="9" borderId="34" xfId="0" applyFont="1" applyFill="1" applyBorder="1" applyAlignment="1">
      <alignment horizontal="left" wrapText="1"/>
    </xf>
    <xf numFmtId="0" fontId="1" fillId="18" borderId="34" xfId="0" applyFont="1" applyFill="1" applyBorder="1" applyAlignment="1">
      <alignment wrapText="1"/>
    </xf>
    <xf numFmtId="0" fontId="0" fillId="19" borderId="34" xfId="0" applyFill="1" applyBorder="1" applyAlignment="1">
      <alignment wrapText="1"/>
    </xf>
    <xf numFmtId="0" fontId="1" fillId="20" borderId="34" xfId="0" applyFont="1" applyFill="1" applyBorder="1" applyAlignment="1">
      <alignment wrapText="1"/>
    </xf>
    <xf numFmtId="9" fontId="1" fillId="0" borderId="48" xfId="0" applyNumberFormat="1" applyFont="1" applyBorder="1" applyAlignment="1">
      <alignment horizontal="center" vertical="top" wrapText="1"/>
    </xf>
    <xf numFmtId="0" fontId="0" fillId="0" borderId="0" xfId="0" applyAlignment="1">
      <alignment horizontal="left" wrapText="1" indent="3"/>
    </xf>
    <xf numFmtId="0" fontId="1" fillId="0" borderId="36" xfId="0" applyFont="1" applyBorder="1" applyAlignment="1">
      <alignment horizontal="left" vertical="center" wrapText="1"/>
    </xf>
    <xf numFmtId="0" fontId="5" fillId="16" borderId="36" xfId="0" applyFont="1" applyFill="1" applyBorder="1" applyAlignment="1">
      <alignment horizontal="left" vertical="center" wrapText="1"/>
    </xf>
    <xf numFmtId="0" fontId="1" fillId="0" borderId="54" xfId="0" applyFont="1" applyBorder="1" applyAlignment="1">
      <alignment vertical="top" wrapText="1"/>
    </xf>
    <xf numFmtId="0" fontId="2" fillId="0" borderId="62" xfId="0" applyFont="1" applyBorder="1" applyAlignment="1">
      <alignment vertical="top" wrapText="1"/>
    </xf>
    <xf numFmtId="0" fontId="1" fillId="0" borderId="23" xfId="0" applyFont="1" applyBorder="1" applyAlignment="1">
      <alignment vertical="top" wrapText="1"/>
    </xf>
    <xf numFmtId="0" fontId="1" fillId="0" borderId="10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16" borderId="62" xfId="0" applyFont="1" applyFill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63" xfId="0" applyFont="1" applyBorder="1" applyAlignment="1">
      <alignment horizontal="left" vertical="top" wrapText="1"/>
    </xf>
    <xf numFmtId="0" fontId="1" fillId="2" borderId="59" xfId="0" applyFont="1" applyFill="1" applyBorder="1" applyAlignment="1">
      <alignment wrapText="1"/>
    </xf>
    <xf numFmtId="0" fontId="1" fillId="7" borderId="59" xfId="0" applyFont="1" applyFill="1" applyBorder="1" applyAlignment="1">
      <alignment vertical="top" wrapText="1"/>
    </xf>
    <xf numFmtId="0" fontId="1" fillId="0" borderId="64" xfId="0" applyFont="1" applyBorder="1" applyAlignment="1">
      <alignment vertical="top" wrapText="1"/>
    </xf>
    <xf numFmtId="9" fontId="1" fillId="0" borderId="48" xfId="2" applyFont="1" applyBorder="1" applyAlignment="1">
      <alignment horizontal="center" vertical="center" wrapText="1"/>
    </xf>
    <xf numFmtId="0" fontId="0" fillId="0" borderId="34" xfId="0" applyBorder="1" applyAlignment="1">
      <alignment horizontal="center"/>
    </xf>
    <xf numFmtId="0" fontId="1" fillId="0" borderId="44" xfId="0" applyFont="1" applyBorder="1" applyAlignment="1">
      <alignment wrapText="1"/>
    </xf>
    <xf numFmtId="0" fontId="1" fillId="0" borderId="36" xfId="0" applyFont="1" applyBorder="1"/>
    <xf numFmtId="9" fontId="35" fillId="0" borderId="0" xfId="0" applyNumberFormat="1" applyFont="1" applyAlignment="1">
      <alignment horizontal="center" vertical="center"/>
    </xf>
    <xf numFmtId="0" fontId="1" fillId="0" borderId="50" xfId="0" applyFont="1" applyBorder="1" applyAlignment="1">
      <alignment horizontal="center" vertical="top" wrapText="1"/>
    </xf>
    <xf numFmtId="0" fontId="1" fillId="0" borderId="44" xfId="0" applyFont="1" applyBorder="1" applyAlignment="1">
      <alignment horizontal="left" vertical="center" wrapText="1" indent="3"/>
    </xf>
    <xf numFmtId="0" fontId="49" fillId="0" borderId="0" xfId="0" applyFont="1"/>
    <xf numFmtId="0" fontId="50" fillId="0" borderId="0" xfId="0" applyFont="1"/>
    <xf numFmtId="0" fontId="0" fillId="16" borderId="34" xfId="0" applyFill="1" applyBorder="1"/>
    <xf numFmtId="0" fontId="0" fillId="16" borderId="0" xfId="0" applyFill="1"/>
    <xf numFmtId="9" fontId="1" fillId="16" borderId="45" xfId="0" applyNumberFormat="1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1" fillId="0" borderId="58" xfId="0" applyFont="1" applyBorder="1" applyAlignment="1">
      <alignment horizontal="left" vertical="top" wrapText="1"/>
    </xf>
    <xf numFmtId="9" fontId="1" fillId="0" borderId="52" xfId="2" applyFont="1" applyBorder="1" applyAlignment="1">
      <alignment horizontal="center" vertical="center" wrapText="1"/>
    </xf>
    <xf numFmtId="0" fontId="1" fillId="0" borderId="34" xfId="0" applyFont="1" applyBorder="1" applyAlignment="1">
      <alignment vertical="top" wrapText="1"/>
    </xf>
    <xf numFmtId="0" fontId="51" fillId="0" borderId="44" xfId="0" applyFont="1" applyBorder="1" applyAlignment="1">
      <alignment wrapText="1"/>
    </xf>
    <xf numFmtId="0" fontId="0" fillId="3" borderId="34" xfId="0" applyFill="1" applyBorder="1"/>
    <xf numFmtId="0" fontId="51" fillId="0" borderId="44" xfId="0" applyFont="1" applyBorder="1" applyAlignment="1">
      <alignment horizontal="left" vertical="center" wrapText="1"/>
    </xf>
    <xf numFmtId="9" fontId="1" fillId="0" borderId="35" xfId="0" applyNumberFormat="1" applyFont="1" applyBorder="1" applyAlignment="1">
      <alignment horizontal="center" vertical="center"/>
    </xf>
    <xf numFmtId="0" fontId="0" fillId="16" borderId="34" xfId="0" applyFill="1" applyBorder="1" applyAlignment="1">
      <alignment wrapText="1"/>
    </xf>
    <xf numFmtId="0" fontId="0" fillId="0" borderId="34" xfId="0" applyBorder="1" applyAlignment="1">
      <alignment wrapText="1"/>
    </xf>
    <xf numFmtId="0" fontId="0" fillId="0" borderId="34" xfId="0" applyBorder="1" applyAlignment="1">
      <alignment horizontal="left" wrapText="1"/>
    </xf>
    <xf numFmtId="9" fontId="1" fillId="16" borderId="35" xfId="0" applyNumberFormat="1" applyFont="1" applyFill="1" applyBorder="1" applyAlignment="1">
      <alignment horizontal="center" vertical="center"/>
    </xf>
    <xf numFmtId="0" fontId="0" fillId="16" borderId="34" xfId="0" applyFill="1" applyBorder="1" applyAlignment="1">
      <alignment horizontal="left" wrapText="1"/>
    </xf>
    <xf numFmtId="0" fontId="0" fillId="0" borderId="34" xfId="0" applyBorder="1" applyAlignment="1">
      <alignment horizontal="left" indent="2"/>
    </xf>
    <xf numFmtId="0" fontId="0" fillId="0" borderId="34" xfId="0" applyBorder="1" applyAlignment="1">
      <alignment horizontal="left" indent="4"/>
    </xf>
    <xf numFmtId="0" fontId="1" fillId="0" borderId="34" xfId="0" applyFont="1" applyBorder="1" applyAlignment="1">
      <alignment horizontal="left" vertical="top" wrapText="1"/>
    </xf>
    <xf numFmtId="0" fontId="29" fillId="0" borderId="5" xfId="0" applyFont="1" applyBorder="1" applyAlignment="1">
      <alignment horizontal="center" vertical="center" wrapText="1"/>
    </xf>
    <xf numFmtId="0" fontId="1" fillId="0" borderId="42" xfId="0" applyFont="1" applyBorder="1" applyAlignment="1">
      <alignment wrapText="1"/>
    </xf>
    <xf numFmtId="0" fontId="1" fillId="0" borderId="65" xfId="0" applyFont="1" applyBorder="1" applyAlignment="1">
      <alignment horizontal="left" vertical="top" wrapText="1"/>
    </xf>
    <xf numFmtId="0" fontId="1" fillId="0" borderId="37" xfId="0" applyFont="1" applyBorder="1" applyAlignment="1">
      <alignment wrapText="1"/>
    </xf>
    <xf numFmtId="0" fontId="1" fillId="0" borderId="38" xfId="0" applyFont="1" applyBorder="1" applyAlignment="1">
      <alignment horizontal="left" vertical="center" wrapText="1" indent="3"/>
    </xf>
    <xf numFmtId="0" fontId="1" fillId="0" borderId="38" xfId="0" applyFont="1" applyBorder="1" applyAlignment="1">
      <alignment wrapText="1"/>
    </xf>
    <xf numFmtId="0" fontId="5" fillId="0" borderId="38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left" vertical="top" wrapText="1"/>
    </xf>
    <xf numFmtId="0" fontId="2" fillId="0" borderId="20" xfId="0" applyFont="1" applyBorder="1" applyAlignment="1">
      <alignment vertical="top" wrapText="1"/>
    </xf>
    <xf numFmtId="0" fontId="1" fillId="0" borderId="38" xfId="0" applyFont="1" applyBorder="1" applyAlignment="1">
      <alignment vertical="center" wrapText="1"/>
    </xf>
    <xf numFmtId="9" fontId="1" fillId="0" borderId="16" xfId="2" applyFont="1" applyBorder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/>
    </xf>
    <xf numFmtId="0" fontId="20" fillId="5" borderId="1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top" wrapText="1"/>
    </xf>
    <xf numFmtId="0" fontId="20" fillId="6" borderId="2" xfId="0" applyFont="1" applyFill="1" applyBorder="1" applyAlignment="1">
      <alignment horizontal="center" vertical="top" wrapText="1"/>
    </xf>
    <xf numFmtId="0" fontId="15" fillId="4" borderId="35" xfId="1" applyFill="1" applyBorder="1" applyAlignment="1">
      <alignment horizontal="left" vertical="center" wrapText="1"/>
    </xf>
    <xf numFmtId="0" fontId="15" fillId="4" borderId="36" xfId="1" applyFill="1" applyBorder="1" applyAlignment="1">
      <alignment horizontal="left" vertical="center" wrapText="1"/>
    </xf>
    <xf numFmtId="0" fontId="15" fillId="7" borderId="35" xfId="1" applyFill="1" applyBorder="1" applyAlignment="1">
      <alignment horizontal="left" vertical="center" wrapText="1"/>
    </xf>
    <xf numFmtId="0" fontId="15" fillId="7" borderId="36" xfId="1" applyFill="1" applyBorder="1" applyAlignment="1">
      <alignment horizontal="left" vertical="center" wrapText="1"/>
    </xf>
    <xf numFmtId="0" fontId="19" fillId="4" borderId="35" xfId="0" applyFont="1" applyFill="1" applyBorder="1" applyAlignment="1">
      <alignment horizontal="left" vertical="top" wrapText="1" readingOrder="1"/>
    </xf>
    <xf numFmtId="0" fontId="19" fillId="4" borderId="38" xfId="0" applyFont="1" applyFill="1" applyBorder="1" applyAlignment="1">
      <alignment horizontal="left" vertical="top" wrapText="1" readingOrder="1"/>
    </xf>
    <xf numFmtId="0" fontId="19" fillId="4" borderId="36" xfId="0" applyFont="1" applyFill="1" applyBorder="1" applyAlignment="1">
      <alignment horizontal="left" vertical="top" wrapText="1" readingOrder="1"/>
    </xf>
    <xf numFmtId="0" fontId="15" fillId="4" borderId="35" xfId="1" applyFill="1" applyBorder="1" applyAlignment="1">
      <alignment horizontal="left" vertical="center" wrapText="1" readingOrder="1"/>
    </xf>
    <xf numFmtId="0" fontId="15" fillId="4" borderId="38" xfId="1" applyFill="1" applyBorder="1" applyAlignment="1">
      <alignment horizontal="left" vertical="center" wrapText="1" readingOrder="1"/>
    </xf>
    <xf numFmtId="0" fontId="15" fillId="4" borderId="36" xfId="1" applyFill="1" applyBorder="1" applyAlignment="1">
      <alignment horizontal="left" vertical="center" wrapText="1" readingOrder="1"/>
    </xf>
    <xf numFmtId="1" fontId="15" fillId="4" borderId="35" xfId="1" applyNumberFormat="1" applyFill="1" applyBorder="1" applyAlignment="1">
      <alignment horizontal="left" vertical="center" wrapText="1" readingOrder="1"/>
    </xf>
    <xf numFmtId="1" fontId="15" fillId="4" borderId="38" xfId="1" applyNumberFormat="1" applyFill="1" applyBorder="1" applyAlignment="1">
      <alignment horizontal="left" vertical="center" wrapText="1" readingOrder="1"/>
    </xf>
    <xf numFmtId="1" fontId="15" fillId="4" borderId="36" xfId="1" applyNumberFormat="1" applyFill="1" applyBorder="1" applyAlignment="1">
      <alignment horizontal="left" vertical="center" wrapText="1" readingOrder="1"/>
    </xf>
    <xf numFmtId="0" fontId="15" fillId="7" borderId="35" xfId="1" applyFill="1" applyBorder="1" applyAlignment="1">
      <alignment horizontal="center" vertical="center" wrapText="1"/>
    </xf>
    <xf numFmtId="0" fontId="15" fillId="7" borderId="38" xfId="1" applyFill="1" applyBorder="1" applyAlignment="1">
      <alignment horizontal="center" vertical="center" wrapText="1"/>
    </xf>
    <xf numFmtId="0" fontId="15" fillId="7" borderId="36" xfId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left" vertical="center" wrapText="1"/>
    </xf>
    <xf numFmtId="0" fontId="20" fillId="7" borderId="9" xfId="0" applyFont="1" applyFill="1" applyBorder="1" applyAlignment="1">
      <alignment horizontal="left" vertical="center" wrapText="1"/>
    </xf>
    <xf numFmtId="0" fontId="20" fillId="7" borderId="4" xfId="0" applyFont="1" applyFill="1" applyBorder="1" applyAlignment="1">
      <alignment horizontal="left" vertical="center" wrapText="1"/>
    </xf>
    <xf numFmtId="0" fontId="20" fillId="7" borderId="5" xfId="0" applyFont="1" applyFill="1" applyBorder="1" applyAlignment="1">
      <alignment horizontal="left" vertical="center" wrapText="1"/>
    </xf>
    <xf numFmtId="0" fontId="20" fillId="7" borderId="0" xfId="0" applyFont="1" applyFill="1" applyAlignment="1">
      <alignment horizontal="left" vertical="center" wrapText="1"/>
    </xf>
    <xf numFmtId="0" fontId="20" fillId="7" borderId="6" xfId="0" applyFont="1" applyFill="1" applyBorder="1" applyAlignment="1">
      <alignment horizontal="left" vertical="center" wrapText="1"/>
    </xf>
    <xf numFmtId="0" fontId="15" fillId="7" borderId="38" xfId="1" applyFill="1" applyBorder="1" applyAlignment="1">
      <alignment horizontal="left" vertical="center" wrapText="1"/>
    </xf>
    <xf numFmtId="0" fontId="15" fillId="7" borderId="34" xfId="1" applyFill="1" applyBorder="1" applyAlignment="1">
      <alignment horizontal="left" vertical="center" wrapText="1"/>
    </xf>
    <xf numFmtId="0" fontId="20" fillId="7" borderId="35" xfId="0" applyFont="1" applyFill="1" applyBorder="1" applyAlignment="1">
      <alignment horizontal="left" vertical="top" wrapText="1"/>
    </xf>
    <xf numFmtId="0" fontId="20" fillId="7" borderId="38" xfId="0" applyFont="1" applyFill="1" applyBorder="1" applyAlignment="1">
      <alignment horizontal="left" vertical="top" wrapText="1"/>
    </xf>
    <xf numFmtId="0" fontId="20" fillId="7" borderId="36" xfId="0" applyFont="1" applyFill="1" applyBorder="1" applyAlignment="1">
      <alignment horizontal="left" vertical="top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9" xfId="0" applyFont="1" applyFill="1" applyBorder="1" applyAlignment="1">
      <alignment horizontal="center" vertical="center" wrapText="1"/>
    </xf>
    <xf numFmtId="0" fontId="20" fillId="5" borderId="4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0" fillId="5" borderId="37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15" fillId="7" borderId="35" xfId="1" applyFill="1" applyBorder="1" applyAlignment="1">
      <alignment horizontal="left" vertical="center"/>
    </xf>
    <xf numFmtId="0" fontId="15" fillId="7" borderId="36" xfId="1" applyFill="1" applyBorder="1" applyAlignment="1">
      <alignment horizontal="left" vertical="center"/>
    </xf>
    <xf numFmtId="0" fontId="19" fillId="7" borderId="35" xfId="0" applyFont="1" applyFill="1" applyBorder="1" applyAlignment="1">
      <alignment horizontal="left" vertical="center" wrapText="1" readingOrder="1"/>
    </xf>
    <xf numFmtId="0" fontId="19" fillId="7" borderId="38" xfId="0" applyFont="1" applyFill="1" applyBorder="1" applyAlignment="1">
      <alignment horizontal="left" vertical="center" wrapText="1" readingOrder="1"/>
    </xf>
    <xf numFmtId="0" fontId="19" fillId="7" borderId="36" xfId="0" applyFont="1" applyFill="1" applyBorder="1" applyAlignment="1">
      <alignment horizontal="left" vertical="center" wrapText="1" readingOrder="1"/>
    </xf>
    <xf numFmtId="0" fontId="0" fillId="0" borderId="37" xfId="0" applyBorder="1" applyAlignment="1">
      <alignment horizontal="center" wrapText="1"/>
    </xf>
    <xf numFmtId="0" fontId="0" fillId="0" borderId="37" xfId="0" applyBorder="1" applyAlignment="1">
      <alignment horizontal="left" vertical="center"/>
    </xf>
    <xf numFmtId="0" fontId="16" fillId="0" borderId="34" xfId="0" applyFont="1" applyBorder="1" applyAlignment="1">
      <alignment horizontal="center" vertical="center" wrapText="1"/>
    </xf>
    <xf numFmtId="0" fontId="20" fillId="4" borderId="35" xfId="0" applyFont="1" applyFill="1" applyBorder="1" applyAlignment="1">
      <alignment horizontal="left" vertical="top" wrapText="1"/>
    </xf>
    <xf numFmtId="0" fontId="20" fillId="4" borderId="38" xfId="0" applyFont="1" applyFill="1" applyBorder="1" applyAlignment="1">
      <alignment horizontal="left" vertical="top" wrapText="1"/>
    </xf>
    <xf numFmtId="0" fontId="20" fillId="4" borderId="36" xfId="0" applyFont="1" applyFill="1" applyBorder="1" applyAlignment="1">
      <alignment horizontal="left" vertical="top" wrapText="1"/>
    </xf>
    <xf numFmtId="0" fontId="16" fillId="0" borderId="35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 wrapText="1" readingOrder="1"/>
    </xf>
    <xf numFmtId="0" fontId="17" fillId="0" borderId="38" xfId="0" applyFont="1" applyBorder="1" applyAlignment="1">
      <alignment horizontal="center" vertical="center" wrapText="1" readingOrder="1"/>
    </xf>
    <xf numFmtId="0" fontId="17" fillId="0" borderId="36" xfId="0" applyFont="1" applyBorder="1" applyAlignment="1">
      <alignment horizontal="center" vertical="center" wrapText="1" readingOrder="1"/>
    </xf>
    <xf numFmtId="0" fontId="19" fillId="4" borderId="34" xfId="0" applyFont="1" applyFill="1" applyBorder="1" applyAlignment="1">
      <alignment horizontal="left" vertical="top" wrapText="1" readingOrder="1"/>
    </xf>
    <xf numFmtId="0" fontId="20" fillId="6" borderId="34" xfId="0" applyFont="1" applyFill="1" applyBorder="1" applyAlignment="1">
      <alignment horizontal="center" vertical="top" wrapText="1"/>
    </xf>
    <xf numFmtId="0" fontId="20" fillId="7" borderId="34" xfId="0" applyFont="1" applyFill="1" applyBorder="1" applyAlignment="1">
      <alignment horizontal="left" vertical="center" wrapText="1"/>
    </xf>
    <xf numFmtId="0" fontId="20" fillId="16" borderId="35" xfId="0" applyFont="1" applyFill="1" applyBorder="1" applyAlignment="1">
      <alignment horizontal="left" vertical="top" wrapText="1"/>
    </xf>
    <xf numFmtId="0" fontId="20" fillId="16" borderId="38" xfId="0" applyFont="1" applyFill="1" applyBorder="1" applyAlignment="1">
      <alignment horizontal="left" vertical="top" wrapText="1"/>
    </xf>
    <xf numFmtId="0" fontId="20" fillId="16" borderId="36" xfId="0" applyFont="1" applyFill="1" applyBorder="1" applyAlignment="1">
      <alignment horizontal="left" vertical="top" wrapText="1"/>
    </xf>
    <xf numFmtId="0" fontId="20" fillId="16" borderId="3" xfId="0" applyFont="1" applyFill="1" applyBorder="1" applyAlignment="1">
      <alignment horizontal="center" vertical="top" wrapText="1"/>
    </xf>
    <xf numFmtId="0" fontId="20" fillId="16" borderId="9" xfId="0" applyFont="1" applyFill="1" applyBorder="1" applyAlignment="1">
      <alignment horizontal="center" vertical="top" wrapText="1"/>
    </xf>
    <xf numFmtId="0" fontId="20" fillId="16" borderId="4" xfId="0" applyFont="1" applyFill="1" applyBorder="1" applyAlignment="1">
      <alignment horizontal="center" vertical="top" wrapText="1"/>
    </xf>
    <xf numFmtId="0" fontId="20" fillId="5" borderId="35" xfId="0" applyFont="1" applyFill="1" applyBorder="1" applyAlignment="1">
      <alignment horizontal="center" vertical="center" wrapText="1"/>
    </xf>
    <xf numFmtId="0" fontId="20" fillId="5" borderId="38" xfId="0" applyFont="1" applyFill="1" applyBorder="1" applyAlignment="1">
      <alignment horizontal="center" vertical="center" wrapText="1"/>
    </xf>
    <xf numFmtId="0" fontId="20" fillId="5" borderId="36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left" vertical="center"/>
    </xf>
    <xf numFmtId="0" fontId="18" fillId="13" borderId="2" xfId="0" applyFont="1" applyFill="1" applyBorder="1" applyAlignment="1">
      <alignment horizontal="left" vertical="center"/>
    </xf>
    <xf numFmtId="0" fontId="18" fillId="14" borderId="1" xfId="0" applyFont="1" applyFill="1" applyBorder="1" applyAlignment="1">
      <alignment horizontal="left" vertical="center"/>
    </xf>
    <xf numFmtId="0" fontId="18" fillId="14" borderId="2" xfId="0" applyFont="1" applyFill="1" applyBorder="1" applyAlignment="1">
      <alignment horizontal="left" vertical="center"/>
    </xf>
    <xf numFmtId="0" fontId="15" fillId="16" borderId="35" xfId="1" applyFill="1" applyBorder="1" applyAlignment="1">
      <alignment horizontal="left" vertical="top" wrapText="1"/>
    </xf>
    <xf numFmtId="0" fontId="15" fillId="16" borderId="38" xfId="1" applyFill="1" applyBorder="1" applyAlignment="1">
      <alignment horizontal="left" vertical="top" wrapText="1"/>
    </xf>
    <xf numFmtId="0" fontId="15" fillId="16" borderId="36" xfId="1" applyFill="1" applyBorder="1" applyAlignment="1">
      <alignment horizontal="left" vertical="top" wrapText="1"/>
    </xf>
    <xf numFmtId="0" fontId="18" fillId="10" borderId="1" xfId="0" applyFont="1" applyFill="1" applyBorder="1" applyAlignment="1">
      <alignment horizontal="left" vertical="center"/>
    </xf>
    <xf numFmtId="0" fontId="18" fillId="10" borderId="2" xfId="0" applyFont="1" applyFill="1" applyBorder="1" applyAlignment="1">
      <alignment horizontal="left" vertical="center"/>
    </xf>
    <xf numFmtId="0" fontId="18" fillId="15" borderId="1" xfId="0" applyFont="1" applyFill="1" applyBorder="1" applyAlignment="1">
      <alignment horizontal="left" vertical="center"/>
    </xf>
    <xf numFmtId="0" fontId="18" fillId="15" borderId="2" xfId="0" applyFont="1" applyFill="1" applyBorder="1" applyAlignment="1">
      <alignment horizontal="left" vertical="center"/>
    </xf>
    <xf numFmtId="0" fontId="19" fillId="4" borderId="35" xfId="0" applyFont="1" applyFill="1" applyBorder="1" applyAlignment="1">
      <alignment horizontal="left" vertical="center" wrapText="1" readingOrder="1"/>
    </xf>
    <xf numFmtId="0" fontId="19" fillId="4" borderId="38" xfId="0" applyFont="1" applyFill="1" applyBorder="1" applyAlignment="1">
      <alignment horizontal="left" vertical="center" wrapText="1" readingOrder="1"/>
    </xf>
    <xf numFmtId="0" fontId="19" fillId="4" borderId="36" xfId="0" applyFont="1" applyFill="1" applyBorder="1" applyAlignment="1">
      <alignment horizontal="left" vertical="center" wrapText="1" readingOrder="1"/>
    </xf>
    <xf numFmtId="0" fontId="18" fillId="12" borderId="1" xfId="0" applyFont="1" applyFill="1" applyBorder="1" applyAlignment="1">
      <alignment horizontal="left" vertical="center"/>
    </xf>
    <xf numFmtId="0" fontId="18" fillId="12" borderId="2" xfId="0" applyFont="1" applyFill="1" applyBorder="1" applyAlignment="1">
      <alignment horizontal="left" vertical="center"/>
    </xf>
    <xf numFmtId="0" fontId="20" fillId="4" borderId="35" xfId="0" applyFont="1" applyFill="1" applyBorder="1" applyAlignment="1">
      <alignment horizontal="left" vertical="center" wrapText="1"/>
    </xf>
    <xf numFmtId="0" fontId="20" fillId="4" borderId="38" xfId="0" applyFont="1" applyFill="1" applyBorder="1" applyAlignment="1">
      <alignment horizontal="left" vertical="center" wrapText="1"/>
    </xf>
    <xf numFmtId="0" fontId="20" fillId="4" borderId="36" xfId="0" applyFont="1" applyFill="1" applyBorder="1" applyAlignment="1">
      <alignment horizontal="left" vertical="center" wrapText="1"/>
    </xf>
    <xf numFmtId="0" fontId="15" fillId="16" borderId="35" xfId="1" applyFill="1" applyBorder="1" applyAlignment="1">
      <alignment horizontal="left" vertical="center" wrapText="1"/>
    </xf>
    <xf numFmtId="0" fontId="15" fillId="16" borderId="38" xfId="1" applyFill="1" applyBorder="1" applyAlignment="1">
      <alignment horizontal="left" vertical="center" wrapText="1"/>
    </xf>
    <xf numFmtId="0" fontId="15" fillId="16" borderId="36" xfId="1" applyFill="1" applyBorder="1" applyAlignment="1">
      <alignment horizontal="left" vertical="center" wrapText="1"/>
    </xf>
    <xf numFmtId="0" fontId="18" fillId="2" borderId="34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0" fontId="20" fillId="7" borderId="35" xfId="0" applyFont="1" applyFill="1" applyBorder="1" applyAlignment="1">
      <alignment horizontal="center" vertical="center" wrapText="1"/>
    </xf>
    <xf numFmtId="0" fontId="20" fillId="7" borderId="38" xfId="0" applyFont="1" applyFill="1" applyBorder="1" applyAlignment="1">
      <alignment horizontal="center" vertical="center" wrapText="1"/>
    </xf>
    <xf numFmtId="0" fontId="20" fillId="7" borderId="36" xfId="0" applyFont="1" applyFill="1" applyBorder="1" applyAlignment="1">
      <alignment horizontal="center" vertical="center" wrapText="1"/>
    </xf>
    <xf numFmtId="0" fontId="20" fillId="7" borderId="35" xfId="0" applyFont="1" applyFill="1" applyBorder="1" applyAlignment="1">
      <alignment horizontal="left" vertical="center" wrapText="1"/>
    </xf>
    <xf numFmtId="0" fontId="20" fillId="7" borderId="38" xfId="0" applyFont="1" applyFill="1" applyBorder="1" applyAlignment="1">
      <alignment horizontal="left" vertical="center" wrapText="1"/>
    </xf>
    <xf numFmtId="0" fontId="20" fillId="7" borderId="36" xfId="0" applyFont="1" applyFill="1" applyBorder="1" applyAlignment="1">
      <alignment horizontal="left" vertical="center" wrapText="1"/>
    </xf>
    <xf numFmtId="0" fontId="20" fillId="16" borderId="34" xfId="0" applyFont="1" applyFill="1" applyBorder="1" applyAlignment="1">
      <alignment horizontal="left" vertical="top" wrapText="1"/>
    </xf>
    <xf numFmtId="0" fontId="20" fillId="8" borderId="34" xfId="0" applyFont="1" applyFill="1" applyBorder="1" applyAlignment="1">
      <alignment horizontal="center" vertical="top" wrapText="1"/>
    </xf>
    <xf numFmtId="0" fontId="20" fillId="9" borderId="34" xfId="0" applyFont="1" applyFill="1" applyBorder="1" applyAlignment="1">
      <alignment horizontal="center" vertical="top" wrapText="1"/>
    </xf>
    <xf numFmtId="0" fontId="10" fillId="2" borderId="34" xfId="0" applyFont="1" applyFill="1" applyBorder="1" applyAlignment="1">
      <alignment horizontal="left" vertical="center" wrapText="1" readingOrder="1"/>
    </xf>
    <xf numFmtId="0" fontId="12" fillId="2" borderId="34" xfId="0" applyFont="1" applyFill="1" applyBorder="1" applyAlignment="1">
      <alignment horizontal="left" vertical="center" wrapText="1" readingOrder="1"/>
    </xf>
    <xf numFmtId="0" fontId="10" fillId="10" borderId="31" xfId="0" applyFont="1" applyFill="1" applyBorder="1" applyAlignment="1">
      <alignment horizontal="left" vertical="center" wrapText="1" readingOrder="1"/>
    </xf>
    <xf numFmtId="0" fontId="10" fillId="10" borderId="32" xfId="0" applyFont="1" applyFill="1" applyBorder="1" applyAlignment="1">
      <alignment horizontal="left" vertical="center" wrapText="1" readingOrder="1"/>
    </xf>
    <xf numFmtId="0" fontId="10" fillId="12" borderId="31" xfId="0" applyFont="1" applyFill="1" applyBorder="1" applyAlignment="1">
      <alignment horizontal="left" vertical="center" wrapText="1" readingOrder="1"/>
    </xf>
    <xf numFmtId="0" fontId="10" fillId="12" borderId="33" xfId="0" applyFont="1" applyFill="1" applyBorder="1" applyAlignment="1">
      <alignment horizontal="left" vertical="center" wrapText="1" readingOrder="1"/>
    </xf>
    <xf numFmtId="0" fontId="10" fillId="12" borderId="32" xfId="0" applyFont="1" applyFill="1" applyBorder="1" applyAlignment="1">
      <alignment horizontal="left" vertical="center" wrapText="1" readingOrder="1"/>
    </xf>
    <xf numFmtId="0" fontId="15" fillId="13" borderId="31" xfId="1" applyFill="1" applyBorder="1" applyAlignment="1">
      <alignment horizontal="left" vertical="center" wrapText="1" readingOrder="1"/>
    </xf>
    <xf numFmtId="0" fontId="15" fillId="13" borderId="33" xfId="1" applyFill="1" applyBorder="1" applyAlignment="1">
      <alignment horizontal="left" vertical="center" wrapText="1" readingOrder="1"/>
    </xf>
    <xf numFmtId="0" fontId="10" fillId="13" borderId="31" xfId="0" applyFont="1" applyFill="1" applyBorder="1" applyAlignment="1">
      <alignment horizontal="left" vertical="center" wrapText="1" readingOrder="1"/>
    </xf>
    <xf numFmtId="0" fontId="10" fillId="13" borderId="33" xfId="0" applyFont="1" applyFill="1" applyBorder="1" applyAlignment="1">
      <alignment horizontal="left" vertical="center" wrapText="1" readingOrder="1"/>
    </xf>
    <xf numFmtId="0" fontId="10" fillId="13" borderId="32" xfId="0" applyFont="1" applyFill="1" applyBorder="1" applyAlignment="1">
      <alignment horizontal="left" vertical="center" wrapText="1" readingOrder="1"/>
    </xf>
    <xf numFmtId="0" fontId="11" fillId="13" borderId="31" xfId="0" applyFont="1" applyFill="1" applyBorder="1" applyAlignment="1">
      <alignment horizontal="left" vertical="center" wrapText="1" readingOrder="1"/>
    </xf>
    <xf numFmtId="0" fontId="11" fillId="13" borderId="33" xfId="0" applyFont="1" applyFill="1" applyBorder="1" applyAlignment="1">
      <alignment horizontal="left" vertical="center" wrapText="1" readingOrder="1"/>
    </xf>
    <xf numFmtId="0" fontId="11" fillId="13" borderId="32" xfId="0" applyFont="1" applyFill="1" applyBorder="1" applyAlignment="1">
      <alignment horizontal="left" vertical="center" wrapText="1" readingOrder="1"/>
    </xf>
    <xf numFmtId="0" fontId="10" fillId="14" borderId="31" xfId="0" applyFont="1" applyFill="1" applyBorder="1" applyAlignment="1">
      <alignment horizontal="left" vertical="center" wrapText="1" readingOrder="1"/>
    </xf>
    <xf numFmtId="0" fontId="10" fillId="14" borderId="32" xfId="0" applyFont="1" applyFill="1" applyBorder="1" applyAlignment="1">
      <alignment horizontal="left" vertical="center" wrapText="1" readingOrder="1"/>
    </xf>
    <xf numFmtId="0" fontId="10" fillId="14" borderId="33" xfId="0" applyFont="1" applyFill="1" applyBorder="1" applyAlignment="1">
      <alignment horizontal="left" vertical="center" wrapText="1" readingOrder="1"/>
    </xf>
    <xf numFmtId="0" fontId="11" fillId="12" borderId="31" xfId="0" applyFont="1" applyFill="1" applyBorder="1" applyAlignment="1">
      <alignment horizontal="left" vertical="center" wrapText="1" readingOrder="1"/>
    </xf>
    <xf numFmtId="0" fontId="11" fillId="12" borderId="33" xfId="0" applyFont="1" applyFill="1" applyBorder="1" applyAlignment="1">
      <alignment horizontal="left" vertical="center" wrapText="1" readingOrder="1"/>
    </xf>
    <xf numFmtId="0" fontId="11" fillId="12" borderId="32" xfId="0" applyFont="1" applyFill="1" applyBorder="1" applyAlignment="1">
      <alignment horizontal="left" vertical="center" wrapText="1" readingOrder="1"/>
    </xf>
    <xf numFmtId="0" fontId="15" fillId="10" borderId="31" xfId="1" applyFill="1" applyBorder="1" applyAlignment="1">
      <alignment horizontal="left" vertical="center" wrapText="1" readingOrder="1"/>
    </xf>
    <xf numFmtId="0" fontId="15" fillId="10" borderId="32" xfId="1" applyFill="1" applyBorder="1" applyAlignment="1">
      <alignment horizontal="left" vertical="center" wrapText="1" readingOrder="1"/>
    </xf>
    <xf numFmtId="0" fontId="11" fillId="2" borderId="34" xfId="0" applyFont="1" applyFill="1" applyBorder="1" applyAlignment="1">
      <alignment horizontal="left" vertical="center" wrapText="1" readingOrder="1"/>
    </xf>
    <xf numFmtId="0" fontId="11" fillId="14" borderId="31" xfId="0" applyFont="1" applyFill="1" applyBorder="1" applyAlignment="1">
      <alignment horizontal="left" vertical="center" wrapText="1" readingOrder="1"/>
    </xf>
    <xf numFmtId="0" fontId="11" fillId="14" borderId="32" xfId="0" applyFont="1" applyFill="1" applyBorder="1" applyAlignment="1">
      <alignment horizontal="left" vertical="center" wrapText="1" readingOrder="1"/>
    </xf>
    <xf numFmtId="0" fontId="11" fillId="14" borderId="33" xfId="0" applyFont="1" applyFill="1" applyBorder="1" applyAlignment="1">
      <alignment horizontal="left" vertical="center" wrapText="1" readingOrder="1"/>
    </xf>
    <xf numFmtId="0" fontId="1" fillId="0" borderId="4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55" xfId="0" applyFont="1" applyBorder="1" applyAlignment="1">
      <alignment horizontal="left" wrapText="1"/>
    </xf>
    <xf numFmtId="0" fontId="1" fillId="2" borderId="19" xfId="0" applyFont="1" applyFill="1" applyBorder="1" applyAlignment="1">
      <alignment horizontal="left" vertical="top" wrapText="1"/>
    </xf>
    <xf numFmtId="0" fontId="1" fillId="2" borderId="20" xfId="0" applyFont="1" applyFill="1" applyBorder="1" applyAlignment="1">
      <alignment horizontal="left" vertical="top" wrapText="1"/>
    </xf>
    <xf numFmtId="0" fontId="1" fillId="2" borderId="21" xfId="0" applyFont="1" applyFill="1" applyBorder="1" applyAlignment="1">
      <alignment horizontal="left" vertical="top" wrapText="1"/>
    </xf>
    <xf numFmtId="0" fontId="1" fillId="2" borderId="22" xfId="0" applyFont="1" applyFill="1" applyBorder="1" applyAlignment="1">
      <alignment horizontal="left" vertical="top" wrapText="1"/>
    </xf>
    <xf numFmtId="0" fontId="1" fillId="2" borderId="23" xfId="0" applyFont="1" applyFill="1" applyBorder="1" applyAlignment="1">
      <alignment horizontal="left" vertical="top" wrapText="1"/>
    </xf>
    <xf numFmtId="0" fontId="1" fillId="0" borderId="40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40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41" xfId="0" applyFont="1" applyBorder="1" applyAlignment="1">
      <alignment horizontal="left" vertical="top" wrapText="1"/>
    </xf>
    <xf numFmtId="0" fontId="1" fillId="0" borderId="55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58" xfId="0" applyFont="1" applyBorder="1" applyAlignment="1">
      <alignment horizontal="left" vertical="top" wrapText="1"/>
    </xf>
    <xf numFmtId="0" fontId="1" fillId="0" borderId="57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43" fillId="0" borderId="41" xfId="0" applyFont="1" applyBorder="1" applyAlignment="1">
      <alignment horizontal="left" vertical="top" wrapText="1"/>
    </xf>
    <xf numFmtId="0" fontId="51" fillId="0" borderId="55" xfId="0" applyFont="1" applyBorder="1" applyAlignment="1">
      <alignment horizontal="left" vertical="top" wrapText="1"/>
    </xf>
    <xf numFmtId="0" fontId="51" fillId="0" borderId="41" xfId="0" applyFont="1" applyBorder="1" applyAlignment="1">
      <alignment horizontal="left" vertical="top" wrapText="1"/>
    </xf>
    <xf numFmtId="0" fontId="51" fillId="0" borderId="19" xfId="0" applyFont="1" applyBorder="1" applyAlignment="1">
      <alignment horizontal="left" vertical="top" wrapText="1"/>
    </xf>
    <xf numFmtId="0" fontId="51" fillId="0" borderId="23" xfId="0" applyFont="1" applyBorder="1" applyAlignment="1">
      <alignment horizontal="left" vertical="top" wrapText="1"/>
    </xf>
    <xf numFmtId="0" fontId="0" fillId="0" borderId="58" xfId="0" applyBorder="1" applyAlignment="1">
      <alignment horizontal="left" vertical="top" wrapText="1"/>
    </xf>
    <xf numFmtId="0" fontId="1" fillId="19" borderId="1" xfId="0" applyFont="1" applyFill="1" applyBorder="1" applyAlignment="1">
      <alignment horizontal="center" wrapText="1"/>
    </xf>
    <xf numFmtId="0" fontId="1" fillId="19" borderId="39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wrapText="1"/>
    </xf>
    <xf numFmtId="0" fontId="1" fillId="13" borderId="1" xfId="0" applyFont="1" applyFill="1" applyBorder="1" applyAlignment="1">
      <alignment horizontal="center" vertical="center"/>
    </xf>
    <xf numFmtId="0" fontId="1" fillId="13" borderId="39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43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18" xfId="0" applyFont="1" applyBorder="1" applyAlignment="1">
      <alignment horizontal="left" wrapText="1"/>
    </xf>
    <xf numFmtId="0" fontId="1" fillId="0" borderId="6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2" borderId="39" xfId="0" applyFont="1" applyFill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0" fillId="2" borderId="19" xfId="0" applyFill="1" applyBorder="1" applyAlignment="1">
      <alignment horizontal="left" vertical="top" wrapText="1"/>
    </xf>
    <xf numFmtId="0" fontId="0" fillId="2" borderId="20" xfId="0" applyFill="1" applyBorder="1" applyAlignment="1">
      <alignment horizontal="left" vertical="top" wrapText="1"/>
    </xf>
    <xf numFmtId="0" fontId="0" fillId="2" borderId="21" xfId="0" applyFill="1" applyBorder="1" applyAlignment="1">
      <alignment horizontal="left" vertical="top" wrapText="1"/>
    </xf>
    <xf numFmtId="0" fontId="0" fillId="2" borderId="22" xfId="0" applyFill="1" applyBorder="1" applyAlignment="1">
      <alignment horizontal="left" vertical="top" wrapText="1"/>
    </xf>
    <xf numFmtId="0" fontId="0" fillId="2" borderId="23" xfId="0" applyFill="1" applyBorder="1" applyAlignment="1">
      <alignment horizontal="left" vertical="top" wrapText="1"/>
    </xf>
    <xf numFmtId="0" fontId="5" fillId="0" borderId="41" xfId="0" applyFont="1" applyBorder="1" applyAlignment="1">
      <alignment horizontal="left" vertical="top" wrapText="1"/>
    </xf>
    <xf numFmtId="0" fontId="5" fillId="0" borderId="55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5" fillId="0" borderId="23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1" fillId="0" borderId="39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5" fillId="0" borderId="39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7" fillId="0" borderId="39" xfId="0" applyFont="1" applyBorder="1" applyAlignment="1">
      <alignment horizontal="left" vertical="top" wrapText="1"/>
    </xf>
    <xf numFmtId="0" fontId="27" fillId="0" borderId="2" xfId="0" applyFont="1" applyBorder="1" applyAlignment="1">
      <alignment horizontal="left" vertical="top" wrapText="1"/>
    </xf>
    <xf numFmtId="0" fontId="27" fillId="2" borderId="39" xfId="0" applyFont="1" applyFill="1" applyBorder="1" applyAlignment="1">
      <alignment horizontal="left" vertical="top" wrapText="1"/>
    </xf>
    <xf numFmtId="0" fontId="27" fillId="2" borderId="2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5" fillId="2" borderId="39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1" fillId="2" borderId="28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left" vertical="top" wrapText="1"/>
    </xf>
    <xf numFmtId="0" fontId="1" fillId="0" borderId="61" xfId="0" applyFont="1" applyBorder="1" applyAlignment="1">
      <alignment horizontal="left" vertical="top" wrapText="1"/>
    </xf>
    <xf numFmtId="0" fontId="1" fillId="0" borderId="5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7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1" fillId="0" borderId="66" xfId="0" applyFont="1" applyBorder="1" applyAlignment="1">
      <alignment wrapText="1"/>
    </xf>
    <xf numFmtId="0" fontId="1" fillId="0" borderId="66" xfId="0" applyFont="1" applyBorder="1" applyAlignment="1">
      <alignment horizontal="left" vertical="center" wrapText="1" indent="3"/>
    </xf>
    <xf numFmtId="0" fontId="5" fillId="0" borderId="66" xfId="0" applyFont="1" applyBorder="1" applyAlignment="1">
      <alignment horizontal="left" vertical="center" wrapText="1"/>
    </xf>
    <xf numFmtId="0" fontId="1" fillId="0" borderId="66" xfId="0" applyFont="1" applyBorder="1" applyAlignment="1">
      <alignment horizontal="left" vertical="top" wrapText="1"/>
    </xf>
    <xf numFmtId="9" fontId="1" fillId="0" borderId="14" xfId="2" applyFont="1" applyBorder="1" applyAlignment="1">
      <alignment horizontal="center" vertical="center" wrapText="1"/>
    </xf>
    <xf numFmtId="9" fontId="1" fillId="0" borderId="34" xfId="2" applyFont="1" applyBorder="1" applyAlignment="1">
      <alignment horizontal="center" vertical="center" wrapText="1"/>
    </xf>
    <xf numFmtId="9" fontId="1" fillId="0" borderId="34" xfId="0" applyNumberFormat="1" applyFont="1" applyBorder="1" applyAlignment="1">
      <alignment horizontal="center" vertical="center"/>
    </xf>
    <xf numFmtId="9" fontId="1" fillId="0" borderId="34" xfId="0" applyNumberFormat="1" applyFont="1" applyBorder="1" applyAlignment="1">
      <alignment horizontal="center" vertical="center" wrapText="1"/>
    </xf>
    <xf numFmtId="9" fontId="1" fillId="3" borderId="34" xfId="0" applyNumberFormat="1" applyFont="1" applyFill="1" applyBorder="1" applyAlignment="1">
      <alignment horizontal="center" vertical="center"/>
    </xf>
    <xf numFmtId="0" fontId="0" fillId="3" borderId="0" xfId="0" applyFill="1"/>
    <xf numFmtId="0" fontId="1" fillId="0" borderId="66" xfId="0" applyFont="1" applyBorder="1" applyAlignment="1">
      <alignment horizontal="left" vertical="center" wrapText="1"/>
    </xf>
    <xf numFmtId="0" fontId="1" fillId="0" borderId="36" xfId="0" applyFont="1" applyBorder="1" applyAlignment="1">
      <alignment wrapText="1"/>
    </xf>
    <xf numFmtId="0" fontId="1" fillId="21" borderId="38" xfId="0" applyFont="1" applyFill="1" applyBorder="1" applyAlignment="1">
      <alignment horizontal="left" vertical="center" wrapText="1" indent="3"/>
    </xf>
    <xf numFmtId="0" fontId="1" fillId="21" borderId="37" xfId="0" applyFont="1" applyFill="1" applyBorder="1" applyAlignment="1">
      <alignment wrapText="1"/>
    </xf>
  </cellXfs>
  <cellStyles count="3">
    <cellStyle name="Гиперссылка" xfId="1" builtinId="8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9525</xdr:rowOff>
    </xdr:from>
    <xdr:to>
      <xdr:col>0</xdr:col>
      <xdr:colOff>240610</xdr:colOff>
      <xdr:row>2</xdr:row>
      <xdr:rowOff>36492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1EC945-9AF4-4CF2-9BD8-F0D6AFE41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47650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149087</xdr:colOff>
      <xdr:row>0</xdr:row>
      <xdr:rowOff>190501</xdr:rowOff>
    </xdr:from>
    <xdr:to>
      <xdr:col>0</xdr:col>
      <xdr:colOff>323022</xdr:colOff>
      <xdr:row>2</xdr:row>
      <xdr:rowOff>4858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DC0993-2C00-4C7C-B746-D7391BEC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" y="104776"/>
          <a:ext cx="173935" cy="21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149087</xdr:colOff>
      <xdr:row>0</xdr:row>
      <xdr:rowOff>190501</xdr:rowOff>
    </xdr:from>
    <xdr:to>
      <xdr:col>0</xdr:col>
      <xdr:colOff>323022</xdr:colOff>
      <xdr:row>2</xdr:row>
      <xdr:rowOff>4858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DC0993-2C00-4C7C-B746-D7391BEC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" y="190501"/>
          <a:ext cx="173935" cy="195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149087</xdr:colOff>
      <xdr:row>0</xdr:row>
      <xdr:rowOff>190501</xdr:rowOff>
    </xdr:from>
    <xdr:to>
      <xdr:col>0</xdr:col>
      <xdr:colOff>323022</xdr:colOff>
      <xdr:row>2</xdr:row>
      <xdr:rowOff>4858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DC0993-2C00-4C7C-B746-D7391BEC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" y="190501"/>
          <a:ext cx="173935" cy="195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149087</xdr:colOff>
      <xdr:row>0</xdr:row>
      <xdr:rowOff>190501</xdr:rowOff>
    </xdr:from>
    <xdr:to>
      <xdr:col>0</xdr:col>
      <xdr:colOff>323022</xdr:colOff>
      <xdr:row>2</xdr:row>
      <xdr:rowOff>12478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4AE789-8325-4201-BE3A-78F4441E2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" y="190501"/>
          <a:ext cx="173935" cy="195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149087</xdr:colOff>
      <xdr:row>0</xdr:row>
      <xdr:rowOff>190501</xdr:rowOff>
    </xdr:from>
    <xdr:to>
      <xdr:col>1</xdr:col>
      <xdr:colOff>177598</xdr:colOff>
      <xdr:row>2</xdr:row>
      <xdr:rowOff>23908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F8A961-44EB-4F49-95AB-AC25BFC84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67" y="190501"/>
          <a:ext cx="180911" cy="214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149087</xdr:colOff>
      <xdr:row>0</xdr:row>
      <xdr:rowOff>190501</xdr:rowOff>
    </xdr:from>
    <xdr:to>
      <xdr:col>0</xdr:col>
      <xdr:colOff>323022</xdr:colOff>
      <xdr:row>2</xdr:row>
      <xdr:rowOff>11390</xdr:rowOff>
    </xdr:to>
    <xdr:pic>
      <xdr:nvPicPr>
        <xdr:cNvPr id="4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26CF98-FF67-4AA0-BD68-B366B8748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" y="190501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149087</xdr:colOff>
      <xdr:row>0</xdr:row>
      <xdr:rowOff>190501</xdr:rowOff>
    </xdr:from>
    <xdr:to>
      <xdr:col>0</xdr:col>
      <xdr:colOff>323022</xdr:colOff>
      <xdr:row>2</xdr:row>
      <xdr:rowOff>11390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CF7B-EF35-4E8D-85F5-747DA5468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" y="104776"/>
          <a:ext cx="173935" cy="21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5EF6B8-9F3E-4EA3-8E1F-1ADECACE7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970F80-0237-4D39-A834-48317A0A6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07B1B-6153-4A6C-9696-9FF817325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5D4A0B-CA09-4FCE-8DD4-3E2FC5170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124810</xdr:colOff>
      <xdr:row>1</xdr:row>
      <xdr:rowOff>6569</xdr:rowOff>
    </xdr:from>
    <xdr:to>
      <xdr:col>0</xdr:col>
      <xdr:colOff>298745</xdr:colOff>
      <xdr:row>2</xdr:row>
      <xdr:rowOff>22571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038822-344B-4015-9F6F-D330559EE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0" y="203638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124810</xdr:colOff>
      <xdr:row>1</xdr:row>
      <xdr:rowOff>6569</xdr:rowOff>
    </xdr:from>
    <xdr:to>
      <xdr:col>0</xdr:col>
      <xdr:colOff>298745</xdr:colOff>
      <xdr:row>2</xdr:row>
      <xdr:rowOff>22571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A2337C-5E78-41F1-8CAB-389885073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0" y="206594"/>
          <a:ext cx="173935" cy="216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131379</xdr:colOff>
      <xdr:row>1</xdr:row>
      <xdr:rowOff>0</xdr:rowOff>
    </xdr:from>
    <xdr:to>
      <xdr:col>0</xdr:col>
      <xdr:colOff>305314</xdr:colOff>
      <xdr:row>2</xdr:row>
      <xdr:rowOff>16002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BE86D8-9292-41AA-9C52-F37555AC9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379" y="197069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91965</xdr:colOff>
      <xdr:row>1</xdr:row>
      <xdr:rowOff>6569</xdr:rowOff>
    </xdr:from>
    <xdr:to>
      <xdr:col>0</xdr:col>
      <xdr:colOff>265900</xdr:colOff>
      <xdr:row>2</xdr:row>
      <xdr:rowOff>22571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748B8D-C0B6-42F5-AB95-CA7D48A68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65" y="203638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124239</xdr:colOff>
      <xdr:row>1</xdr:row>
      <xdr:rowOff>0</xdr:rowOff>
    </xdr:from>
    <xdr:to>
      <xdr:col>0</xdr:col>
      <xdr:colOff>298174</xdr:colOff>
      <xdr:row>2</xdr:row>
      <xdr:rowOff>14289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63C1DC-C634-4C44-BF40-F32A09F2E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39" y="198783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124239</xdr:colOff>
      <xdr:row>1</xdr:row>
      <xdr:rowOff>0</xdr:rowOff>
    </xdr:from>
    <xdr:to>
      <xdr:col>0</xdr:col>
      <xdr:colOff>298174</xdr:colOff>
      <xdr:row>2</xdr:row>
      <xdr:rowOff>14289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C86F58-C955-4BDF-87C6-987D23BCE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39" y="200025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D75564-1A06-44F7-9208-4F6B75D19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911582-EAB2-4A9A-A0CA-080806640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124239</xdr:colOff>
      <xdr:row>1</xdr:row>
      <xdr:rowOff>0</xdr:rowOff>
    </xdr:from>
    <xdr:to>
      <xdr:col>0</xdr:col>
      <xdr:colOff>298174</xdr:colOff>
      <xdr:row>2</xdr:row>
      <xdr:rowOff>14289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84E4E3-BEB0-4F4E-828C-9D261C998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39" y="200025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124239</xdr:colOff>
      <xdr:row>1</xdr:row>
      <xdr:rowOff>0</xdr:rowOff>
    </xdr:from>
    <xdr:to>
      <xdr:col>0</xdr:col>
      <xdr:colOff>298174</xdr:colOff>
      <xdr:row>2</xdr:row>
      <xdr:rowOff>14289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966F52-0028-4B42-B95A-AA489D005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39" y="200025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111672</xdr:colOff>
      <xdr:row>1</xdr:row>
      <xdr:rowOff>0</xdr:rowOff>
    </xdr:from>
    <xdr:to>
      <xdr:col>0</xdr:col>
      <xdr:colOff>285607</xdr:colOff>
      <xdr:row>2</xdr:row>
      <xdr:rowOff>16002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8D3AAB-5703-4759-ACF3-D9A42AFFF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72" y="197069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111672</xdr:colOff>
      <xdr:row>1</xdr:row>
      <xdr:rowOff>0</xdr:rowOff>
    </xdr:from>
    <xdr:to>
      <xdr:col>0</xdr:col>
      <xdr:colOff>285607</xdr:colOff>
      <xdr:row>2</xdr:row>
      <xdr:rowOff>16002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1CCD0E-F5D3-4BF8-B0D6-0818994DD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72" y="200025"/>
          <a:ext cx="173935" cy="216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118241</xdr:colOff>
      <xdr:row>0</xdr:row>
      <xdr:rowOff>183931</xdr:rowOff>
    </xdr:from>
    <xdr:to>
      <xdr:col>0</xdr:col>
      <xdr:colOff>292176</xdr:colOff>
      <xdr:row>2</xdr:row>
      <xdr:rowOff>2864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93FE08-5953-4AFB-BC37-0140481AF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41" y="183931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118241</xdr:colOff>
      <xdr:row>1</xdr:row>
      <xdr:rowOff>0</xdr:rowOff>
    </xdr:from>
    <xdr:to>
      <xdr:col>0</xdr:col>
      <xdr:colOff>292176</xdr:colOff>
      <xdr:row>2</xdr:row>
      <xdr:rowOff>16002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344618-D1BF-4550-85EF-C431FB0F3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41" y="197069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132521</xdr:colOff>
      <xdr:row>1</xdr:row>
      <xdr:rowOff>16565</xdr:rowOff>
    </xdr:from>
    <xdr:to>
      <xdr:col>0</xdr:col>
      <xdr:colOff>306456</xdr:colOff>
      <xdr:row>2</xdr:row>
      <xdr:rowOff>30854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F721B5-2353-4292-80B1-5B390AA7E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21" y="215348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132521</xdr:colOff>
      <xdr:row>1</xdr:row>
      <xdr:rowOff>16565</xdr:rowOff>
    </xdr:from>
    <xdr:to>
      <xdr:col>0</xdr:col>
      <xdr:colOff>306456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5401EF-D795-4F31-90B1-2E1452A8D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21" y="188015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111672</xdr:colOff>
      <xdr:row>1</xdr:row>
      <xdr:rowOff>0</xdr:rowOff>
    </xdr:from>
    <xdr:to>
      <xdr:col>0</xdr:col>
      <xdr:colOff>285607</xdr:colOff>
      <xdr:row>2</xdr:row>
      <xdr:rowOff>16002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85E7D9-CF81-46C3-A651-181C45603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72" y="200025"/>
          <a:ext cx="173935" cy="216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132521</xdr:colOff>
      <xdr:row>1</xdr:row>
      <xdr:rowOff>16565</xdr:rowOff>
    </xdr:from>
    <xdr:to>
      <xdr:col>0</xdr:col>
      <xdr:colOff>306456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0A07E8-D63D-446F-B0BC-396338BD1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21" y="188015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111672</xdr:colOff>
      <xdr:row>1</xdr:row>
      <xdr:rowOff>0</xdr:rowOff>
    </xdr:from>
    <xdr:to>
      <xdr:col>0</xdr:col>
      <xdr:colOff>285607</xdr:colOff>
      <xdr:row>2</xdr:row>
      <xdr:rowOff>16002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5F7B72-0BAD-466A-9C9D-404784641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72" y="200025"/>
          <a:ext cx="173935" cy="216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3E7673-D6F3-459A-8F26-3F2212167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132521</xdr:colOff>
      <xdr:row>1</xdr:row>
      <xdr:rowOff>16565</xdr:rowOff>
    </xdr:from>
    <xdr:to>
      <xdr:col>0</xdr:col>
      <xdr:colOff>306456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FD5805-BD32-451F-AD00-91A610EF3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21" y="188015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132521</xdr:colOff>
      <xdr:row>1</xdr:row>
      <xdr:rowOff>16565</xdr:rowOff>
    </xdr:from>
    <xdr:to>
      <xdr:col>0</xdr:col>
      <xdr:colOff>306456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8866B-7E45-4810-BD4B-795EBE216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21" y="188015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46913C-250B-4EE3-8DFA-308F83E8E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157370</xdr:colOff>
      <xdr:row>0</xdr:row>
      <xdr:rowOff>190500</xdr:rowOff>
    </xdr:from>
    <xdr:to>
      <xdr:col>0</xdr:col>
      <xdr:colOff>331305</xdr:colOff>
      <xdr:row>2</xdr:row>
      <xdr:rowOff>6006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FAD354-3D02-406A-A5CF-AD83BE2CC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370" y="190500"/>
          <a:ext cx="173935" cy="215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102577</xdr:colOff>
      <xdr:row>1</xdr:row>
      <xdr:rowOff>7327</xdr:rowOff>
    </xdr:from>
    <xdr:to>
      <xdr:col>0</xdr:col>
      <xdr:colOff>276512</xdr:colOff>
      <xdr:row>2</xdr:row>
      <xdr:rowOff>22571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4D44E0-1626-4B94-8AB2-5FA67A0D3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77" y="207352"/>
          <a:ext cx="173935" cy="21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F49007-065E-4426-B81A-4F14A5899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98534</xdr:colOff>
      <xdr:row>1</xdr:row>
      <xdr:rowOff>13138</xdr:rowOff>
    </xdr:from>
    <xdr:to>
      <xdr:col>0</xdr:col>
      <xdr:colOff>272469</xdr:colOff>
      <xdr:row>2</xdr:row>
      <xdr:rowOff>29140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38BC68-9512-42BE-BB76-3746A75D0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34" y="210207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140805</xdr:colOff>
      <xdr:row>1</xdr:row>
      <xdr:rowOff>16565</xdr:rowOff>
    </xdr:from>
    <xdr:to>
      <xdr:col>0</xdr:col>
      <xdr:colOff>314740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B1F2-0B19-4CC1-B9F2-BA3178654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05" y="216590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140805</xdr:colOff>
      <xdr:row>1</xdr:row>
      <xdr:rowOff>16565</xdr:rowOff>
    </xdr:from>
    <xdr:to>
      <xdr:col>0</xdr:col>
      <xdr:colOff>314740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9A799B-B6F2-403E-95DD-42AF3EB86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05" y="216590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140805</xdr:colOff>
      <xdr:row>1</xdr:row>
      <xdr:rowOff>16565</xdr:rowOff>
    </xdr:from>
    <xdr:to>
      <xdr:col>0</xdr:col>
      <xdr:colOff>314740</xdr:colOff>
      <xdr:row>2</xdr:row>
      <xdr:rowOff>30854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0C22AB-5DBE-4671-92C6-245A50867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05" y="215348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140805</xdr:colOff>
      <xdr:row>1</xdr:row>
      <xdr:rowOff>16565</xdr:rowOff>
    </xdr:from>
    <xdr:to>
      <xdr:col>0</xdr:col>
      <xdr:colOff>314740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23F12C-D0D3-446A-990D-70611C051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05" y="216590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140805</xdr:colOff>
      <xdr:row>1</xdr:row>
      <xdr:rowOff>16565</xdr:rowOff>
    </xdr:from>
    <xdr:to>
      <xdr:col>0</xdr:col>
      <xdr:colOff>314740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44EA04-0C90-461B-A877-D71836C49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05" y="216590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140805</xdr:colOff>
      <xdr:row>1</xdr:row>
      <xdr:rowOff>16565</xdr:rowOff>
    </xdr:from>
    <xdr:to>
      <xdr:col>0</xdr:col>
      <xdr:colOff>314740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03175B-F9B6-46C0-A7E1-094B5294C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05" y="216590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9E7B1A-1049-422D-B2CB-0AA52B462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91BA9F-0F48-4CE8-9C67-E43D374F4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132522</xdr:colOff>
      <xdr:row>0</xdr:row>
      <xdr:rowOff>190500</xdr:rowOff>
    </xdr:from>
    <xdr:to>
      <xdr:col>0</xdr:col>
      <xdr:colOff>306457</xdr:colOff>
      <xdr:row>2</xdr:row>
      <xdr:rowOff>6006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D8DAA5-030D-4063-95FB-D88B695DF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22" y="190500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115956</xdr:colOff>
      <xdr:row>1</xdr:row>
      <xdr:rowOff>0</xdr:rowOff>
    </xdr:from>
    <xdr:to>
      <xdr:col>0</xdr:col>
      <xdr:colOff>289891</xdr:colOff>
      <xdr:row>2</xdr:row>
      <xdr:rowOff>14289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EDDB99-7F6C-45A0-A608-B32F7DF16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56" y="198783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115956</xdr:colOff>
      <xdr:row>1</xdr:row>
      <xdr:rowOff>0</xdr:rowOff>
    </xdr:from>
    <xdr:to>
      <xdr:col>0</xdr:col>
      <xdr:colOff>289891</xdr:colOff>
      <xdr:row>2</xdr:row>
      <xdr:rowOff>14289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0A88DC-EB35-4B99-B5C9-0061399A8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56" y="200025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124239</xdr:colOff>
      <xdr:row>1</xdr:row>
      <xdr:rowOff>0</xdr:rowOff>
    </xdr:from>
    <xdr:to>
      <xdr:col>0</xdr:col>
      <xdr:colOff>298174</xdr:colOff>
      <xdr:row>2</xdr:row>
      <xdr:rowOff>14289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0DD5B3-611B-44A8-9571-659CEF8F9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39" y="198783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124239</xdr:colOff>
      <xdr:row>1</xdr:row>
      <xdr:rowOff>0</xdr:rowOff>
    </xdr:from>
    <xdr:to>
      <xdr:col>0</xdr:col>
      <xdr:colOff>298174</xdr:colOff>
      <xdr:row>2</xdr:row>
      <xdr:rowOff>14289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1BC00C-D304-4540-82D5-83D54DF51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39" y="198783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H32"/>
  <sheetViews>
    <sheetView zoomScale="70" zoomScaleNormal="70" workbookViewId="0">
      <pane xSplit="2" ySplit="4" topLeftCell="C5" activePane="bottomRight" state="frozen"/>
      <selection activeCell="E20" sqref="E20"/>
      <selection pane="topRight" activeCell="E20" sqref="E20"/>
      <selection pane="bottomLeft" activeCell="E20" sqref="E20"/>
      <selection pane="bottomRight" activeCell="E20" sqref="E20"/>
    </sheetView>
  </sheetViews>
  <sheetFormatPr defaultRowHeight="14.4" x14ac:dyDescent="0.3"/>
  <cols>
    <col min="1" max="1" width="9.33203125" customWidth="1"/>
    <col min="2" max="2" width="17.5546875" customWidth="1"/>
    <col min="3" max="3" width="9.44140625" customWidth="1"/>
    <col min="4" max="4" width="10" customWidth="1"/>
    <col min="5" max="5" width="11" customWidth="1"/>
    <col min="6" max="6" width="8.6640625" customWidth="1"/>
    <col min="7" max="7" width="9" customWidth="1"/>
    <col min="8" max="9" width="9.33203125" customWidth="1"/>
    <col min="10" max="10" width="11.109375" customWidth="1"/>
    <col min="11" max="11" width="9.33203125" customWidth="1"/>
    <col min="12" max="12" width="9.44140625" customWidth="1"/>
    <col min="13" max="13" width="10.44140625" customWidth="1"/>
    <col min="14" max="14" width="9.5546875" customWidth="1"/>
    <col min="15" max="15" width="10.44140625" customWidth="1"/>
    <col min="16" max="16" width="9" customWidth="1"/>
    <col min="17" max="17" width="10.33203125" customWidth="1"/>
    <col min="18" max="19" width="9.33203125" customWidth="1"/>
    <col min="20" max="20" width="9.5546875" customWidth="1"/>
    <col min="21" max="21" width="9.33203125" customWidth="1"/>
    <col min="22" max="22" width="9.109375" customWidth="1"/>
    <col min="23" max="23" width="10.109375" customWidth="1"/>
    <col min="24" max="26" width="8.88671875" customWidth="1"/>
    <col min="27" max="27" width="9" customWidth="1"/>
    <col min="28" max="28" width="27.88671875" customWidth="1"/>
    <col min="29" max="29" width="17.6640625" customWidth="1"/>
    <col min="30" max="30" width="13.6640625" customWidth="1"/>
    <col min="31" max="31" width="19.109375" customWidth="1"/>
  </cols>
  <sheetData>
    <row r="2" spans="2:34" x14ac:dyDescent="0.3">
      <c r="C2" s="446" t="s">
        <v>217</v>
      </c>
      <c r="D2" s="446"/>
      <c r="E2" s="446"/>
      <c r="F2" s="446"/>
      <c r="G2" s="446"/>
      <c r="H2" s="446"/>
      <c r="I2" s="446"/>
      <c r="J2" s="446"/>
      <c r="K2" s="446"/>
      <c r="L2" s="446"/>
      <c r="M2" s="446"/>
      <c r="N2" s="446"/>
      <c r="O2" s="446"/>
      <c r="P2" s="446"/>
      <c r="Q2" s="446"/>
      <c r="R2" s="446"/>
      <c r="S2" s="446"/>
      <c r="T2" s="446"/>
      <c r="U2" s="446"/>
      <c r="V2" s="446"/>
      <c r="W2" s="446"/>
      <c r="X2" s="446"/>
      <c r="Y2" s="446"/>
      <c r="Z2" s="446"/>
      <c r="AA2" s="446"/>
      <c r="AB2" s="446"/>
      <c r="AC2" s="446"/>
      <c r="AD2" s="446"/>
      <c r="AE2" s="446"/>
    </row>
    <row r="3" spans="2:34" ht="17.399999999999999" x14ac:dyDescent="0.3">
      <c r="B3" s="21"/>
      <c r="C3" s="451" t="s">
        <v>154</v>
      </c>
      <c r="D3" s="452"/>
      <c r="E3" s="452"/>
      <c r="F3" s="452"/>
      <c r="G3" s="452"/>
      <c r="H3" s="452"/>
      <c r="I3" s="452"/>
      <c r="J3" s="452"/>
      <c r="K3" s="452"/>
      <c r="L3" s="452"/>
      <c r="M3" s="452"/>
      <c r="N3" s="452"/>
      <c r="O3" s="452"/>
      <c r="P3" s="452"/>
      <c r="Q3" s="453"/>
      <c r="R3" s="447" t="s">
        <v>155</v>
      </c>
      <c r="S3" s="447"/>
      <c r="T3" s="447"/>
      <c r="U3" s="447"/>
      <c r="V3" s="447"/>
      <c r="W3" s="447"/>
      <c r="X3" s="447"/>
      <c r="Y3" s="447"/>
      <c r="Z3" s="447"/>
      <c r="AA3" s="447"/>
      <c r="AB3" s="22" t="s">
        <v>218</v>
      </c>
      <c r="AC3" s="447" t="s">
        <v>156</v>
      </c>
      <c r="AD3" s="447"/>
      <c r="AE3" s="447"/>
    </row>
    <row r="4" spans="2:34" ht="52.2" x14ac:dyDescent="0.3">
      <c r="B4" s="36" t="s">
        <v>157</v>
      </c>
      <c r="C4" s="454" t="s">
        <v>158</v>
      </c>
      <c r="D4" s="455"/>
      <c r="E4" s="455"/>
      <c r="F4" s="455"/>
      <c r="G4" s="456"/>
      <c r="H4" s="454" t="s">
        <v>159</v>
      </c>
      <c r="I4" s="455"/>
      <c r="J4" s="455"/>
      <c r="K4" s="455"/>
      <c r="L4" s="456"/>
      <c r="M4" s="454" t="s">
        <v>160</v>
      </c>
      <c r="N4" s="455"/>
      <c r="O4" s="455"/>
      <c r="P4" s="455"/>
      <c r="Q4" s="456"/>
      <c r="R4" s="454" t="s">
        <v>161</v>
      </c>
      <c r="S4" s="455"/>
      <c r="T4" s="455"/>
      <c r="U4" s="455"/>
      <c r="V4" s="456"/>
      <c r="W4" s="454" t="s">
        <v>162</v>
      </c>
      <c r="X4" s="455"/>
      <c r="Y4" s="455"/>
      <c r="Z4" s="455"/>
      <c r="AA4" s="456"/>
      <c r="AB4" s="35" t="s">
        <v>163</v>
      </c>
      <c r="AC4" s="35" t="s">
        <v>164</v>
      </c>
      <c r="AD4" s="35" t="s">
        <v>165</v>
      </c>
      <c r="AE4" s="35" t="s">
        <v>166</v>
      </c>
    </row>
    <row r="5" spans="2:34" ht="18.75" customHeight="1" x14ac:dyDescent="0.3">
      <c r="B5" s="476" t="s">
        <v>65</v>
      </c>
      <c r="C5" s="480" t="s">
        <v>167</v>
      </c>
      <c r="D5" s="481"/>
      <c r="E5" s="481"/>
      <c r="F5" s="481"/>
      <c r="G5" s="481"/>
      <c r="H5" s="481"/>
      <c r="I5" s="481"/>
      <c r="J5" s="481"/>
      <c r="K5" s="481"/>
      <c r="L5" s="481"/>
      <c r="M5" s="481"/>
      <c r="N5" s="481"/>
      <c r="O5" s="481"/>
      <c r="P5" s="481"/>
      <c r="Q5" s="482"/>
      <c r="R5" s="410" t="s">
        <v>234</v>
      </c>
      <c r="S5" s="411"/>
      <c r="T5" s="411"/>
      <c r="U5" s="411"/>
      <c r="V5" s="411"/>
      <c r="W5" s="411"/>
      <c r="X5" s="411"/>
      <c r="Y5" s="411"/>
      <c r="Z5" s="411"/>
      <c r="AA5" s="412"/>
      <c r="AB5" s="402" t="s">
        <v>168</v>
      </c>
      <c r="AC5" s="402" t="s">
        <v>168</v>
      </c>
      <c r="AD5" s="402" t="s">
        <v>168</v>
      </c>
      <c r="AE5" s="404"/>
      <c r="AG5" s="445" t="s">
        <v>189</v>
      </c>
      <c r="AH5" s="445"/>
    </row>
    <row r="6" spans="2:34" ht="18.75" customHeight="1" x14ac:dyDescent="0.3">
      <c r="B6" s="477"/>
      <c r="C6" s="413" t="str">
        <f>CONCATENATE("РП ",Соло!C3,"%")</f>
        <v>РП 27%</v>
      </c>
      <c r="D6" s="414"/>
      <c r="E6" s="414"/>
      <c r="F6" s="414"/>
      <c r="G6" s="414"/>
      <c r="H6" s="414"/>
      <c r="I6" s="414"/>
      <c r="J6" s="414"/>
      <c r="K6" s="414"/>
      <c r="L6" s="414"/>
      <c r="M6" s="414"/>
      <c r="N6" s="414"/>
      <c r="O6" s="414"/>
      <c r="P6" s="414"/>
      <c r="Q6" s="415"/>
      <c r="R6" s="413" t="str">
        <f>CONCATENATE("РП ",'Соло-М'!C3,"%")</f>
        <v>РП 19%</v>
      </c>
      <c r="S6" s="414"/>
      <c r="T6" s="414"/>
      <c r="U6" s="414"/>
      <c r="V6" s="414"/>
      <c r="W6" s="414"/>
      <c r="X6" s="414"/>
      <c r="Y6" s="414"/>
      <c r="Z6" s="414"/>
      <c r="AA6" s="415"/>
      <c r="AB6" s="403"/>
      <c r="AC6" s="403"/>
      <c r="AD6" s="403"/>
      <c r="AE6" s="405"/>
      <c r="AG6" s="26"/>
      <c r="AH6" s="27">
        <v>1</v>
      </c>
    </row>
    <row r="7" spans="2:34" ht="36.75" customHeight="1" x14ac:dyDescent="0.3">
      <c r="B7" s="478" t="s">
        <v>58</v>
      </c>
      <c r="C7" s="410" t="s">
        <v>169</v>
      </c>
      <c r="D7" s="411"/>
      <c r="E7" s="411"/>
      <c r="F7" s="411"/>
      <c r="G7" s="411"/>
      <c r="H7" s="411"/>
      <c r="I7" s="411"/>
      <c r="J7" s="411"/>
      <c r="K7" s="411"/>
      <c r="L7" s="411"/>
      <c r="M7" s="411"/>
      <c r="N7" s="411"/>
      <c r="O7" s="411"/>
      <c r="P7" s="411"/>
      <c r="Q7" s="411"/>
      <c r="R7" s="457" t="s">
        <v>235</v>
      </c>
      <c r="S7" s="457"/>
      <c r="T7" s="457"/>
      <c r="U7" s="457"/>
      <c r="V7" s="457"/>
      <c r="W7" s="457"/>
      <c r="X7" s="457"/>
      <c r="Y7" s="457"/>
      <c r="Z7" s="457"/>
      <c r="AA7" s="457"/>
      <c r="AB7" s="402" t="s">
        <v>168</v>
      </c>
      <c r="AC7" s="402" t="s">
        <v>168</v>
      </c>
      <c r="AD7" s="402" t="s">
        <v>168</v>
      </c>
      <c r="AE7" s="404"/>
      <c r="AG7" s="28"/>
      <c r="AH7" s="27">
        <v>2</v>
      </c>
    </row>
    <row r="8" spans="2:34" ht="22.8" x14ac:dyDescent="0.3">
      <c r="B8" s="479"/>
      <c r="C8" s="413" t="str">
        <f>CONCATENATE("ГД ",МикроГД!C3,"%")</f>
        <v>ГД 43%</v>
      </c>
      <c r="D8" s="415"/>
      <c r="E8" s="413" t="str">
        <f>CONCATENATE("РП ",МикроРП!C3,"%")</f>
        <v>РП 30%</v>
      </c>
      <c r="F8" s="414"/>
      <c r="G8" s="415"/>
      <c r="H8" s="413" t="str">
        <f>CONCATENATE("ГД ",МикроГД!C3,"%")</f>
        <v>ГД 43%</v>
      </c>
      <c r="I8" s="415"/>
      <c r="J8" s="413" t="str">
        <f>CONCATENATE("РП ",МикроРП!C3,"%")</f>
        <v>РП 30%</v>
      </c>
      <c r="K8" s="414"/>
      <c r="L8" s="415"/>
      <c r="M8" s="413" t="str">
        <f>CONCATENATE("ГД ",МикроГД!C3,"%")</f>
        <v>ГД 43%</v>
      </c>
      <c r="N8" s="415"/>
      <c r="O8" s="413" t="str">
        <f>CONCATENATE("РП ",МикроРП!C3,"%")</f>
        <v>РП 30%</v>
      </c>
      <c r="P8" s="414"/>
      <c r="Q8" s="415"/>
      <c r="R8" s="413" t="str">
        <f>CONCATENATE("ГД ",'МикроГД-М'!C3,"%")</f>
        <v>ГД 38%</v>
      </c>
      <c r="S8" s="415"/>
      <c r="T8" s="416" t="str">
        <f>CONCATENATE("РП ",'МикроРП-М'!C3,"%")</f>
        <v>РП 37%</v>
      </c>
      <c r="U8" s="417"/>
      <c r="V8" s="418"/>
      <c r="W8" s="413" t="str">
        <f>CONCATENATE("ГД ",'МикроГД-М'!C3,"%")</f>
        <v>ГД 38%</v>
      </c>
      <c r="X8" s="415"/>
      <c r="Y8" s="416" t="str">
        <f>CONCATENATE("РП ",'МикроРП-М'!C3,"%")</f>
        <v>РП 37%</v>
      </c>
      <c r="Z8" s="417"/>
      <c r="AA8" s="418"/>
      <c r="AB8" s="403"/>
      <c r="AC8" s="403"/>
      <c r="AD8" s="403"/>
      <c r="AE8" s="405"/>
      <c r="AG8" s="29"/>
      <c r="AH8" s="27">
        <v>3</v>
      </c>
    </row>
    <row r="9" spans="2:34" ht="30" customHeight="1" x14ac:dyDescent="0.3">
      <c r="B9" s="478" t="s">
        <v>59</v>
      </c>
      <c r="C9" s="410" t="s">
        <v>170</v>
      </c>
      <c r="D9" s="411"/>
      <c r="E9" s="411"/>
      <c r="F9" s="411"/>
      <c r="G9" s="411"/>
      <c r="H9" s="411"/>
      <c r="I9" s="411"/>
      <c r="J9" s="411"/>
      <c r="K9" s="411"/>
      <c r="L9" s="411"/>
      <c r="M9" s="411"/>
      <c r="N9" s="411"/>
      <c r="O9" s="411"/>
      <c r="P9" s="411"/>
      <c r="Q9" s="411"/>
      <c r="R9" s="411" t="s">
        <v>236</v>
      </c>
      <c r="S9" s="411"/>
      <c r="T9" s="411"/>
      <c r="U9" s="411"/>
      <c r="V9" s="411"/>
      <c r="W9" s="411"/>
      <c r="X9" s="411"/>
      <c r="Y9" s="411"/>
      <c r="Z9" s="411"/>
      <c r="AA9" s="412"/>
      <c r="AB9" s="402" t="s">
        <v>168</v>
      </c>
      <c r="AC9" s="402" t="s">
        <v>168</v>
      </c>
      <c r="AD9" s="402" t="s">
        <v>168</v>
      </c>
      <c r="AE9" s="404"/>
      <c r="AG9" s="30"/>
      <c r="AH9" s="27">
        <v>4</v>
      </c>
    </row>
    <row r="10" spans="2:34" ht="22.8" x14ac:dyDescent="0.3">
      <c r="B10" s="479"/>
      <c r="C10" s="413" t="str">
        <f>CONCATENATE("РСП ",МикроРСП!C3,"%")</f>
        <v>РСП 32%</v>
      </c>
      <c r="D10" s="415"/>
      <c r="E10" s="413" t="str">
        <f>CONCATENATE("РП ",МикроРП!C3,"%")</f>
        <v>РП 30%</v>
      </c>
      <c r="F10" s="414"/>
      <c r="G10" s="415"/>
      <c r="H10" s="413" t="str">
        <f>CONCATENATE("РСП ",МикроРСП!C3,"%")</f>
        <v>РСП 32%</v>
      </c>
      <c r="I10" s="415"/>
      <c r="J10" s="413" t="str">
        <f>CONCATENATE("РП ",МикроРП!C3,"%")</f>
        <v>РП 30%</v>
      </c>
      <c r="K10" s="414"/>
      <c r="L10" s="415"/>
      <c r="M10" s="413" t="str">
        <f>CONCATENATE("РСП ",МикроРСП!C3,"%")</f>
        <v>РСП 32%</v>
      </c>
      <c r="N10" s="415"/>
      <c r="O10" s="413" t="str">
        <f>CONCATENATE("РП ",МикроРП!C3,"%")</f>
        <v>РП 30%</v>
      </c>
      <c r="P10" s="414"/>
      <c r="Q10" s="415"/>
      <c r="R10" s="413" t="str">
        <f>CONCATENATE("РСП ",'МикроРСП-М'!C3,"%")</f>
        <v>РСП 35%</v>
      </c>
      <c r="S10" s="415"/>
      <c r="T10" s="416" t="str">
        <f>CONCATENATE("РП ",'МикроРП-М'!C3,"%")</f>
        <v>РП 37%</v>
      </c>
      <c r="U10" s="417"/>
      <c r="V10" s="418"/>
      <c r="W10" s="413" t="str">
        <f>CONCATENATE("РСП ",'МикроРСП-М'!C3,"%")</f>
        <v>РСП 35%</v>
      </c>
      <c r="X10" s="415"/>
      <c r="Y10" s="416" t="str">
        <f>CONCATENATE("РП ",'МикроРП-М'!C3,"%")</f>
        <v>РП 37%</v>
      </c>
      <c r="Z10" s="417"/>
      <c r="AA10" s="418"/>
      <c r="AB10" s="403"/>
      <c r="AC10" s="403"/>
      <c r="AD10" s="403"/>
      <c r="AE10" s="405"/>
      <c r="AG10" s="31"/>
      <c r="AH10" s="27">
        <v>5</v>
      </c>
    </row>
    <row r="11" spans="2:34" ht="31.5" customHeight="1" x14ac:dyDescent="0.3">
      <c r="B11" s="483" t="s">
        <v>79</v>
      </c>
      <c r="C11" s="485" t="s">
        <v>171</v>
      </c>
      <c r="D11" s="486"/>
      <c r="E11" s="486"/>
      <c r="F11" s="486"/>
      <c r="G11" s="486"/>
      <c r="H11" s="486"/>
      <c r="I11" s="486"/>
      <c r="J11" s="486"/>
      <c r="K11" s="486"/>
      <c r="L11" s="486"/>
      <c r="M11" s="486"/>
      <c r="N11" s="486"/>
      <c r="O11" s="486"/>
      <c r="P11" s="486"/>
      <c r="Q11" s="487"/>
      <c r="R11" s="448" t="s">
        <v>237</v>
      </c>
      <c r="S11" s="449"/>
      <c r="T11" s="449"/>
      <c r="U11" s="449"/>
      <c r="V11" s="449"/>
      <c r="W11" s="449"/>
      <c r="X11" s="449"/>
      <c r="Y11" s="449"/>
      <c r="Z11" s="449"/>
      <c r="AA11" s="450"/>
      <c r="AB11" s="402" t="s">
        <v>168</v>
      </c>
      <c r="AC11" s="402" t="s">
        <v>168</v>
      </c>
      <c r="AD11" s="402" t="s">
        <v>168</v>
      </c>
      <c r="AE11" s="404"/>
      <c r="AH11" s="34"/>
    </row>
    <row r="12" spans="2:34" ht="19.5" customHeight="1" x14ac:dyDescent="0.3">
      <c r="B12" s="484"/>
      <c r="C12" s="81" t="str">
        <f>CONCATENATE("ГД ",'Мал1-2ГД'!C3,"%")</f>
        <v>ГД 46%</v>
      </c>
      <c r="D12" s="81" t="str">
        <f>CONCATENATE("ФД ",'Мал1-2ФД'!C3,"%")</f>
        <v>ФД 58%</v>
      </c>
      <c r="E12" s="406" t="str">
        <f>CONCATENATE("РП ",'Мал1-2РП'!C3,"%")</f>
        <v>РП 30%</v>
      </c>
      <c r="F12" s="407"/>
      <c r="G12" s="81" t="str">
        <f>CONCATENATE("РН ",Мал1РН!C3,"%")</f>
        <v>РН 37%</v>
      </c>
      <c r="H12" s="81" t="str">
        <f>CONCATENATE("ГД ",'Мал1-2ГД'!C3,"%")</f>
        <v>ГД 46%</v>
      </c>
      <c r="I12" s="406" t="str">
        <f>CONCATENATE("ФД ",'Мал1-2ФД'!C3,"%")</f>
        <v>ФД 58%</v>
      </c>
      <c r="J12" s="407"/>
      <c r="K12" s="81" t="str">
        <f>CONCATENATE("РП ",'Мал1-2РП'!C3,"%")</f>
        <v>РП 30%</v>
      </c>
      <c r="L12" s="81" t="str">
        <f>CONCATENATE("РН ",Мал1РН!C3,"%")</f>
        <v>РН 37%</v>
      </c>
      <c r="M12" s="81" t="str">
        <f>CONCATENATE("ГД ",'Мал1-2ГД'!C3,"%")</f>
        <v>ГД 46%</v>
      </c>
      <c r="N12" s="81" t="str">
        <f>CONCATENATE("ФД ",'Мал1-2ФД'!C3,"%")</f>
        <v>ФД 58%</v>
      </c>
      <c r="O12" s="406" t="str">
        <f>CONCATENATE("РП ",'Мал1-2РП'!C3,"%")</f>
        <v>РП 30%</v>
      </c>
      <c r="P12" s="407"/>
      <c r="Q12" s="81" t="str">
        <f>CONCATENATE("РН ",Мал1РН!C3,"%")</f>
        <v>РН 37%</v>
      </c>
      <c r="R12" s="90" t="str">
        <f>CONCATENATE("ГД ",'Мал1-2ГД'!C3,"%")</f>
        <v>ГД 46%</v>
      </c>
      <c r="S12" s="90" t="str">
        <f>CONCATENATE("ФД ",'Мал1-2ФД'!C3,"%")</f>
        <v>ФД 58%</v>
      </c>
      <c r="T12" s="406" t="str">
        <f>CONCATENATE("РП ",'Мал1-2РП-М'!C3,"%")</f>
        <v>РП 37%</v>
      </c>
      <c r="U12" s="407"/>
      <c r="V12" s="90" t="str">
        <f>CONCATENATE("РН ",'Мал1РН-М'!C3,"%")</f>
        <v>РН 36%</v>
      </c>
      <c r="W12" s="90" t="str">
        <f>CONCATENATE("ГД ",'Мал1-2ГД'!C3,"%")</f>
        <v>ГД 46%</v>
      </c>
      <c r="X12" s="406" t="str">
        <f>CONCATENATE("ФД ",'Мал1-2ФД'!C3,"%")</f>
        <v>ФД 58%</v>
      </c>
      <c r="Y12" s="407"/>
      <c r="Z12" s="90" t="str">
        <f>CONCATENATE("РП ",'Мал1-2РП-М'!C3,"%")</f>
        <v>РП 37%</v>
      </c>
      <c r="AA12" s="90" t="str">
        <f>CONCATENATE("РН ",'Мал1РН-М'!C3,"%")</f>
        <v>РН 36%</v>
      </c>
      <c r="AB12" s="403"/>
      <c r="AC12" s="403"/>
      <c r="AD12" s="403"/>
      <c r="AE12" s="405"/>
      <c r="AH12" s="34"/>
    </row>
    <row r="13" spans="2:34" ht="30" customHeight="1" x14ac:dyDescent="0.3">
      <c r="B13" s="483" t="s">
        <v>172</v>
      </c>
      <c r="C13" s="442" t="s">
        <v>173</v>
      </c>
      <c r="D13" s="443"/>
      <c r="E13" s="443"/>
      <c r="F13" s="443"/>
      <c r="G13" s="443"/>
      <c r="H13" s="443"/>
      <c r="I13" s="443"/>
      <c r="J13" s="443"/>
      <c r="K13" s="443"/>
      <c r="L13" s="443"/>
      <c r="M13" s="443"/>
      <c r="N13" s="443"/>
      <c r="O13" s="443"/>
      <c r="P13" s="443"/>
      <c r="Q13" s="444"/>
      <c r="R13" s="430" t="s">
        <v>238</v>
      </c>
      <c r="S13" s="431"/>
      <c r="T13" s="431"/>
      <c r="U13" s="431"/>
      <c r="V13" s="431"/>
      <c r="W13" s="431"/>
      <c r="X13" s="431"/>
      <c r="Y13" s="431"/>
      <c r="Z13" s="431"/>
      <c r="AA13" s="432"/>
      <c r="AB13" s="402" t="s">
        <v>168</v>
      </c>
      <c r="AC13" s="402" t="s">
        <v>168</v>
      </c>
      <c r="AD13" s="402" t="s">
        <v>168</v>
      </c>
      <c r="AE13" s="404"/>
    </row>
    <row r="14" spans="2:34" ht="18.75" customHeight="1" x14ac:dyDescent="0.3">
      <c r="B14" s="484"/>
      <c r="C14" s="82" t="str">
        <f>CONCATENATE("ГД ",'Мал1-2ГД'!C3,"%")</f>
        <v>ГД 46%</v>
      </c>
      <c r="D14" s="82" t="str">
        <f>CONCATENATE("ФД ",'Мал1-2ФД'!C3,"%")</f>
        <v>ФД 58%</v>
      </c>
      <c r="E14" s="408" t="str">
        <f>CONCATENATE("РП ",'Мал1-2РП'!C3,"%")</f>
        <v>РП 30%</v>
      </c>
      <c r="F14" s="409"/>
      <c r="G14" s="82" t="str">
        <f>CONCATENATE("ППО ",Мал2ППО!C3,"%")</f>
        <v>ППО 30%</v>
      </c>
      <c r="H14" s="82" t="str">
        <f>CONCATENATE("ГД ",'Мал1-2ГД'!C3,"%")</f>
        <v>ГД 46%</v>
      </c>
      <c r="I14" s="408" t="str">
        <f>CONCATENATE("ФД ",'Мал1-2ФД'!C3,"%")</f>
        <v>ФД 58%</v>
      </c>
      <c r="J14" s="409"/>
      <c r="K14" s="82" t="str">
        <f>CONCATENATE("РП ",'Мал1-2РП'!C3,"%")</f>
        <v>РП 30%</v>
      </c>
      <c r="L14" s="82" t="str">
        <f>CONCATENATE("ППО ",Мал2ППО!C3,"%")</f>
        <v>ППО 30%</v>
      </c>
      <c r="M14" s="82" t="str">
        <f>CONCATENATE("ГД ",'Мал1-2ГД'!C3,"%")</f>
        <v>ГД 46%</v>
      </c>
      <c r="N14" s="82" t="str">
        <f>CONCATENATE("ФД ",'Мал1-2ФД'!C3,"%")</f>
        <v>ФД 58%</v>
      </c>
      <c r="O14" s="408" t="str">
        <f>CONCATENATE("РП ",'Мал1-2РП'!C3,"%")</f>
        <v>РП 30%</v>
      </c>
      <c r="P14" s="409"/>
      <c r="Q14" s="82" t="str">
        <f>CONCATENATE("ППО ",Мал2ППО!C3,"%")</f>
        <v>ППО 30%</v>
      </c>
      <c r="R14" s="91" t="str">
        <f>CONCATENATE("ГД ",'Мал1-2ГД'!C3,"%")</f>
        <v>ГД 46%</v>
      </c>
      <c r="S14" s="91" t="str">
        <f>CONCATENATE("ФД ",'Мал1-2ФД'!C3,"%")</f>
        <v>ФД 58%</v>
      </c>
      <c r="T14" s="408" t="str">
        <f>CONCATENATE("РП ",'Мал1-2РП-М'!C3,"%")</f>
        <v>РП 37%</v>
      </c>
      <c r="U14" s="409"/>
      <c r="V14" s="91" t="str">
        <f>CONCATENATE("ППО ",'Мал2ППО-М'!C3,"%")</f>
        <v>ППО 30%</v>
      </c>
      <c r="W14" s="91" t="str">
        <f>CONCATENATE("ГД ",'Мал1-2ГД'!C3,"%")</f>
        <v>ГД 46%</v>
      </c>
      <c r="X14" s="408" t="str">
        <f>CONCATENATE("ФД ",'Мал1-2ФД'!C3,"%")</f>
        <v>ФД 58%</v>
      </c>
      <c r="Y14" s="409"/>
      <c r="Z14" s="91" t="str">
        <f>CONCATENATE("РП ",'Мал1-2РП-М'!C3,"%")</f>
        <v>РП 37%</v>
      </c>
      <c r="AA14" s="91" t="str">
        <f>CONCATENATE("ППО ",'Мал2ППО-М'!C3,"%")</f>
        <v>ППО 30%</v>
      </c>
      <c r="AB14" s="403"/>
      <c r="AC14" s="403"/>
      <c r="AD14" s="403"/>
      <c r="AE14" s="405"/>
    </row>
    <row r="15" spans="2:34" ht="30" customHeight="1" x14ac:dyDescent="0.3">
      <c r="B15" s="483" t="s">
        <v>174</v>
      </c>
      <c r="C15" s="442" t="s">
        <v>175</v>
      </c>
      <c r="D15" s="443"/>
      <c r="E15" s="443"/>
      <c r="F15" s="443"/>
      <c r="G15" s="443"/>
      <c r="H15" s="443"/>
      <c r="I15" s="443"/>
      <c r="J15" s="443"/>
      <c r="K15" s="443"/>
      <c r="L15" s="443"/>
      <c r="M15" s="443"/>
      <c r="N15" s="443"/>
      <c r="O15" s="443"/>
      <c r="P15" s="443"/>
      <c r="Q15" s="444"/>
      <c r="R15" s="430" t="s">
        <v>239</v>
      </c>
      <c r="S15" s="431"/>
      <c r="T15" s="431"/>
      <c r="U15" s="431"/>
      <c r="V15" s="431"/>
      <c r="W15" s="431"/>
      <c r="X15" s="431"/>
      <c r="Y15" s="431"/>
      <c r="Z15" s="431"/>
      <c r="AA15" s="432"/>
      <c r="AB15" s="402" t="s">
        <v>168</v>
      </c>
      <c r="AC15" s="402" t="s">
        <v>168</v>
      </c>
      <c r="AD15" s="402" t="s">
        <v>168</v>
      </c>
      <c r="AE15" s="404"/>
    </row>
    <row r="16" spans="2:34" ht="18.75" customHeight="1" x14ac:dyDescent="0.3">
      <c r="B16" s="484"/>
      <c r="C16" s="82" t="str">
        <f>CONCATENATE("ГД ",'Мал1-2ГД'!C3,"%")</f>
        <v>ГД 46%</v>
      </c>
      <c r="D16" s="82" t="str">
        <f>CONCATENATE("ФД ",'Мал1-2ФД'!C3,"%")</f>
        <v>ФД 58%</v>
      </c>
      <c r="E16" s="408" t="str">
        <f>CONCATENATE("РП ",'Мал1-2РП'!C3,"%")</f>
        <v>РП 30%</v>
      </c>
      <c r="F16" s="409"/>
      <c r="G16" s="82" t="str">
        <f>CONCATENATE("ППО ",Мал2ППО!C3,"%")</f>
        <v>ППО 30%</v>
      </c>
      <c r="H16" s="82" t="str">
        <f>CONCATENATE("ГД ",'Мал1-2ГД'!C3,"%")</f>
        <v>ГД 46%</v>
      </c>
      <c r="I16" s="408" t="str">
        <f>CONCATENATE("ФД ",'Мал1-2ФД'!C3,"%")</f>
        <v>ФД 58%</v>
      </c>
      <c r="J16" s="409"/>
      <c r="K16" s="82" t="str">
        <f>CONCATENATE("РП ",'Мал1-2РП'!C3,"%")</f>
        <v>РП 30%</v>
      </c>
      <c r="L16" s="82" t="str">
        <f>CONCATENATE("ППО ",Мал2ППО!C3,"%")</f>
        <v>ППО 30%</v>
      </c>
      <c r="M16" s="82" t="str">
        <f>CONCATENATE("ГД ",'Мал1-2ГД'!C3,"%")</f>
        <v>ГД 46%</v>
      </c>
      <c r="N16" s="82" t="str">
        <f>CONCATENATE("ФД ",'Мал1-2ФД'!C3,"%")</f>
        <v>ФД 58%</v>
      </c>
      <c r="O16" s="408" t="str">
        <f>CONCATENATE("РП ",'Мал1-2РП'!C3,"%")</f>
        <v>РП 30%</v>
      </c>
      <c r="P16" s="409"/>
      <c r="Q16" s="82" t="str">
        <f>CONCATENATE("ППО ",Мал2ППО!C3,"%")</f>
        <v>ППО 30%</v>
      </c>
      <c r="R16" s="91" t="str">
        <f>CONCATENATE("ГД ",'Мал1-2ГД'!C3,"%")</f>
        <v>ГД 46%</v>
      </c>
      <c r="S16" s="91" t="str">
        <f>CONCATENATE("ФД ",'Мал1-2ФД'!C3,"%")</f>
        <v>ФД 58%</v>
      </c>
      <c r="T16" s="408" t="str">
        <f>CONCATENATE("РП ",'Мал1-2РП-М'!C3,"%")</f>
        <v>РП 37%</v>
      </c>
      <c r="U16" s="409"/>
      <c r="V16" s="91" t="str">
        <f>CONCATENATE("ППО ",'Мал2ППО-М'!C3,"%")</f>
        <v>ППО 30%</v>
      </c>
      <c r="W16" s="91" t="str">
        <f>CONCATENATE("ГД ",'Мал1-2ГД'!C3,"%")</f>
        <v>ГД 46%</v>
      </c>
      <c r="X16" s="408" t="str">
        <f>CONCATENATE("ФД ",'Мал1-2ФД'!C3,"%")</f>
        <v>ФД 58%</v>
      </c>
      <c r="Y16" s="409"/>
      <c r="Z16" s="91" t="str">
        <f>CONCATENATE("РП ",'Мал1-2РП-М'!C3,"%")</f>
        <v>РП 37%</v>
      </c>
      <c r="AA16" s="91" t="str">
        <f>CONCATENATE("ППО ",'Мал2ППО-М'!C3,"%")</f>
        <v>ППО 30%</v>
      </c>
      <c r="AB16" s="403"/>
      <c r="AC16" s="403"/>
      <c r="AD16" s="403"/>
      <c r="AE16" s="405"/>
    </row>
    <row r="17" spans="2:31" ht="30" customHeight="1" x14ac:dyDescent="0.3">
      <c r="B17" s="469" t="s">
        <v>90</v>
      </c>
      <c r="C17" s="422" t="s">
        <v>176</v>
      </c>
      <c r="D17" s="423"/>
      <c r="E17" s="423"/>
      <c r="F17" s="423"/>
      <c r="G17" s="424"/>
      <c r="H17" s="439" t="s">
        <v>168</v>
      </c>
      <c r="I17" s="439"/>
      <c r="J17" s="439"/>
      <c r="K17" s="439"/>
      <c r="L17" s="439"/>
      <c r="M17" s="439" t="s">
        <v>168</v>
      </c>
      <c r="N17" s="439"/>
      <c r="O17" s="439"/>
      <c r="P17" s="439"/>
      <c r="Q17" s="439"/>
      <c r="R17" s="433" t="s">
        <v>168</v>
      </c>
      <c r="S17" s="434"/>
      <c r="T17" s="434"/>
      <c r="U17" s="434"/>
      <c r="V17" s="435"/>
      <c r="W17" s="433" t="s">
        <v>168</v>
      </c>
      <c r="X17" s="434"/>
      <c r="Y17" s="434"/>
      <c r="Z17" s="434"/>
      <c r="AA17" s="435"/>
      <c r="AB17" s="501"/>
      <c r="AC17" s="502"/>
      <c r="AD17" s="502"/>
      <c r="AE17" s="458"/>
    </row>
    <row r="18" spans="2:31" x14ac:dyDescent="0.3">
      <c r="B18" s="470"/>
      <c r="C18" s="429" t="str">
        <f>CONCATENATE("ФД ",Ср1ФД!C3,"%")</f>
        <v>ФД 55%</v>
      </c>
      <c r="D18" s="429"/>
      <c r="E18" s="429" t="str">
        <f>CONCATENATE("ПДО ",Ср1ПДО!C3,"%")</f>
        <v>ПДО 38%</v>
      </c>
      <c r="F18" s="429"/>
      <c r="G18" s="429"/>
      <c r="H18" s="439"/>
      <c r="I18" s="439"/>
      <c r="J18" s="439"/>
      <c r="K18" s="439"/>
      <c r="L18" s="439"/>
      <c r="M18" s="439"/>
      <c r="N18" s="439"/>
      <c r="O18" s="439"/>
      <c r="P18" s="439"/>
      <c r="Q18" s="439"/>
      <c r="R18" s="436"/>
      <c r="S18" s="437"/>
      <c r="T18" s="437"/>
      <c r="U18" s="437"/>
      <c r="V18" s="438"/>
      <c r="W18" s="436"/>
      <c r="X18" s="437"/>
      <c r="Y18" s="437"/>
      <c r="Z18" s="437"/>
      <c r="AA18" s="438"/>
      <c r="AB18" s="501"/>
      <c r="AC18" s="502"/>
      <c r="AD18" s="502"/>
      <c r="AE18" s="458"/>
    </row>
    <row r="19" spans="2:31" ht="39.75" customHeight="1" x14ac:dyDescent="0.3">
      <c r="B19" s="469" t="s">
        <v>105</v>
      </c>
      <c r="C19" s="425" t="s">
        <v>179</v>
      </c>
      <c r="D19" s="426"/>
      <c r="E19" s="426"/>
      <c r="F19" s="426"/>
      <c r="G19" s="427"/>
      <c r="H19" s="439" t="s">
        <v>168</v>
      </c>
      <c r="I19" s="439"/>
      <c r="J19" s="439"/>
      <c r="K19" s="439"/>
      <c r="L19" s="439"/>
      <c r="M19" s="439" t="s">
        <v>168</v>
      </c>
      <c r="N19" s="439"/>
      <c r="O19" s="439"/>
      <c r="P19" s="439"/>
      <c r="Q19" s="439"/>
      <c r="R19" s="422" t="s">
        <v>240</v>
      </c>
      <c r="S19" s="423"/>
      <c r="T19" s="423"/>
      <c r="U19" s="423"/>
      <c r="V19" s="423"/>
      <c r="W19" s="423"/>
      <c r="X19" s="423"/>
      <c r="Y19" s="423"/>
      <c r="Z19" s="423"/>
      <c r="AA19" s="424"/>
      <c r="AB19" s="501"/>
      <c r="AC19" s="502"/>
      <c r="AD19" s="502"/>
      <c r="AE19" s="458"/>
    </row>
    <row r="20" spans="2:31" ht="15" customHeight="1" x14ac:dyDescent="0.3">
      <c r="B20" s="470"/>
      <c r="C20" s="84" t="str">
        <f>CONCATENATE("ГД ",'Ср2-5ГД'!C3,"%")</f>
        <v>ГД 50%</v>
      </c>
      <c r="D20" s="84" t="str">
        <f>CONCATENATE("ДП ",Ср2ДП!C3,"%")</f>
        <v>ДП 33%</v>
      </c>
      <c r="E20" s="408" t="str">
        <f>CONCATENATE("ППО ",Ср2ППО!C3,"%")</f>
        <v>ППО 38%</v>
      </c>
      <c r="F20" s="409"/>
      <c r="G20" s="84" t="str">
        <f>CONCATENATE("ФД ",'Ср2-5ФД'!C3,"%")</f>
        <v>ФД 55%</v>
      </c>
      <c r="H20" s="439"/>
      <c r="I20" s="439"/>
      <c r="J20" s="439"/>
      <c r="K20" s="439"/>
      <c r="L20" s="439"/>
      <c r="M20" s="439"/>
      <c r="N20" s="439"/>
      <c r="O20" s="439"/>
      <c r="P20" s="439"/>
      <c r="Q20" s="439"/>
      <c r="R20" s="93" t="str">
        <f>CONCATENATE("ГД ",'Ср2-5ГД'!C3,"%")</f>
        <v>ГД 50%</v>
      </c>
      <c r="S20" s="93" t="str">
        <f>CONCATENATE("ДП ",'Ср2ДП-М'!C3,"%")</f>
        <v>ДП 21%</v>
      </c>
      <c r="T20" s="440" t="str">
        <f>CONCATENATE("ППО ",Ср2ППО!C3,"%")</f>
        <v>ППО 38%</v>
      </c>
      <c r="U20" s="441"/>
      <c r="V20" s="93" t="str">
        <f>CONCATENATE("ФД ",'Ср2-5ФД'!C3,"%")</f>
        <v>ФД 55%</v>
      </c>
      <c r="W20" s="93" t="str">
        <f>CONCATENATE("ГД ",'Ср2-5ГД'!C3,"%")</f>
        <v>ГД 50%</v>
      </c>
      <c r="X20" s="93" t="str">
        <f>CONCATENATE("ДП ",'Ср2ДП-М'!C3,"%")</f>
        <v>ДП 21%</v>
      </c>
      <c r="Y20" s="440" t="str">
        <f>CONCATENATE("ППО ",Ср2ППО!C3,"%")</f>
        <v>ППО 38%</v>
      </c>
      <c r="Z20" s="441"/>
      <c r="AA20" s="93" t="str">
        <f>CONCATENATE("ФД ",'Ср2-5ФД'!C3,"%")</f>
        <v>ФД 55%</v>
      </c>
      <c r="AB20" s="501"/>
      <c r="AC20" s="502"/>
      <c r="AD20" s="502"/>
      <c r="AE20" s="458"/>
    </row>
    <row r="21" spans="2:31" ht="41.25" customHeight="1" x14ac:dyDescent="0.3">
      <c r="B21" s="469" t="s">
        <v>214</v>
      </c>
      <c r="C21" s="422" t="s">
        <v>180</v>
      </c>
      <c r="D21" s="423"/>
      <c r="E21" s="423"/>
      <c r="F21" s="423"/>
      <c r="G21" s="424"/>
      <c r="H21" s="422" t="s">
        <v>177</v>
      </c>
      <c r="I21" s="423"/>
      <c r="J21" s="423"/>
      <c r="K21" s="423"/>
      <c r="L21" s="423"/>
      <c r="M21" s="423"/>
      <c r="N21" s="423"/>
      <c r="O21" s="423"/>
      <c r="P21" s="423"/>
      <c r="Q21" s="424"/>
      <c r="R21" s="459" t="s">
        <v>178</v>
      </c>
      <c r="S21" s="459"/>
      <c r="T21" s="459"/>
      <c r="U21" s="459"/>
      <c r="V21" s="459"/>
      <c r="W21" s="459"/>
      <c r="X21" s="459"/>
      <c r="Y21" s="459"/>
      <c r="Z21" s="459"/>
      <c r="AA21" s="459"/>
      <c r="AB21" s="501"/>
      <c r="AC21" s="502"/>
      <c r="AD21" s="502"/>
      <c r="AE21" s="458"/>
    </row>
    <row r="22" spans="2:31" ht="15" customHeight="1" x14ac:dyDescent="0.3">
      <c r="B22" s="470"/>
      <c r="C22" s="84" t="str">
        <f>CONCATENATE("ГД ",'Ср2-5ГД'!C3,"%")</f>
        <v>ГД 50%</v>
      </c>
      <c r="D22" s="84" t="str">
        <f>CONCATENATE("ДП ",Ср3ДП!C3,"%")</f>
        <v>ДП 28%</v>
      </c>
      <c r="E22" s="84" t="str">
        <f>CONCATENATE("ППО ", Ср3ППО!C3,"%")</f>
        <v>ППО 18%</v>
      </c>
      <c r="F22" s="84" t="str">
        <f>CONCATENATE("РП ",Ср3РП!C3,"%")</f>
        <v>РП 28%</v>
      </c>
      <c r="G22" s="84" t="str">
        <f>CONCATENATE("ФД ",'Ср2-5ФД'!C3,"%")</f>
        <v>ФД 55%</v>
      </c>
      <c r="H22" s="83" t="str">
        <f>CONCATENATE("ГД ",'Ср2-5ГД'!C3,"%")</f>
        <v>ГД 50%</v>
      </c>
      <c r="I22" s="83" t="str">
        <f>CONCATENATE("РПО ",Ср5РПО!C3,"%")</f>
        <v>РПО 29%</v>
      </c>
      <c r="J22" s="83" t="str">
        <f>CONCATENATE("ПрОф ",Ср5ПрОф!C3,"%")</f>
        <v>ПрОф 24%</v>
      </c>
      <c r="K22" s="83" t="str">
        <f>CONCATENATE("РП ",Ср5РП!C3,"%")</f>
        <v>РП 31%</v>
      </c>
      <c r="L22" s="83" t="str">
        <f>CONCATENATE("ФД ",'Ср2-5ФД'!C3,"%")</f>
        <v>ФД 55%</v>
      </c>
      <c r="M22" s="83" t="str">
        <f>CONCATENATE("ГД ",'Ср2-5ГД'!C3,"%")</f>
        <v>ГД 50%</v>
      </c>
      <c r="N22" s="83" t="str">
        <f>CONCATENATE("РПО ",Ср5РПО!C3,"%")</f>
        <v>РПО 29%</v>
      </c>
      <c r="O22" s="83" t="str">
        <f>CONCATENATE("ПрОф ",Ср5ПрОф!C3,"%")</f>
        <v>ПрОф 24%</v>
      </c>
      <c r="P22" s="83" t="str">
        <f>CONCATENATE("РП ",Ср5РП!C3,"%")</f>
        <v>РП 31%</v>
      </c>
      <c r="Q22" s="83" t="str">
        <f>CONCATENATE("ФД ",'Ср2-5ФД'!C3,"%")</f>
        <v>ФД 55%</v>
      </c>
      <c r="R22" s="83" t="str">
        <f>CONCATENATE("ГД ",'Ср2-5ГД'!C3,"%")</f>
        <v>ГД 50%</v>
      </c>
      <c r="S22" s="83" t="str">
        <f>CONCATENATE("ДПм ",'Ср4ДПм-М'!C3,"%")</f>
        <v>ДПм 22%</v>
      </c>
      <c r="T22" s="83" t="str">
        <f>CONCATENATE("РПО ",'Ср4РПО-М'!C3,"%")</f>
        <v>РПО 20%</v>
      </c>
      <c r="U22" s="83" t="str">
        <f>CONCATENATE("РП ",'Ср4РП-М'!C3,"%")</f>
        <v>РП 31%</v>
      </c>
      <c r="V22" s="83" t="str">
        <f>CONCATENATE("ФД ",'Ср2-5ФД'!C3,"%")</f>
        <v>ФД 55%</v>
      </c>
      <c r="W22" s="83" t="str">
        <f>CONCATENATE("ГД ",'Ср2-5ГД'!C3,"%")</f>
        <v>ГД 50%</v>
      </c>
      <c r="X22" s="83" t="str">
        <f>CONCATENATE("ДПм ",'Ср4ДПм-М'!C3,"%")</f>
        <v>ДПм 22%</v>
      </c>
      <c r="Y22" s="83" t="str">
        <f>CONCATENATE("РПО ",'Ср4РПО-М'!C3,"%")</f>
        <v>РПО 20%</v>
      </c>
      <c r="Z22" s="83" t="str">
        <f>CONCATENATE("РП ",'Ср4РП-М'!C3,"%")</f>
        <v>РП 31%</v>
      </c>
      <c r="AA22" s="83" t="str">
        <f>CONCATENATE("ФД ",'Ср2-5ФД'!C3,"%")</f>
        <v>ФД 55%</v>
      </c>
      <c r="AB22" s="76"/>
      <c r="AC22" s="77"/>
      <c r="AD22" s="77"/>
      <c r="AE22" s="75"/>
    </row>
    <row r="23" spans="2:31" ht="18.75" customHeight="1" x14ac:dyDescent="0.3">
      <c r="B23" s="471" t="s">
        <v>116</v>
      </c>
      <c r="C23" s="422" t="s">
        <v>181</v>
      </c>
      <c r="D23" s="423"/>
      <c r="E23" s="423"/>
      <c r="F23" s="423"/>
      <c r="G23" s="423"/>
      <c r="H23" s="423"/>
      <c r="I23" s="423"/>
      <c r="J23" s="423"/>
      <c r="K23" s="423"/>
      <c r="L23" s="423"/>
      <c r="M23" s="423"/>
      <c r="N23" s="423"/>
      <c r="O23" s="423"/>
      <c r="P23" s="423"/>
      <c r="Q23" s="424"/>
      <c r="R23" s="463" t="s">
        <v>181</v>
      </c>
      <c r="S23" s="464"/>
      <c r="T23" s="464"/>
      <c r="U23" s="464"/>
      <c r="V23" s="464"/>
      <c r="W23" s="464"/>
      <c r="X23" s="464"/>
      <c r="Y23" s="464"/>
      <c r="Z23" s="464"/>
      <c r="AA23" s="465"/>
      <c r="AB23" s="24"/>
      <c r="AC23" s="25"/>
      <c r="AD23" s="25"/>
      <c r="AE23" s="23"/>
    </row>
    <row r="24" spans="2:31" ht="18.75" customHeight="1" x14ac:dyDescent="0.3">
      <c r="B24" s="472"/>
      <c r="C24" s="84" t="str">
        <f>CONCATENATE("1ЗГД ",Кр11ЗГД!C3,"%")</f>
        <v>1ЗГД 20%</v>
      </c>
      <c r="D24" s="84" t="str">
        <f>CONCATENATE("ППО ",Кр1ППО!C3,"%")</f>
        <v>ППО 44%</v>
      </c>
      <c r="E24" s="84" t="str">
        <f>CONCATENATE("РЦ ",Кр1РЦ!C3,"%")</f>
        <v>РЦ 18%</v>
      </c>
      <c r="F24" s="84" t="str">
        <f>CONCATENATE("ПДО ",Кр1ПДО!C3,"%")</f>
        <v>ПДО 23%</v>
      </c>
      <c r="G24" s="84" t="str">
        <f>CONCATENATE("РП ",Кр1РП!C3,"%")</f>
        <v>РП 31%</v>
      </c>
      <c r="H24" s="84" t="str">
        <f>CONCATENATE("1ЗГД ",Кр11ЗГД!C3,"%")</f>
        <v>1ЗГД 20%</v>
      </c>
      <c r="I24" s="84" t="str">
        <f>CONCATENATE("ППО ",Кр1ППО!C3,"%")</f>
        <v>ППО 44%</v>
      </c>
      <c r="J24" s="84" t="str">
        <f>CONCATENATE("РЦ ",Кр1РЦ!C3,"%")</f>
        <v>РЦ 18%</v>
      </c>
      <c r="K24" s="84" t="str">
        <f>CONCATENATE("ПДО ",Кр1ПДО!C3,"%")</f>
        <v>ПДО 23%</v>
      </c>
      <c r="L24" s="84" t="str">
        <f>CONCATENATE("РП ",Кр1РП!C3,"%")</f>
        <v>РП 31%</v>
      </c>
      <c r="M24" s="84" t="str">
        <f>CONCATENATE("1ЗГД ",Кр11ЗГД!C3,"%")</f>
        <v>1ЗГД 20%</v>
      </c>
      <c r="N24" s="84" t="str">
        <f>CONCATENATE("ППО ",Кр1ППО!C3,"%")</f>
        <v>ППО 44%</v>
      </c>
      <c r="O24" s="84" t="str">
        <f>CONCATENATE("РЦ ",Кр1РЦ!C3,"%")</f>
        <v>РЦ 18%</v>
      </c>
      <c r="P24" s="84" t="str">
        <f>CONCATENATE("ПДО ",Кр1ПДО!C3,"%")</f>
        <v>ПДО 23%</v>
      </c>
      <c r="Q24" s="84" t="str">
        <f>CONCATENATE("РП ",Кр1РП!C3,"%")</f>
        <v>РП 31%</v>
      </c>
      <c r="R24" s="127" t="str">
        <f>CONCATENATE("1ЗГД ",Кр11ЗГД!C3,"%")</f>
        <v>1ЗГД 20%</v>
      </c>
      <c r="S24" s="127" t="str">
        <f>CONCATENATE("ППО ",'Кр1ППО-М'!C3,"%")</f>
        <v>ППО 47%</v>
      </c>
      <c r="T24" s="127" t="str">
        <f>CONCATENATE("РЦ ",'Кр1РЦ-М'!C3,"%")</f>
        <v>РЦ 18%</v>
      </c>
      <c r="U24" s="127" t="str">
        <f>CONCATENATE("ПДО ",'Кр1ПДО-М'!C3,"%")</f>
        <v>ПДО 23%</v>
      </c>
      <c r="V24" s="127" t="str">
        <f>CONCATENATE("РП ",'Кр1РП-М'!C3,"%")</f>
        <v>РП 32%</v>
      </c>
      <c r="W24" s="127" t="str">
        <f>CONCATENATE("1ЗГД ",Кр11ЗГД!C3,"%")</f>
        <v>1ЗГД 20%</v>
      </c>
      <c r="X24" s="127" t="str">
        <f>CONCATENATE("ППО ",'Кр1ППО-М'!C3,"%")</f>
        <v>ППО 47%</v>
      </c>
      <c r="Y24" s="127" t="str">
        <f>CONCATENATE("РЦ ",'Кр1РЦ-М'!C3,"%")</f>
        <v>РЦ 18%</v>
      </c>
      <c r="Z24" s="127" t="str">
        <f>CONCATENATE("ПДО ",'Кр1ПДО-М'!C3,"%")</f>
        <v>ПДО 23%</v>
      </c>
      <c r="AA24" s="127" t="str">
        <f>CONCATENATE("РП ",'Кр1РП-М'!C3,"%")</f>
        <v>РП 32%</v>
      </c>
      <c r="AB24" s="24"/>
      <c r="AC24" s="25"/>
      <c r="AD24" s="25"/>
      <c r="AE24" s="23"/>
    </row>
    <row r="25" spans="2:31" ht="30" x14ac:dyDescent="0.3">
      <c r="B25" s="471" t="s">
        <v>123</v>
      </c>
      <c r="C25" s="466" t="s">
        <v>168</v>
      </c>
      <c r="D25" s="467"/>
      <c r="E25" s="467"/>
      <c r="F25" s="467"/>
      <c r="G25" s="467"/>
      <c r="H25" s="466" t="s">
        <v>168</v>
      </c>
      <c r="I25" s="467"/>
      <c r="J25" s="467"/>
      <c r="K25" s="467"/>
      <c r="L25" s="467"/>
      <c r="M25" s="466" t="s">
        <v>168</v>
      </c>
      <c r="N25" s="467"/>
      <c r="O25" s="467"/>
      <c r="P25" s="467"/>
      <c r="Q25" s="467"/>
      <c r="R25" s="466" t="s">
        <v>168</v>
      </c>
      <c r="S25" s="467"/>
      <c r="T25" s="467"/>
      <c r="U25" s="467"/>
      <c r="V25" s="467"/>
      <c r="W25" s="467"/>
      <c r="X25" s="467"/>
      <c r="Y25" s="467"/>
      <c r="Z25" s="467"/>
      <c r="AA25" s="468"/>
      <c r="AB25" s="37" t="s">
        <v>182</v>
      </c>
      <c r="AC25" s="74"/>
      <c r="AD25" s="74"/>
      <c r="AE25" s="23"/>
    </row>
    <row r="26" spans="2:31" ht="18.75" customHeight="1" x14ac:dyDescent="0.3">
      <c r="B26" s="472"/>
      <c r="C26" s="439"/>
      <c r="D26" s="439"/>
      <c r="E26" s="439"/>
      <c r="F26" s="439"/>
      <c r="G26" s="439"/>
      <c r="H26" s="439"/>
      <c r="I26" s="439"/>
      <c r="J26" s="439"/>
      <c r="K26" s="439"/>
      <c r="L26" s="439"/>
      <c r="M26" s="439"/>
      <c r="N26" s="439"/>
      <c r="O26" s="439"/>
      <c r="P26" s="439"/>
      <c r="Q26" s="439"/>
      <c r="R26" s="78"/>
      <c r="S26" s="79"/>
      <c r="T26" s="79"/>
      <c r="U26" s="79"/>
      <c r="V26" s="79"/>
      <c r="W26" s="79"/>
      <c r="X26" s="79"/>
      <c r="Y26" s="79"/>
      <c r="Z26" s="79"/>
      <c r="AA26" s="80"/>
      <c r="AB26" s="85" t="str">
        <f>CONCATENATE("ДП ",Кр2МшДПр!C3,"%")</f>
        <v>ДП 25%</v>
      </c>
      <c r="AC26" s="74"/>
      <c r="AD26" s="74"/>
      <c r="AE26" s="23"/>
    </row>
    <row r="27" spans="2:31" ht="18.75" customHeight="1" x14ac:dyDescent="0.3">
      <c r="B27" s="492" t="s">
        <v>183</v>
      </c>
      <c r="C27" s="497" t="s">
        <v>184</v>
      </c>
      <c r="D27" s="498"/>
      <c r="E27" s="498"/>
      <c r="F27" s="498"/>
      <c r="G27" s="498"/>
      <c r="H27" s="498"/>
      <c r="I27" s="498"/>
      <c r="J27" s="498"/>
      <c r="K27" s="498"/>
      <c r="L27" s="498"/>
      <c r="M27" s="498"/>
      <c r="N27" s="498"/>
      <c r="O27" s="498"/>
      <c r="P27" s="498"/>
      <c r="Q27" s="499"/>
      <c r="R27" s="500" t="s">
        <v>184</v>
      </c>
      <c r="S27" s="500"/>
      <c r="T27" s="500"/>
      <c r="U27" s="500"/>
      <c r="V27" s="500"/>
      <c r="W27" s="500"/>
      <c r="X27" s="500"/>
      <c r="Y27" s="500"/>
      <c r="Z27" s="500"/>
      <c r="AA27" s="500"/>
      <c r="AB27" s="24"/>
      <c r="AC27" s="25"/>
      <c r="AD27" s="25"/>
      <c r="AE27" s="23"/>
    </row>
    <row r="28" spans="2:31" ht="18.75" customHeight="1" x14ac:dyDescent="0.3">
      <c r="B28" s="493"/>
      <c r="C28" s="408" t="str">
        <f>CONCATENATE("ППО ",Х1_ППО!C3,"%")</f>
        <v>ППО 33%</v>
      </c>
      <c r="D28" s="428"/>
      <c r="E28" s="428"/>
      <c r="F28" s="428"/>
      <c r="G28" s="428"/>
      <c r="H28" s="428"/>
      <c r="I28" s="428"/>
      <c r="J28" s="428"/>
      <c r="K28" s="428"/>
      <c r="L28" s="428"/>
      <c r="M28" s="428"/>
      <c r="N28" s="428"/>
      <c r="O28" s="428"/>
      <c r="P28" s="428"/>
      <c r="Q28" s="409"/>
      <c r="R28" s="473" t="str">
        <f>CONCATENATE("ППО ",'Х1_ППО-М'!C3,"%")</f>
        <v>ППО 40%</v>
      </c>
      <c r="S28" s="474"/>
      <c r="T28" s="474"/>
      <c r="U28" s="474"/>
      <c r="V28" s="474"/>
      <c r="W28" s="474"/>
      <c r="X28" s="474"/>
      <c r="Y28" s="474"/>
      <c r="Z28" s="474"/>
      <c r="AA28" s="475"/>
      <c r="AB28" s="24"/>
      <c r="AC28" s="25"/>
      <c r="AD28" s="25"/>
      <c r="AE28" s="23"/>
    </row>
    <row r="29" spans="2:31" ht="18.75" customHeight="1" x14ac:dyDescent="0.3">
      <c r="B29" s="492" t="s">
        <v>185</v>
      </c>
      <c r="C29" s="497" t="s">
        <v>186</v>
      </c>
      <c r="D29" s="498"/>
      <c r="E29" s="498"/>
      <c r="F29" s="498"/>
      <c r="G29" s="498"/>
      <c r="H29" s="498"/>
      <c r="I29" s="498"/>
      <c r="J29" s="498"/>
      <c r="K29" s="498"/>
      <c r="L29" s="498"/>
      <c r="M29" s="498"/>
      <c r="N29" s="498"/>
      <c r="O29" s="498"/>
      <c r="P29" s="498"/>
      <c r="Q29" s="499"/>
      <c r="R29" s="460" t="s">
        <v>186</v>
      </c>
      <c r="S29" s="461"/>
      <c r="T29" s="461"/>
      <c r="U29" s="461"/>
      <c r="V29" s="461"/>
      <c r="W29" s="461"/>
      <c r="X29" s="461"/>
      <c r="Y29" s="461"/>
      <c r="Z29" s="461"/>
      <c r="AA29" s="462"/>
      <c r="AB29" s="24"/>
      <c r="AC29" s="25"/>
      <c r="AD29" s="25"/>
      <c r="AE29" s="23"/>
    </row>
    <row r="30" spans="2:31" ht="18.75" customHeight="1" x14ac:dyDescent="0.3">
      <c r="B30" s="493"/>
      <c r="C30" s="408" t="str">
        <f>CONCATENATE("ППО ",Х1_ППО!C3,"%")</f>
        <v>ППО 33%</v>
      </c>
      <c r="D30" s="428"/>
      <c r="E30" s="428"/>
      <c r="F30" s="428"/>
      <c r="G30" s="428"/>
      <c r="H30" s="428"/>
      <c r="I30" s="428"/>
      <c r="J30" s="428"/>
      <c r="K30" s="428"/>
      <c r="L30" s="428"/>
      <c r="M30" s="428"/>
      <c r="N30" s="428"/>
      <c r="O30" s="428"/>
      <c r="P30" s="428"/>
      <c r="Q30" s="409"/>
      <c r="R30" s="488" t="str">
        <f>CONCATENATE("ППО ",'Х1_ППО-М'!C3,"%")</f>
        <v>ППО 40%</v>
      </c>
      <c r="S30" s="489"/>
      <c r="T30" s="489"/>
      <c r="U30" s="489"/>
      <c r="V30" s="489"/>
      <c r="W30" s="489"/>
      <c r="X30" s="489"/>
      <c r="Y30" s="489"/>
      <c r="Z30" s="489"/>
      <c r="AA30" s="490"/>
      <c r="AB30" s="24"/>
      <c r="AC30" s="25"/>
      <c r="AD30" s="25"/>
      <c r="AE30" s="23"/>
    </row>
    <row r="31" spans="2:31" ht="18.75" customHeight="1" x14ac:dyDescent="0.3">
      <c r="B31" s="491" t="s">
        <v>187</v>
      </c>
      <c r="C31" s="494" t="s">
        <v>188</v>
      </c>
      <c r="D31" s="495"/>
      <c r="E31" s="495"/>
      <c r="F31" s="495"/>
      <c r="G31" s="495"/>
      <c r="H31" s="495"/>
      <c r="I31" s="495"/>
      <c r="J31" s="495"/>
      <c r="K31" s="495"/>
      <c r="L31" s="495"/>
      <c r="M31" s="495"/>
      <c r="N31" s="495"/>
      <c r="O31" s="495"/>
      <c r="P31" s="495"/>
      <c r="Q31" s="495"/>
      <c r="R31" s="495"/>
      <c r="S31" s="495"/>
      <c r="T31" s="495"/>
      <c r="U31" s="495"/>
      <c r="V31" s="495"/>
      <c r="W31" s="495"/>
      <c r="X31" s="495"/>
      <c r="Y31" s="495"/>
      <c r="Z31" s="495"/>
      <c r="AA31" s="495"/>
      <c r="AB31" s="495"/>
      <c r="AC31" s="495"/>
      <c r="AD31" s="495"/>
      <c r="AE31" s="496"/>
    </row>
    <row r="32" spans="2:31" ht="18.75" customHeight="1" x14ac:dyDescent="0.3">
      <c r="B32" s="491"/>
      <c r="C32" s="429" t="str">
        <f>CONCATENATE("ДИД ",Х2_ДИД!C3,"%")</f>
        <v>ДИД 25%</v>
      </c>
      <c r="D32" s="429"/>
      <c r="E32" s="408" t="str">
        <f>CONCATENATE("НИО ",Х2_НИО!C3,"%")</f>
        <v>НИО 8%</v>
      </c>
      <c r="F32" s="428"/>
      <c r="G32" s="409"/>
      <c r="H32" s="419"/>
      <c r="I32" s="420"/>
      <c r="J32" s="420"/>
      <c r="K32" s="420"/>
      <c r="L32" s="420"/>
      <c r="M32" s="420"/>
      <c r="N32" s="420"/>
      <c r="O32" s="420"/>
      <c r="P32" s="420"/>
      <c r="Q32" s="420"/>
      <c r="R32" s="420"/>
      <c r="S32" s="420"/>
      <c r="T32" s="420"/>
      <c r="U32" s="420"/>
      <c r="V32" s="420"/>
      <c r="W32" s="420"/>
      <c r="X32" s="420"/>
      <c r="Y32" s="420"/>
      <c r="Z32" s="420"/>
      <c r="AA32" s="420"/>
      <c r="AB32" s="420"/>
      <c r="AC32" s="420"/>
      <c r="AD32" s="420"/>
      <c r="AE32" s="421"/>
    </row>
  </sheetData>
  <mergeCells count="139">
    <mergeCell ref="H8:I8"/>
    <mergeCell ref="J8:L8"/>
    <mergeCell ref="H10:I10"/>
    <mergeCell ref="J10:L10"/>
    <mergeCell ref="R30:AA30"/>
    <mergeCell ref="E32:G32"/>
    <mergeCell ref="B23:B24"/>
    <mergeCell ref="B11:B12"/>
    <mergeCell ref="B31:B32"/>
    <mergeCell ref="B27:B28"/>
    <mergeCell ref="B29:B30"/>
    <mergeCell ref="C21:G21"/>
    <mergeCell ref="H21:Q21"/>
    <mergeCell ref="C31:AE31"/>
    <mergeCell ref="B19:B20"/>
    <mergeCell ref="H19:L20"/>
    <mergeCell ref="M19:Q20"/>
    <mergeCell ref="C27:Q27"/>
    <mergeCell ref="C29:Q29"/>
    <mergeCell ref="C28:Q28"/>
    <mergeCell ref="R27:AA27"/>
    <mergeCell ref="AB17:AB21"/>
    <mergeCell ref="AC17:AC21"/>
    <mergeCell ref="AD17:AD21"/>
    <mergeCell ref="B5:B6"/>
    <mergeCell ref="H4:L4"/>
    <mergeCell ref="B7:B8"/>
    <mergeCell ref="B9:B10"/>
    <mergeCell ref="C5:Q5"/>
    <mergeCell ref="B13:B14"/>
    <mergeCell ref="C6:Q6"/>
    <mergeCell ref="B17:B18"/>
    <mergeCell ref="B15:B16"/>
    <mergeCell ref="C8:D8"/>
    <mergeCell ref="M8:N8"/>
    <mergeCell ref="C10:D10"/>
    <mergeCell ref="M10:N10"/>
    <mergeCell ref="E8:G8"/>
    <mergeCell ref="E10:G10"/>
    <mergeCell ref="C18:D18"/>
    <mergeCell ref="E18:G18"/>
    <mergeCell ref="C11:Q11"/>
    <mergeCell ref="C13:Q13"/>
    <mergeCell ref="O8:Q8"/>
    <mergeCell ref="O10:Q10"/>
    <mergeCell ref="O12:P12"/>
    <mergeCell ref="I14:J14"/>
    <mergeCell ref="I16:J16"/>
    <mergeCell ref="AE17:AE21"/>
    <mergeCell ref="R21:AA21"/>
    <mergeCell ref="R29:AA29"/>
    <mergeCell ref="R23:AA23"/>
    <mergeCell ref="R25:AA25"/>
    <mergeCell ref="B21:B22"/>
    <mergeCell ref="B25:B26"/>
    <mergeCell ref="C25:G25"/>
    <mergeCell ref="R28:AA28"/>
    <mergeCell ref="H25:L25"/>
    <mergeCell ref="M25:Q25"/>
    <mergeCell ref="C26:G26"/>
    <mergeCell ref="H26:L26"/>
    <mergeCell ref="M26:Q26"/>
    <mergeCell ref="C2:AE2"/>
    <mergeCell ref="R3:AA3"/>
    <mergeCell ref="R11:AA11"/>
    <mergeCell ref="AC3:AE3"/>
    <mergeCell ref="AB11:AB12"/>
    <mergeCell ref="AC11:AC12"/>
    <mergeCell ref="AD11:AD12"/>
    <mergeCell ref="AE11:AE12"/>
    <mergeCell ref="C3:Q3"/>
    <mergeCell ref="C4:G4"/>
    <mergeCell ref="C7:Q7"/>
    <mergeCell ref="R7:AA7"/>
    <mergeCell ref="C9:Q9"/>
    <mergeCell ref="R9:AA9"/>
    <mergeCell ref="R8:S8"/>
    <mergeCell ref="W8:X8"/>
    <mergeCell ref="R10:S10"/>
    <mergeCell ref="W10:X10"/>
    <mergeCell ref="T8:V8"/>
    <mergeCell ref="T10:V10"/>
    <mergeCell ref="W4:AA4"/>
    <mergeCell ref="AB9:AB10"/>
    <mergeCell ref="R4:V4"/>
    <mergeCell ref="M4:Q4"/>
    <mergeCell ref="AG5:AH5"/>
    <mergeCell ref="AB7:AB8"/>
    <mergeCell ref="AC7:AC8"/>
    <mergeCell ref="AD7:AD8"/>
    <mergeCell ref="AE7:AE8"/>
    <mergeCell ref="AE9:AE10"/>
    <mergeCell ref="AE5:AE6"/>
    <mergeCell ref="AB5:AB6"/>
    <mergeCell ref="AC5:AC6"/>
    <mergeCell ref="AD5:AD6"/>
    <mergeCell ref="AD9:AD10"/>
    <mergeCell ref="R5:AA5"/>
    <mergeCell ref="R6:AA6"/>
    <mergeCell ref="AC9:AC10"/>
    <mergeCell ref="Y10:AA10"/>
    <mergeCell ref="Y8:AA8"/>
    <mergeCell ref="H32:AE32"/>
    <mergeCell ref="R19:AA19"/>
    <mergeCell ref="C17:G17"/>
    <mergeCell ref="C19:G19"/>
    <mergeCell ref="C30:Q30"/>
    <mergeCell ref="C32:D32"/>
    <mergeCell ref="R13:AA13"/>
    <mergeCell ref="AB13:AB14"/>
    <mergeCell ref="AC13:AC14"/>
    <mergeCell ref="R17:V18"/>
    <mergeCell ref="W17:AA18"/>
    <mergeCell ref="H17:L18"/>
    <mergeCell ref="M17:Q18"/>
    <mergeCell ref="E20:F20"/>
    <mergeCell ref="T20:U20"/>
    <mergeCell ref="Y20:Z20"/>
    <mergeCell ref="R15:AA15"/>
    <mergeCell ref="C23:Q23"/>
    <mergeCell ref="C15:Q15"/>
    <mergeCell ref="AB15:AB16"/>
    <mergeCell ref="AC15:AC16"/>
    <mergeCell ref="AD15:AD16"/>
    <mergeCell ref="AE15:AE16"/>
    <mergeCell ref="AD13:AD14"/>
    <mergeCell ref="AE13:AE14"/>
    <mergeCell ref="E12:F12"/>
    <mergeCell ref="E14:F14"/>
    <mergeCell ref="E16:F16"/>
    <mergeCell ref="T16:U16"/>
    <mergeCell ref="T14:U14"/>
    <mergeCell ref="T12:U12"/>
    <mergeCell ref="X16:Y16"/>
    <mergeCell ref="X12:Y12"/>
    <mergeCell ref="X14:Y14"/>
    <mergeCell ref="O14:P14"/>
    <mergeCell ref="O16:P16"/>
    <mergeCell ref="I12:J12"/>
  </mergeCells>
  <phoneticPr fontId="23" type="noConversion"/>
  <hyperlinks>
    <hyperlink ref="C14" location="'Мал1-2ГД'!A1" display="ГД"/>
    <hyperlink ref="C12" location="'Мал1-2ГД'!A1" display="ГД"/>
    <hyperlink ref="D12" location="'Мал1-2ФД'!A1" display="ФД"/>
    <hyperlink ref="G12" location="Мал1РН!A1" display="РН"/>
    <hyperlink ref="D14" location="'Мал1-2ФД'!A1" display="ФД"/>
    <hyperlink ref="G14" location="Мал2ППО!A1" display="ППО"/>
    <hyperlink ref="C20" location="'Ср2-5ГД'!A1" display="ГД"/>
    <hyperlink ref="D20" location="Ср2ДП!A1" display="ДП"/>
    <hyperlink ref="G20" location="'Ср2-5ФД'!A1" display="ФД"/>
    <hyperlink ref="C22" location="'Ср2-5ГД'!A1" display="ГД"/>
    <hyperlink ref="D22" location="Ср2ДП!A1" display="ДП"/>
    <hyperlink ref="G22" location="'Ср2-5ФД'!A1" display="ФД"/>
    <hyperlink ref="H22" location="'Ср2-5ГД'!A1" display="ГД"/>
    <hyperlink ref="I22" location="Ср5РПО!A1" display="РПО"/>
    <hyperlink ref="L22" location="'Ср2-5ФД'!A1" display="ФД"/>
    <hyperlink ref="R22" location="'Ср2-5ГД'!A1" display="ГД"/>
    <hyperlink ref="S22" location="'Ср4ДПм-М'!A1" display="ДП"/>
    <hyperlink ref="V22" location="'Ср2-5ФД'!A1" display="ФД"/>
    <hyperlink ref="E24" location="Кр1РЦ!A1" display="РЦ"/>
    <hyperlink ref="AB26" location="Кр2МшДПр!A1" display="Кр2МшДПр!A1"/>
    <hyperlink ref="C28" location="Х1_ППО!A1" display="ППО"/>
    <hyperlink ref="C30" location="Х1_ППО!A1" display="ППО"/>
    <hyperlink ref="C6:Q6" location="Соло!A1" display="РП"/>
    <hyperlink ref="R6:AA6" location="'Соло-М'!A1" display="РП"/>
    <hyperlink ref="R12" location="'Мал1-2ГД'!A1" display="ГД"/>
    <hyperlink ref="S12" location="'Мал1-2ФД'!A1" display="ФД"/>
    <hyperlink ref="V12" location="'Мал1РН-М'!A1" display="'Мал1РН-М'!A1"/>
    <hyperlink ref="R14" location="'Мал1-2ГД'!A1" display="ГД"/>
    <hyperlink ref="S14" location="'Мал1-2ФД'!A1" display="ФД"/>
    <hyperlink ref="V14" location="'Мал2ППО-М'!A1" display="ППО"/>
    <hyperlink ref="S20" location="'Ср2ДП-М'!A1" display="ДП"/>
    <hyperlink ref="R20" location="'Ср2-5ГД'!A1" display="ГД"/>
    <hyperlink ref="V20" location="'Ср2-5ФД'!A1" display="ФД"/>
    <hyperlink ref="X20" location="'Ср2ДП-М'!A1" display="ДП"/>
    <hyperlink ref="W20" location="'Ср2-5ГД'!A1" display="ГД"/>
    <hyperlink ref="AA20" location="'Ср2-5ФД'!A1" display="ФД"/>
    <hyperlink ref="E8" location="МикроРП!A1" display="РП"/>
    <hyperlink ref="T8" location="'МикроРП-М'!A1" display="РП"/>
    <hyperlink ref="E12" location="'Мал1-2РП'!A1" display="РП"/>
    <hyperlink ref="H12" location="'Мал1-2ГД'!A1" display="ГД"/>
    <hyperlink ref="I12" location="'Мал1-2ФД'!A1" display="ФД"/>
    <hyperlink ref="L12" location="Мал1РН!A1" display="РН"/>
    <hyperlink ref="K12" location="'Мал1-2РП'!A1" display="РП"/>
    <hyperlink ref="M12" location="'Мал1-2ГД'!A1" display="ГД"/>
    <hyperlink ref="N12" location="'Мал1-2ФД'!A1" display="ФД"/>
    <hyperlink ref="Q12" location="Мал1РН!A1" display="РН"/>
    <hyperlink ref="O12" location="'Мал1-2РП'!A1" display="РП"/>
    <hyperlink ref="H14" location="'Мал1-2ГД'!A1" display="ГД"/>
    <hyperlink ref="I14" location="'Мал1-2ФД'!A1" display="ФД"/>
    <hyperlink ref="L14" location="Мал2ППО!A1" display="ППО"/>
    <hyperlink ref="K14" location="'Мал1-2РП'!A1" display="РП"/>
    <hyperlink ref="M14" location="'Мал1-2ГД'!A1" display="ГД"/>
    <hyperlink ref="N14" location="'Мал1-2ФД'!A1" display="ФД"/>
    <hyperlink ref="Q14" location="Мал2ППО!A1" display="ППО"/>
    <hyperlink ref="O14" location="'Мал1-2РП'!A1" display="РП"/>
    <hyperlink ref="C16" location="'Мал1-2ГД'!A1" display="ГД"/>
    <hyperlink ref="D16" location="'Мал1-2ФД'!A1" display="ФД"/>
    <hyperlink ref="G16" location="Мал2ППО!A1" display="ППО"/>
    <hyperlink ref="H16" location="'Мал1-2ГД'!A1" display="ГД"/>
    <hyperlink ref="I16" location="'Мал1-2ФД'!A1" display="ФД"/>
    <hyperlink ref="L16" location="Мал2ППО!A1" display="ППО"/>
    <hyperlink ref="K16" location="'Мал1-2РП'!A1" display="РП"/>
    <hyperlink ref="M16" location="'Мал1-2ГД'!A1" display="ГД"/>
    <hyperlink ref="N16" location="'Мал1-2ФД'!A1" display="ФД"/>
    <hyperlink ref="Q16" location="Мал2ППО!A1" display="ППО"/>
    <hyperlink ref="T12" location="'Мал1-2РП-М'!A1" display="РП"/>
    <hyperlink ref="W12" location="'Мал1-2ГД'!A1" display="ГД"/>
    <hyperlink ref="X12" location="'Мал1-2ФД'!A1" display="ФД"/>
    <hyperlink ref="Z12" location="'Мал1-2РП-М'!A1" display="РП"/>
    <hyperlink ref="T14" location="'Мал1-2РП-М'!A1" display="РП"/>
    <hyperlink ref="W14" location="'Мал1-2ГД'!A1" display="ГД"/>
    <hyperlink ref="X14" location="'Мал1-2ФД'!A1" display="ФД"/>
    <hyperlink ref="AA14" location="'Мал2ППО-М'!A1" display="ППО"/>
    <hyperlink ref="Z14" location="'Мал1-2РП-М'!A1" display="РП"/>
    <hyperlink ref="W16" location="'Мал1-2ГД'!A1" display="ГД"/>
    <hyperlink ref="X16" location="'Мал1-2ФД'!A1" display="ФД"/>
    <hyperlink ref="AA16" location="'Мал2ППО-М'!A1" display="ППО"/>
    <hyperlink ref="Z16" location="'Мал1-2РП-М'!A1" display="РП"/>
    <hyperlink ref="R16" location="'Мал1-2ГД'!A1" display="ГД"/>
    <hyperlink ref="S16" location="'Мал1-2ФД'!A1" display="ФД"/>
    <hyperlink ref="V16" location="'Мал2ППО-М'!A1" display="ППО"/>
    <hyperlink ref="T16" location="'Мал1-2РП-М'!A1" display="РП"/>
    <hyperlink ref="C18:D18" location="Ср1ФД!A1" display="ФД"/>
    <hyperlink ref="E18:G18" location="Ср1ПДО!A1" display="ПДО"/>
    <hyperlink ref="E20" location="Ср2ППО!A1" display="ППО"/>
    <hyperlink ref="T20" location="Ср2ППО!A1" display="ППО"/>
    <hyperlink ref="Y20" location="Ср2ППО!A1" display="ППО"/>
    <hyperlink ref="E22" location="Ср3ППО!A1" display="ППО"/>
    <hyperlink ref="T22" location="'Ср4РПО-М'!A1" display="РПО"/>
    <hyperlink ref="U22" location="'Ср4РП-М'!A1" display="РП"/>
    <hyperlink ref="W22" location="'Ср2-5ГД'!A1" display="ГД"/>
    <hyperlink ref="X22" location="'Ср4ДПм-М'!A1" display="ДП"/>
    <hyperlink ref="AA22" location="'Ср2-5ФД'!A1" display="ФД"/>
    <hyperlink ref="Y22" location="'Ср4РПО-М'!A1" display="РПО"/>
    <hyperlink ref="Z22" location="'Ср4РП-М'!A1" display="РП"/>
    <hyperlink ref="J22" location="Ср5ПрОф!A1" display="ПрОф"/>
    <hyperlink ref="K22" location="Ср5РП!A1" display="РП"/>
    <hyperlink ref="M22" location="'Ср2-5ГД'!A1" display="ГД"/>
    <hyperlink ref="N22" location="Ср5РПО!A1" display="РПО"/>
    <hyperlink ref="Q22" location="'Ср2-5ФД'!A1" display="ФД"/>
    <hyperlink ref="O22" location="Ср5ПрОф!A1" display="ПрОф"/>
    <hyperlink ref="P22" location="Ср5РП!A1" display="РП"/>
    <hyperlink ref="C8:D8" location="МикроГД!A1" display="ГД"/>
    <hyperlink ref="C24" location="Кр11ЗГД!A1" display="1ЗГД"/>
    <hyperlink ref="D24" location="Кр1ППО!A1" display="ППО"/>
    <hyperlink ref="F24" location="Кр1ПДО!A1" display="ПДО"/>
    <hyperlink ref="G24" location="Кр1РП!A1" display="РП"/>
    <hyperlink ref="J24" location="Кр1РЦ!A1" display="РЦ"/>
    <hyperlink ref="H24" location="Кр11ЗГД!A1" display="1ЗГД"/>
    <hyperlink ref="I24" location="Кр1ППО!A1" display="ППО"/>
    <hyperlink ref="K24" location="Кр1ПДО!A1" display="ПДО"/>
    <hyperlink ref="L24" location="Кр1РП!A1" display="РП"/>
    <hyperlink ref="O24" location="Кр1РЦ!A1" display="РЦ"/>
    <hyperlink ref="M24" location="Кр11ЗГД!A1" display="1ЗГД"/>
    <hyperlink ref="N24" location="Кр1ППО!A1" display="ППО"/>
    <hyperlink ref="P24" location="Кр1ПДО!A1" display="ПДО"/>
    <hyperlink ref="Q24" location="Кр1РП!A1" display="РП"/>
    <hyperlink ref="R24" location="Кр11ЗГД!A1" display="1ЗГД"/>
    <hyperlink ref="S24" location="'Кр1ППО-М'!A1" display="ППО"/>
    <hyperlink ref="T24" location="'Кр1РЦ-М'!A1" display="РЦ"/>
    <hyperlink ref="U24" location="'Кр1ПДО-М'!A1" display="ПДО"/>
    <hyperlink ref="V24" location="'Кр1РП-М'!A1" display="РП"/>
    <hyperlink ref="W24" location="Кр11ЗГД!A1" display="1ЗГД"/>
    <hyperlink ref="X24" location="'Кр1ППО-М'!A1" display="ППО"/>
    <hyperlink ref="Y24" location="'Кр1РЦ-М'!A1" display="РЦ"/>
    <hyperlink ref="Z24" location="'Кр1ПДО-М'!A1" display="ПДО"/>
    <hyperlink ref="AA24" location="'Кр1РП-М'!A1" display="РП"/>
    <hyperlink ref="R28:AA28" location="'Х1_ППО-М'!A1" display="ППО"/>
    <hyperlink ref="R30" location="'Х1_ППО-М'!A1" display="ППО"/>
    <hyperlink ref="J8" location="МикроРП!A1" display="РП"/>
    <hyperlink ref="H8:I8" location="МикроГД!A1" display="ГД"/>
    <hyperlink ref="O8" location="МикроРП!A1" display="РП"/>
    <hyperlink ref="M8:N8" location="МикроГД!A1" display="ГД"/>
    <hyperlink ref="R8:S8" location="МикроГД!A1" display="ГД"/>
    <hyperlink ref="W8:X8" location="МикроГД!A1" display="ГД"/>
    <hyperlink ref="E10" location="МикроРП!A1" display="РП"/>
    <hyperlink ref="C10:D10" location="МикроГД!A1" display="ГД"/>
    <hyperlink ref="J10" location="МикроРП!A1" display="РП"/>
    <hyperlink ref="H10:I10" location="МикроГД!A1" display="ГД"/>
    <hyperlink ref="O10" location="МикроРП!A1" display="РП"/>
    <hyperlink ref="M10:N10" location="МикроГД!A1" display="ГД"/>
    <hyperlink ref="R10:S10" location="МикроГД!A1" display="ГД"/>
    <hyperlink ref="T8:V8" location="'МикроРП-М'!A1" display="'МикроРП-М'!A1"/>
    <hyperlink ref="Y8" location="'МикроРП-М'!A1" display="РП"/>
    <hyperlink ref="Y8:AA8" location="'МикроРП-М'!A1" display="'МикроРП-М'!A1"/>
    <hyperlink ref="T10" location="'МикроРП-М'!A1" display="РП"/>
    <hyperlink ref="T10:V10" location="'МикроРП-М'!A1" display="'МикроРП-М'!A1"/>
    <hyperlink ref="Y10" location="'МикроРП-М'!A1" display="РП"/>
    <hyperlink ref="Y10:AA10" location="'МикроРП-М'!A1" display="'МикроРП-М'!A1"/>
    <hyperlink ref="W10:X10" location="МикроГД!A1" display="ГД"/>
    <hyperlink ref="AA12" location="'Мал1РН-М'!A1" display="'Мал1РН-М'!A1"/>
    <hyperlink ref="E12:F12" location="'Мал1-2РП'!A1" display="'Мал1-2РП'!A1"/>
    <hyperlink ref="E14" location="'Мал1-2РП'!A1" display="РП"/>
    <hyperlink ref="E14:F14" location="'Мал1-2РП'!A1" display="'Мал1-2РП'!A1"/>
    <hyperlink ref="E16" location="'Мал1-2РП'!A1" display="РП"/>
    <hyperlink ref="E16:F16" location="'Мал1-2РП'!A1" display="'Мал1-2РП'!A1"/>
    <hyperlink ref="O16" location="'Мал1-2РП'!A1" display="РП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7"/>
  <sheetViews>
    <sheetView topLeftCell="A46" workbookViewId="0">
      <selection activeCell="E20" sqref="E20"/>
    </sheetView>
  </sheetViews>
  <sheetFormatPr defaultRowHeight="14.4" x14ac:dyDescent="0.3"/>
  <cols>
    <col min="1" max="1" width="6" customWidth="1"/>
    <col min="2" max="2" width="80" customWidth="1"/>
    <col min="3" max="3" width="11.5546875" customWidth="1"/>
  </cols>
  <sheetData>
    <row r="1" spans="2:7" s="299" customFormat="1" ht="18" x14ac:dyDescent="0.35">
      <c r="B1" s="298" t="s">
        <v>507</v>
      </c>
      <c r="C1" s="298" t="s">
        <v>508</v>
      </c>
      <c r="E1" s="299" t="s">
        <v>528</v>
      </c>
    </row>
    <row r="2" spans="2:7" x14ac:dyDescent="0.3">
      <c r="B2" s="294" t="s">
        <v>291</v>
      </c>
      <c r="C2" s="209">
        <v>0</v>
      </c>
      <c r="D2">
        <v>1</v>
      </c>
      <c r="E2" t="s">
        <v>526</v>
      </c>
    </row>
    <row r="3" spans="2:7" x14ac:dyDescent="0.3">
      <c r="B3" s="295" t="s">
        <v>515</v>
      </c>
      <c r="C3" s="297">
        <v>0.5</v>
      </c>
      <c r="G3">
        <v>1</v>
      </c>
    </row>
    <row r="4" spans="2:7" x14ac:dyDescent="0.3">
      <c r="B4" s="294" t="s">
        <v>387</v>
      </c>
      <c r="C4" s="209">
        <v>0</v>
      </c>
      <c r="D4">
        <v>1</v>
      </c>
    </row>
    <row r="5" spans="2:7" x14ac:dyDescent="0.3">
      <c r="B5" s="300" t="s">
        <v>511</v>
      </c>
      <c r="C5" s="297">
        <v>0.5</v>
      </c>
      <c r="D5">
        <v>1</v>
      </c>
    </row>
    <row r="6" spans="2:7" x14ac:dyDescent="0.3">
      <c r="B6" s="300" t="s">
        <v>517</v>
      </c>
      <c r="C6" s="297">
        <v>0.5</v>
      </c>
    </row>
    <row r="7" spans="2:7" x14ac:dyDescent="0.3">
      <c r="B7" s="300" t="s">
        <v>523</v>
      </c>
      <c r="C7" s="297">
        <v>0.5</v>
      </c>
      <c r="D7">
        <v>1</v>
      </c>
    </row>
    <row r="8" spans="2:7" x14ac:dyDescent="0.3">
      <c r="B8" s="294" t="s">
        <v>280</v>
      </c>
      <c r="C8" s="296">
        <v>0</v>
      </c>
    </row>
    <row r="9" spans="2:7" x14ac:dyDescent="0.3">
      <c r="B9" s="294" t="s">
        <v>273</v>
      </c>
      <c r="C9" s="296">
        <v>0</v>
      </c>
    </row>
    <row r="10" spans="2:7" x14ac:dyDescent="0.3">
      <c r="B10" s="300" t="s">
        <v>512</v>
      </c>
      <c r="C10" s="297">
        <v>0.5</v>
      </c>
      <c r="D10">
        <v>1</v>
      </c>
    </row>
    <row r="11" spans="2:7" x14ac:dyDescent="0.3">
      <c r="B11" s="300" t="s">
        <v>518</v>
      </c>
      <c r="C11" s="297">
        <v>0.5</v>
      </c>
    </row>
    <row r="12" spans="2:7" x14ac:dyDescent="0.3">
      <c r="B12" s="294" t="s">
        <v>509</v>
      </c>
      <c r="C12" s="296">
        <v>0</v>
      </c>
    </row>
    <row r="13" spans="2:7" x14ac:dyDescent="0.3">
      <c r="B13" s="300" t="s">
        <v>325</v>
      </c>
      <c r="C13" s="297">
        <v>0.5</v>
      </c>
    </row>
    <row r="14" spans="2:7" x14ac:dyDescent="0.3">
      <c r="B14" s="300" t="s">
        <v>363</v>
      </c>
      <c r="C14" s="297">
        <v>0.5</v>
      </c>
    </row>
    <row r="15" spans="2:7" x14ac:dyDescent="0.3">
      <c r="B15" s="300" t="s">
        <v>288</v>
      </c>
      <c r="C15" s="297">
        <v>0.5</v>
      </c>
      <c r="D15">
        <v>1</v>
      </c>
    </row>
    <row r="16" spans="2:7" x14ac:dyDescent="0.3">
      <c r="B16" s="300" t="s">
        <v>379</v>
      </c>
      <c r="C16" s="297">
        <v>0.5</v>
      </c>
      <c r="D16">
        <v>1</v>
      </c>
    </row>
    <row r="17" spans="2:7" x14ac:dyDescent="0.3">
      <c r="B17" s="294" t="s">
        <v>525</v>
      </c>
      <c r="C17" s="296">
        <v>0</v>
      </c>
    </row>
    <row r="18" spans="2:7" x14ac:dyDescent="0.3">
      <c r="B18" s="294" t="s">
        <v>514</v>
      </c>
      <c r="C18" s="297">
        <v>0.5</v>
      </c>
      <c r="G18">
        <v>1</v>
      </c>
    </row>
    <row r="19" spans="2:7" x14ac:dyDescent="0.3">
      <c r="B19" s="294" t="s">
        <v>513</v>
      </c>
      <c r="C19" s="297">
        <v>0.5</v>
      </c>
      <c r="G19">
        <v>1</v>
      </c>
    </row>
    <row r="20" spans="2:7" x14ac:dyDescent="0.3">
      <c r="B20" s="294" t="s">
        <v>524</v>
      </c>
      <c r="C20" s="296">
        <v>0</v>
      </c>
    </row>
    <row r="21" spans="2:7" x14ac:dyDescent="0.3">
      <c r="B21" s="294" t="s">
        <v>314</v>
      </c>
      <c r="C21" s="296">
        <v>0</v>
      </c>
    </row>
    <row r="22" spans="2:7" x14ac:dyDescent="0.3">
      <c r="B22" s="294" t="s">
        <v>409</v>
      </c>
      <c r="C22" s="296">
        <v>0</v>
      </c>
    </row>
    <row r="23" spans="2:7" x14ac:dyDescent="0.3">
      <c r="B23" s="294" t="s">
        <v>290</v>
      </c>
      <c r="C23" s="297">
        <v>0.5</v>
      </c>
      <c r="D23">
        <v>1</v>
      </c>
    </row>
    <row r="24" spans="2:7" x14ac:dyDescent="0.3">
      <c r="B24" s="294" t="s">
        <v>289</v>
      </c>
      <c r="C24" s="296">
        <v>0</v>
      </c>
      <c r="D24">
        <v>1</v>
      </c>
      <c r="E24" t="s">
        <v>527</v>
      </c>
    </row>
    <row r="25" spans="2:7" x14ac:dyDescent="0.3">
      <c r="B25" s="294" t="s">
        <v>371</v>
      </c>
      <c r="C25" s="296">
        <v>0</v>
      </c>
    </row>
    <row r="26" spans="2:7" x14ac:dyDescent="0.3">
      <c r="B26" s="294" t="s">
        <v>362</v>
      </c>
      <c r="C26" s="296">
        <v>0</v>
      </c>
    </row>
    <row r="27" spans="2:7" ht="28.8" x14ac:dyDescent="0.3">
      <c r="B27" s="294" t="s">
        <v>360</v>
      </c>
      <c r="C27" s="296">
        <v>0.3</v>
      </c>
      <c r="D27">
        <v>1</v>
      </c>
      <c r="G27">
        <v>1</v>
      </c>
    </row>
    <row r="28" spans="2:7" x14ac:dyDescent="0.3">
      <c r="B28" s="300" t="s">
        <v>501</v>
      </c>
      <c r="C28" s="297">
        <v>0.5</v>
      </c>
      <c r="D28">
        <v>1</v>
      </c>
      <c r="E28" t="s">
        <v>527</v>
      </c>
    </row>
    <row r="29" spans="2:7" x14ac:dyDescent="0.3">
      <c r="B29" s="294" t="s">
        <v>277</v>
      </c>
      <c r="C29" s="296">
        <v>0</v>
      </c>
    </row>
    <row r="30" spans="2:7" ht="28.8" x14ac:dyDescent="0.3">
      <c r="B30" s="294" t="s">
        <v>369</v>
      </c>
      <c r="C30" s="296">
        <v>0</v>
      </c>
    </row>
    <row r="31" spans="2:7" ht="28.8" x14ac:dyDescent="0.3">
      <c r="B31" s="294" t="s">
        <v>516</v>
      </c>
      <c r="C31" s="296">
        <v>0</v>
      </c>
    </row>
    <row r="32" spans="2:7" x14ac:dyDescent="0.3">
      <c r="B32" s="294" t="s">
        <v>333</v>
      </c>
      <c r="C32" s="297">
        <v>0.5</v>
      </c>
      <c r="D32">
        <v>1</v>
      </c>
    </row>
    <row r="33" spans="2:7" x14ac:dyDescent="0.3">
      <c r="B33" s="300" t="s">
        <v>403</v>
      </c>
      <c r="C33" s="297">
        <v>0.5</v>
      </c>
      <c r="D33">
        <v>1</v>
      </c>
    </row>
    <row r="34" spans="2:7" x14ac:dyDescent="0.3">
      <c r="B34" s="294" t="s">
        <v>306</v>
      </c>
      <c r="C34" s="296">
        <v>0</v>
      </c>
    </row>
    <row r="35" spans="2:7" ht="28.8" x14ac:dyDescent="0.3">
      <c r="B35" s="294" t="s">
        <v>380</v>
      </c>
      <c r="C35" s="296">
        <v>0</v>
      </c>
      <c r="D35">
        <v>1</v>
      </c>
    </row>
    <row r="36" spans="2:7" x14ac:dyDescent="0.3">
      <c r="B36" s="294" t="s">
        <v>417</v>
      </c>
      <c r="C36" s="297">
        <v>0.5</v>
      </c>
    </row>
    <row r="37" spans="2:7" x14ac:dyDescent="0.3">
      <c r="B37" s="294" t="s">
        <v>519</v>
      </c>
      <c r="C37" s="297">
        <v>0.5</v>
      </c>
      <c r="G37">
        <v>1</v>
      </c>
    </row>
    <row r="38" spans="2:7" x14ac:dyDescent="0.3">
      <c r="B38" s="294" t="s">
        <v>510</v>
      </c>
      <c r="C38" s="296">
        <v>0</v>
      </c>
      <c r="G38">
        <v>1</v>
      </c>
    </row>
    <row r="39" spans="2:7" ht="28.8" x14ac:dyDescent="0.3">
      <c r="B39" s="300" t="s">
        <v>332</v>
      </c>
      <c r="C39" s="297">
        <v>0.5</v>
      </c>
    </row>
    <row r="40" spans="2:7" x14ac:dyDescent="0.3">
      <c r="B40" s="300" t="s">
        <v>307</v>
      </c>
      <c r="C40" s="297">
        <v>0.8</v>
      </c>
    </row>
    <row r="41" spans="2:7" ht="28.8" x14ac:dyDescent="0.3">
      <c r="B41" s="300" t="s">
        <v>358</v>
      </c>
      <c r="C41" s="297">
        <v>0.5</v>
      </c>
    </row>
    <row r="42" spans="2:7" ht="28.8" x14ac:dyDescent="0.3">
      <c r="B42" s="294" t="s">
        <v>479</v>
      </c>
      <c r="C42" s="297">
        <v>0.5</v>
      </c>
      <c r="G42">
        <v>1</v>
      </c>
    </row>
    <row r="43" spans="2:7" x14ac:dyDescent="0.3">
      <c r="B43" s="294" t="s">
        <v>287</v>
      </c>
      <c r="C43" s="297">
        <v>0.5</v>
      </c>
      <c r="D43">
        <v>1</v>
      </c>
      <c r="G43">
        <v>1</v>
      </c>
    </row>
    <row r="44" spans="2:7" x14ac:dyDescent="0.3">
      <c r="B44" s="294" t="s">
        <v>488</v>
      </c>
      <c r="C44" s="296">
        <v>0</v>
      </c>
    </row>
    <row r="45" spans="2:7" x14ac:dyDescent="0.3">
      <c r="B45" s="294" t="s">
        <v>411</v>
      </c>
      <c r="C45" s="296">
        <v>0</v>
      </c>
      <c r="G45" s="326" t="s">
        <v>213</v>
      </c>
    </row>
    <row r="46" spans="2:7" ht="28.8" x14ac:dyDescent="0.3">
      <c r="B46" s="300" t="s">
        <v>364</v>
      </c>
      <c r="C46" s="297">
        <v>0.5</v>
      </c>
    </row>
    <row r="47" spans="2:7" x14ac:dyDescent="0.3">
      <c r="B47" s="294" t="s">
        <v>324</v>
      </c>
      <c r="C47" s="296">
        <v>0</v>
      </c>
    </row>
    <row r="48" spans="2:7" x14ac:dyDescent="0.3">
      <c r="B48" s="294" t="s">
        <v>420</v>
      </c>
      <c r="C48" s="296">
        <v>0</v>
      </c>
    </row>
    <row r="49" spans="2:7" x14ac:dyDescent="0.3">
      <c r="B49" s="294" t="s">
        <v>361</v>
      </c>
      <c r="C49" s="296">
        <v>0</v>
      </c>
    </row>
    <row r="50" spans="2:7" x14ac:dyDescent="0.3">
      <c r="B50" s="300" t="s">
        <v>315</v>
      </c>
      <c r="C50" s="297">
        <v>0.5</v>
      </c>
    </row>
    <row r="51" spans="2:7" x14ac:dyDescent="0.3">
      <c r="B51" s="301" t="s">
        <v>529</v>
      </c>
      <c r="C51" s="275">
        <v>0.8</v>
      </c>
      <c r="D51">
        <v>1</v>
      </c>
    </row>
    <row r="52" spans="2:7" x14ac:dyDescent="0.3">
      <c r="B52" s="294" t="s">
        <v>370</v>
      </c>
      <c r="C52" s="297">
        <v>0.5</v>
      </c>
      <c r="D52">
        <v>1</v>
      </c>
      <c r="G52">
        <v>1</v>
      </c>
    </row>
    <row r="53" spans="2:7" x14ac:dyDescent="0.3">
      <c r="B53" s="294" t="s">
        <v>410</v>
      </c>
      <c r="C53" s="297">
        <v>0.5</v>
      </c>
      <c r="G53">
        <v>1</v>
      </c>
    </row>
    <row r="54" spans="2:7" x14ac:dyDescent="0.3">
      <c r="B54" s="300" t="s">
        <v>305</v>
      </c>
      <c r="C54" s="297">
        <v>0.5</v>
      </c>
    </row>
    <row r="55" spans="2:7" x14ac:dyDescent="0.3">
      <c r="B55" s="300" t="s">
        <v>326</v>
      </c>
      <c r="C55" s="297">
        <v>0.5</v>
      </c>
    </row>
    <row r="56" spans="2:7" x14ac:dyDescent="0.3">
      <c r="B56" s="300" t="s">
        <v>500</v>
      </c>
      <c r="C56" s="297">
        <v>0.5</v>
      </c>
    </row>
    <row r="57" spans="2:7" x14ac:dyDescent="0.3">
      <c r="B57" s="300" t="s">
        <v>382</v>
      </c>
      <c r="C57" s="297">
        <v>0.5</v>
      </c>
      <c r="D57">
        <v>1</v>
      </c>
    </row>
    <row r="63" spans="2:7" x14ac:dyDescent="0.3">
      <c r="B63" s="1" t="s">
        <v>223</v>
      </c>
      <c r="C63" s="136">
        <v>0</v>
      </c>
    </row>
    <row r="64" spans="2:7" x14ac:dyDescent="0.3">
      <c r="B64" s="114" t="s">
        <v>224</v>
      </c>
      <c r="C64" s="137">
        <v>0.1</v>
      </c>
    </row>
    <row r="65" spans="2:3" x14ac:dyDescent="0.3">
      <c r="B65" s="115" t="s">
        <v>230</v>
      </c>
      <c r="C65" s="138">
        <v>0.5</v>
      </c>
    </row>
    <row r="66" spans="2:3" x14ac:dyDescent="0.3">
      <c r="B66" s="116" t="s">
        <v>229</v>
      </c>
      <c r="C66" s="139">
        <v>0.8</v>
      </c>
    </row>
    <row r="67" spans="2:3" x14ac:dyDescent="0.3">
      <c r="B67" s="117" t="s">
        <v>225</v>
      </c>
      <c r="C67" s="140">
        <v>1</v>
      </c>
    </row>
  </sheetData>
  <autoFilter ref="B1:E57"/>
  <sortState ref="B2:C57">
    <sortCondition ref="B1:B57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8"/>
  <sheetViews>
    <sheetView zoomScale="80" zoomScaleNormal="80" workbookViewId="0">
      <pane xSplit="3" ySplit="4" topLeftCell="D5" activePane="bottomRight" state="frozen"/>
      <selection activeCell="E20" sqref="E20"/>
      <selection pane="topRight" activeCell="E20" sqref="E20"/>
      <selection pane="bottomLeft" activeCell="E20" sqref="E20"/>
      <selection pane="bottomRight" activeCell="E20" sqref="E20"/>
    </sheetView>
  </sheetViews>
  <sheetFormatPr defaultRowHeight="14.4" x14ac:dyDescent="0.3"/>
  <cols>
    <col min="1" max="1" width="3.33203125" customWidth="1"/>
    <col min="2" max="3" width="13.33203125" customWidth="1"/>
    <col min="4" max="4" width="55.44140625" customWidth="1"/>
    <col min="5" max="5" width="27.44140625" customWidth="1"/>
    <col min="6" max="6" width="73" customWidth="1"/>
    <col min="7" max="7" width="14.5546875" customWidth="1"/>
    <col min="8" max="11" width="19.6640625" customWidth="1"/>
  </cols>
  <sheetData>
    <row r="1" spans="2:11" ht="5.25" customHeight="1" x14ac:dyDescent="0.3"/>
    <row r="2" spans="2:11" ht="21" x14ac:dyDescent="0.4">
      <c r="B2" s="32" t="s">
        <v>57</v>
      </c>
      <c r="C2" s="32"/>
    </row>
    <row r="3" spans="2:11" ht="6" customHeight="1" x14ac:dyDescent="0.3"/>
    <row r="4" spans="2:11" ht="45" customHeight="1" x14ac:dyDescent="0.3">
      <c r="B4" s="33" t="s">
        <v>60</v>
      </c>
      <c r="C4" s="33" t="s">
        <v>140</v>
      </c>
      <c r="D4" s="33" t="s">
        <v>61</v>
      </c>
      <c r="E4" s="33" t="s">
        <v>62</v>
      </c>
      <c r="F4" s="33" t="s">
        <v>63</v>
      </c>
      <c r="G4" s="33" t="s">
        <v>64</v>
      </c>
      <c r="H4" s="33" t="s">
        <v>190</v>
      </c>
      <c r="I4" s="33" t="s">
        <v>191</v>
      </c>
      <c r="J4" s="33" t="s">
        <v>192</v>
      </c>
      <c r="K4" s="33" t="s">
        <v>193</v>
      </c>
    </row>
    <row r="5" spans="2:11" ht="20.25" customHeight="1" x14ac:dyDescent="0.3">
      <c r="B5" s="505" t="s">
        <v>65</v>
      </c>
      <c r="C5" s="524" t="s">
        <v>147</v>
      </c>
      <c r="D5" s="38" t="s">
        <v>66</v>
      </c>
      <c r="E5" s="505" t="s">
        <v>68</v>
      </c>
      <c r="F5" s="505" t="s">
        <v>69</v>
      </c>
      <c r="G5" s="505" t="s">
        <v>70</v>
      </c>
      <c r="H5" s="505" t="s">
        <v>195</v>
      </c>
      <c r="I5" s="505" t="s">
        <v>194</v>
      </c>
      <c r="J5" s="505" t="s">
        <v>195</v>
      </c>
      <c r="K5" s="505" t="s">
        <v>195</v>
      </c>
    </row>
    <row r="6" spans="2:11" x14ac:dyDescent="0.3">
      <c r="B6" s="506"/>
      <c r="C6" s="525"/>
      <c r="D6" s="39" t="s">
        <v>67</v>
      </c>
      <c r="E6" s="506"/>
      <c r="F6" s="506"/>
      <c r="G6" s="506" t="s">
        <v>71</v>
      </c>
      <c r="H6" s="506"/>
      <c r="I6" s="506"/>
      <c r="J6" s="506"/>
      <c r="K6" s="506"/>
    </row>
    <row r="7" spans="2:11" ht="24" x14ac:dyDescent="0.3">
      <c r="B7" s="40" t="s">
        <v>58</v>
      </c>
      <c r="C7" s="41" t="s">
        <v>141</v>
      </c>
      <c r="D7" s="40" t="s">
        <v>72</v>
      </c>
      <c r="E7" s="42" t="s">
        <v>73</v>
      </c>
      <c r="F7" s="42" t="s">
        <v>75</v>
      </c>
      <c r="G7" s="43" t="s">
        <v>77</v>
      </c>
      <c r="H7" s="43" t="s">
        <v>210</v>
      </c>
      <c r="I7" s="43" t="s">
        <v>191</v>
      </c>
      <c r="J7" s="43" t="s">
        <v>196</v>
      </c>
      <c r="K7" s="43" t="s">
        <v>197</v>
      </c>
    </row>
    <row r="8" spans="2:11" ht="24" x14ac:dyDescent="0.3">
      <c r="B8" s="40" t="s">
        <v>59</v>
      </c>
      <c r="C8" s="41" t="s">
        <v>148</v>
      </c>
      <c r="D8" s="40" t="s">
        <v>78</v>
      </c>
      <c r="E8" s="44" t="s">
        <v>74</v>
      </c>
      <c r="F8" s="44" t="s">
        <v>76</v>
      </c>
      <c r="G8" s="43" t="s">
        <v>77</v>
      </c>
      <c r="H8" s="43" t="s">
        <v>210</v>
      </c>
      <c r="I8" s="43" t="s">
        <v>191</v>
      </c>
      <c r="J8" s="43" t="s">
        <v>196</v>
      </c>
      <c r="K8" s="43" t="s">
        <v>198</v>
      </c>
    </row>
    <row r="9" spans="2:11" ht="15" customHeight="1" x14ac:dyDescent="0.3">
      <c r="B9" s="507" t="s">
        <v>79</v>
      </c>
      <c r="C9" s="46" t="s">
        <v>141</v>
      </c>
      <c r="D9" s="45" t="s">
        <v>80</v>
      </c>
      <c r="E9" s="507" t="s">
        <v>82</v>
      </c>
      <c r="F9" s="507" t="s">
        <v>83</v>
      </c>
      <c r="G9" s="521" t="s">
        <v>77</v>
      </c>
      <c r="H9" s="521" t="s">
        <v>211</v>
      </c>
      <c r="I9" s="521" t="s">
        <v>199</v>
      </c>
      <c r="J9" s="521" t="s">
        <v>200</v>
      </c>
      <c r="K9" s="521" t="s">
        <v>198</v>
      </c>
    </row>
    <row r="10" spans="2:11" x14ac:dyDescent="0.3">
      <c r="B10" s="508"/>
      <c r="C10" s="48" t="s">
        <v>142</v>
      </c>
      <c r="D10" s="47" t="s">
        <v>81</v>
      </c>
      <c r="E10" s="508"/>
      <c r="F10" s="508"/>
      <c r="G10" s="522"/>
      <c r="H10" s="522"/>
      <c r="I10" s="522"/>
      <c r="J10" s="522"/>
      <c r="K10" s="522"/>
    </row>
    <row r="11" spans="2:11" x14ac:dyDescent="0.3">
      <c r="B11" s="509"/>
      <c r="C11" s="50" t="s">
        <v>143</v>
      </c>
      <c r="D11" s="49" t="s">
        <v>82</v>
      </c>
      <c r="E11" s="509"/>
      <c r="F11" s="509"/>
      <c r="G11" s="523"/>
      <c r="H11" s="523"/>
      <c r="I11" s="523"/>
      <c r="J11" s="523"/>
      <c r="K11" s="523"/>
    </row>
    <row r="12" spans="2:11" x14ac:dyDescent="0.3">
      <c r="B12" s="507" t="s">
        <v>84</v>
      </c>
      <c r="C12" s="51" t="s">
        <v>141</v>
      </c>
      <c r="D12" s="45" t="s">
        <v>85</v>
      </c>
      <c r="E12" s="507" t="s">
        <v>87</v>
      </c>
      <c r="F12" s="507" t="s">
        <v>88</v>
      </c>
      <c r="G12" s="521" t="s">
        <v>89</v>
      </c>
      <c r="H12" s="521" t="s">
        <v>211</v>
      </c>
      <c r="I12" s="521" t="s">
        <v>199</v>
      </c>
      <c r="J12" s="521" t="s">
        <v>201</v>
      </c>
      <c r="K12" s="521" t="s">
        <v>198</v>
      </c>
    </row>
    <row r="13" spans="2:11" x14ac:dyDescent="0.3">
      <c r="B13" s="508"/>
      <c r="C13" s="52" t="s">
        <v>142</v>
      </c>
      <c r="D13" s="47"/>
      <c r="E13" s="508"/>
      <c r="F13" s="508"/>
      <c r="G13" s="522"/>
      <c r="H13" s="522"/>
      <c r="I13" s="522"/>
      <c r="J13" s="522"/>
      <c r="K13" s="522"/>
    </row>
    <row r="14" spans="2:11" x14ac:dyDescent="0.3">
      <c r="B14" s="509"/>
      <c r="C14" s="53" t="s">
        <v>146</v>
      </c>
      <c r="D14" s="49" t="s">
        <v>86</v>
      </c>
      <c r="E14" s="509"/>
      <c r="F14" s="509"/>
      <c r="G14" s="523"/>
      <c r="H14" s="523"/>
      <c r="I14" s="523"/>
      <c r="J14" s="523"/>
      <c r="K14" s="523"/>
    </row>
    <row r="15" spans="2:11" x14ac:dyDescent="0.3">
      <c r="B15" s="512" t="s">
        <v>90</v>
      </c>
      <c r="C15" s="510" t="s">
        <v>142</v>
      </c>
      <c r="D15" s="54" t="s">
        <v>91</v>
      </c>
      <c r="E15" s="54" t="s">
        <v>73</v>
      </c>
      <c r="F15" s="54" t="s">
        <v>95</v>
      </c>
      <c r="G15" s="515" t="s">
        <v>89</v>
      </c>
      <c r="H15" s="515" t="s">
        <v>212</v>
      </c>
      <c r="I15" s="515" t="s">
        <v>199</v>
      </c>
      <c r="J15" s="515" t="s">
        <v>202</v>
      </c>
      <c r="K15" s="515" t="s">
        <v>203</v>
      </c>
    </row>
    <row r="16" spans="2:11" ht="24" x14ac:dyDescent="0.3">
      <c r="B16" s="513"/>
      <c r="C16" s="511"/>
      <c r="D16" s="56" t="s">
        <v>92</v>
      </c>
      <c r="E16" s="56" t="s">
        <v>93</v>
      </c>
      <c r="F16" s="56" t="s">
        <v>96</v>
      </c>
      <c r="G16" s="516"/>
      <c r="H16" s="516"/>
      <c r="I16" s="516"/>
      <c r="J16" s="516"/>
      <c r="K16" s="516"/>
    </row>
    <row r="17" spans="2:11" ht="15" customHeight="1" x14ac:dyDescent="0.3">
      <c r="B17" s="512" t="s">
        <v>105</v>
      </c>
      <c r="C17" s="55" t="s">
        <v>141</v>
      </c>
      <c r="D17" s="54" t="s">
        <v>91</v>
      </c>
      <c r="E17" s="56" t="s">
        <v>94</v>
      </c>
      <c r="F17" s="56" t="s">
        <v>97</v>
      </c>
      <c r="G17" s="515" t="s">
        <v>89</v>
      </c>
      <c r="H17" s="515" t="s">
        <v>212</v>
      </c>
      <c r="I17" s="515" t="s">
        <v>199</v>
      </c>
      <c r="J17" s="515" t="s">
        <v>202</v>
      </c>
      <c r="K17" s="515" t="s">
        <v>203</v>
      </c>
    </row>
    <row r="18" spans="2:11" x14ac:dyDescent="0.3">
      <c r="B18" s="513"/>
      <c r="C18" s="58" t="s">
        <v>149</v>
      </c>
      <c r="D18" s="56"/>
      <c r="E18" s="56"/>
      <c r="F18" s="56"/>
      <c r="G18" s="516"/>
      <c r="H18" s="516"/>
      <c r="I18" s="516"/>
      <c r="J18" s="516"/>
      <c r="K18" s="516"/>
    </row>
    <row r="19" spans="2:11" x14ac:dyDescent="0.3">
      <c r="B19" s="514"/>
      <c r="C19" s="58" t="s">
        <v>142</v>
      </c>
      <c r="D19" s="59" t="s">
        <v>106</v>
      </c>
      <c r="E19" s="60"/>
      <c r="F19" s="56" t="s">
        <v>98</v>
      </c>
      <c r="G19" s="517"/>
      <c r="H19" s="517"/>
      <c r="I19" s="517"/>
      <c r="J19" s="517"/>
      <c r="K19" s="517"/>
    </row>
    <row r="20" spans="2:11" x14ac:dyDescent="0.3">
      <c r="B20" s="512" t="s">
        <v>107</v>
      </c>
      <c r="C20" s="55" t="s">
        <v>141</v>
      </c>
      <c r="D20" s="54" t="s">
        <v>108</v>
      </c>
      <c r="E20" s="60"/>
      <c r="F20" s="56" t="s">
        <v>99</v>
      </c>
      <c r="G20" s="515" t="s">
        <v>89</v>
      </c>
      <c r="H20" s="515" t="s">
        <v>212</v>
      </c>
      <c r="I20" s="515" t="s">
        <v>199</v>
      </c>
      <c r="J20" s="515" t="s">
        <v>202</v>
      </c>
      <c r="K20" s="515" t="s">
        <v>203</v>
      </c>
    </row>
    <row r="21" spans="2:11" ht="24" customHeight="1" x14ac:dyDescent="0.3">
      <c r="B21" s="513"/>
      <c r="C21" s="57" t="s">
        <v>149</v>
      </c>
      <c r="D21" s="56" t="s">
        <v>109</v>
      </c>
      <c r="E21" s="60"/>
      <c r="F21" s="56" t="s">
        <v>100</v>
      </c>
      <c r="G21" s="516"/>
      <c r="H21" s="516"/>
      <c r="I21" s="516"/>
      <c r="J21" s="516"/>
      <c r="K21" s="516"/>
    </row>
    <row r="22" spans="2:11" x14ac:dyDescent="0.3">
      <c r="B22" s="514"/>
      <c r="C22" s="58" t="s">
        <v>142</v>
      </c>
      <c r="D22" s="59" t="s">
        <v>110</v>
      </c>
      <c r="E22" s="60"/>
      <c r="F22" s="56" t="s">
        <v>101</v>
      </c>
      <c r="G22" s="517"/>
      <c r="H22" s="517"/>
      <c r="I22" s="517"/>
      <c r="J22" s="517"/>
      <c r="K22" s="517"/>
    </row>
    <row r="23" spans="2:11" x14ac:dyDescent="0.3">
      <c r="B23" s="512" t="s">
        <v>111</v>
      </c>
      <c r="C23" s="55" t="s">
        <v>141</v>
      </c>
      <c r="D23" s="54" t="s">
        <v>112</v>
      </c>
      <c r="E23" s="60"/>
      <c r="F23" s="56" t="s">
        <v>102</v>
      </c>
      <c r="G23" s="515" t="s">
        <v>89</v>
      </c>
      <c r="H23" s="515" t="s">
        <v>212</v>
      </c>
      <c r="I23" s="515" t="s">
        <v>199</v>
      </c>
      <c r="J23" s="515" t="s">
        <v>202</v>
      </c>
      <c r="K23" s="515" t="s">
        <v>203</v>
      </c>
    </row>
    <row r="24" spans="2:11" x14ac:dyDescent="0.3">
      <c r="B24" s="513"/>
      <c r="C24" s="57" t="s">
        <v>149</v>
      </c>
      <c r="D24" s="56" t="s">
        <v>109</v>
      </c>
      <c r="E24" s="60"/>
      <c r="F24" s="56" t="s">
        <v>103</v>
      </c>
      <c r="G24" s="516"/>
      <c r="H24" s="516"/>
      <c r="I24" s="516"/>
      <c r="J24" s="516"/>
      <c r="K24" s="516"/>
    </row>
    <row r="25" spans="2:11" x14ac:dyDescent="0.3">
      <c r="B25" s="514"/>
      <c r="C25" s="58" t="s">
        <v>142</v>
      </c>
      <c r="D25" s="59" t="s">
        <v>110</v>
      </c>
      <c r="E25" s="60"/>
      <c r="F25" s="56" t="s">
        <v>104</v>
      </c>
      <c r="G25" s="517"/>
      <c r="H25" s="517"/>
      <c r="I25" s="517"/>
      <c r="J25" s="517"/>
      <c r="K25" s="517"/>
    </row>
    <row r="26" spans="2:11" x14ac:dyDescent="0.3">
      <c r="B26" s="512" t="s">
        <v>113</v>
      </c>
      <c r="C26" s="55" t="s">
        <v>141</v>
      </c>
      <c r="D26" s="54" t="s">
        <v>114</v>
      </c>
      <c r="E26" s="60"/>
      <c r="F26" s="60"/>
      <c r="G26" s="515" t="s">
        <v>89</v>
      </c>
      <c r="H26" s="515" t="s">
        <v>212</v>
      </c>
      <c r="I26" s="515" t="s">
        <v>199</v>
      </c>
      <c r="J26" s="515" t="s">
        <v>202</v>
      </c>
      <c r="K26" s="515" t="s">
        <v>203</v>
      </c>
    </row>
    <row r="27" spans="2:11" x14ac:dyDescent="0.3">
      <c r="B27" s="513"/>
      <c r="C27" s="57" t="s">
        <v>149</v>
      </c>
      <c r="D27" s="56" t="s">
        <v>109</v>
      </c>
      <c r="E27" s="60"/>
      <c r="F27" s="60"/>
      <c r="G27" s="516"/>
      <c r="H27" s="516"/>
      <c r="I27" s="516"/>
      <c r="J27" s="516"/>
      <c r="K27" s="516"/>
    </row>
    <row r="28" spans="2:11" x14ac:dyDescent="0.3">
      <c r="B28" s="514"/>
      <c r="C28" s="58" t="s">
        <v>142</v>
      </c>
      <c r="D28" s="59" t="s">
        <v>115</v>
      </c>
      <c r="E28" s="61"/>
      <c r="F28" s="61"/>
      <c r="G28" s="517"/>
      <c r="H28" s="517"/>
      <c r="I28" s="517"/>
      <c r="J28" s="517"/>
      <c r="K28" s="517"/>
    </row>
    <row r="29" spans="2:11" ht="28.8" x14ac:dyDescent="0.3">
      <c r="B29" s="518" t="s">
        <v>116</v>
      </c>
      <c r="C29" s="63" t="s">
        <v>152</v>
      </c>
      <c r="D29" s="62" t="s">
        <v>117</v>
      </c>
      <c r="E29" s="518" t="s">
        <v>119</v>
      </c>
      <c r="F29" s="518" t="s">
        <v>120</v>
      </c>
      <c r="G29" s="64" t="s">
        <v>121</v>
      </c>
      <c r="H29" s="527" t="s">
        <v>213</v>
      </c>
      <c r="I29" s="64" t="s">
        <v>199</v>
      </c>
      <c r="J29" s="64" t="s">
        <v>204</v>
      </c>
      <c r="K29" s="64" t="s">
        <v>205</v>
      </c>
    </row>
    <row r="30" spans="2:11" ht="24" x14ac:dyDescent="0.3">
      <c r="B30" s="519"/>
      <c r="C30" s="66" t="s">
        <v>153</v>
      </c>
      <c r="D30" s="65" t="s">
        <v>118</v>
      </c>
      <c r="E30" s="520"/>
      <c r="F30" s="520"/>
      <c r="G30" s="65" t="s">
        <v>122</v>
      </c>
      <c r="H30" s="528"/>
      <c r="I30" s="65"/>
      <c r="J30" s="65"/>
      <c r="K30" s="65"/>
    </row>
    <row r="31" spans="2:11" x14ac:dyDescent="0.3">
      <c r="B31" s="518" t="s">
        <v>123</v>
      </c>
      <c r="C31" s="68" t="s">
        <v>149</v>
      </c>
      <c r="D31" s="62" t="s">
        <v>124</v>
      </c>
      <c r="E31" s="520"/>
      <c r="F31" s="520"/>
      <c r="G31" s="64" t="s">
        <v>121</v>
      </c>
      <c r="H31" s="527" t="s">
        <v>213</v>
      </c>
      <c r="I31" s="64" t="s">
        <v>199</v>
      </c>
      <c r="J31" s="64" t="s">
        <v>206</v>
      </c>
      <c r="K31" s="64" t="s">
        <v>208</v>
      </c>
    </row>
    <row r="32" spans="2:11" ht="24" x14ac:dyDescent="0.3">
      <c r="B32" s="520"/>
      <c r="C32" s="67"/>
      <c r="D32" s="67" t="s">
        <v>125</v>
      </c>
      <c r="E32" s="520"/>
      <c r="F32" s="520"/>
      <c r="G32" s="67" t="s">
        <v>122</v>
      </c>
      <c r="H32" s="529"/>
      <c r="I32" s="67"/>
      <c r="J32" s="67" t="s">
        <v>207</v>
      </c>
      <c r="K32" s="67"/>
    </row>
    <row r="33" spans="2:11" ht="24" x14ac:dyDescent="0.3">
      <c r="B33" s="69" t="s">
        <v>126</v>
      </c>
      <c r="C33" s="70" t="s">
        <v>150</v>
      </c>
      <c r="D33" s="71" t="s">
        <v>127</v>
      </c>
      <c r="E33" s="69" t="s">
        <v>128</v>
      </c>
      <c r="F33" s="69" t="s">
        <v>129</v>
      </c>
      <c r="G33" s="72" t="s">
        <v>130</v>
      </c>
      <c r="H33" s="73" t="s">
        <v>213</v>
      </c>
      <c r="I33" s="73" t="s">
        <v>199</v>
      </c>
      <c r="J33" s="73" t="s">
        <v>195</v>
      </c>
      <c r="K33" s="73" t="s">
        <v>195</v>
      </c>
    </row>
    <row r="34" spans="2:11" ht="24" x14ac:dyDescent="0.3">
      <c r="B34" s="69" t="s">
        <v>131</v>
      </c>
      <c r="C34" s="70" t="s">
        <v>150</v>
      </c>
      <c r="D34" s="71" t="s">
        <v>132</v>
      </c>
      <c r="E34" s="69" t="s">
        <v>128</v>
      </c>
      <c r="F34" s="69" t="s">
        <v>133</v>
      </c>
      <c r="G34" s="72" t="s">
        <v>130</v>
      </c>
      <c r="H34" s="73" t="s">
        <v>213</v>
      </c>
      <c r="I34" s="73" t="s">
        <v>199</v>
      </c>
      <c r="J34" s="73" t="s">
        <v>195</v>
      </c>
      <c r="K34" s="73" t="s">
        <v>195</v>
      </c>
    </row>
    <row r="35" spans="2:11" x14ac:dyDescent="0.3">
      <c r="B35" s="503" t="s">
        <v>134</v>
      </c>
      <c r="C35" s="70" t="s">
        <v>215</v>
      </c>
      <c r="D35" s="69" t="s">
        <v>135</v>
      </c>
      <c r="E35" s="503" t="s">
        <v>137</v>
      </c>
      <c r="F35" s="503" t="s">
        <v>138</v>
      </c>
      <c r="G35" s="504" t="s">
        <v>139</v>
      </c>
      <c r="H35" s="526" t="s">
        <v>213</v>
      </c>
      <c r="I35" s="73" t="s">
        <v>199</v>
      </c>
      <c r="J35" s="73" t="s">
        <v>209</v>
      </c>
      <c r="K35" s="73" t="s">
        <v>208</v>
      </c>
    </row>
    <row r="36" spans="2:11" x14ac:dyDescent="0.3">
      <c r="B36" s="503"/>
      <c r="C36" s="70" t="s">
        <v>216</v>
      </c>
      <c r="D36" s="71" t="s">
        <v>136</v>
      </c>
      <c r="E36" s="503"/>
      <c r="F36" s="503"/>
      <c r="G36" s="504"/>
      <c r="H36" s="526"/>
      <c r="I36" s="73"/>
      <c r="J36" s="73"/>
      <c r="K36" s="73"/>
    </row>
    <row r="38" spans="2:11" x14ac:dyDescent="0.3">
      <c r="B38" t="s">
        <v>144</v>
      </c>
      <c r="C38" t="s">
        <v>145</v>
      </c>
    </row>
  </sheetData>
  <mergeCells count="67">
    <mergeCell ref="I5:I6"/>
    <mergeCell ref="J5:J6"/>
    <mergeCell ref="K5:K6"/>
    <mergeCell ref="I9:I11"/>
    <mergeCell ref="J9:J11"/>
    <mergeCell ref="K9:K11"/>
    <mergeCell ref="J23:J25"/>
    <mergeCell ref="K23:K25"/>
    <mergeCell ref="I26:I28"/>
    <mergeCell ref="J26:J28"/>
    <mergeCell ref="K26:K28"/>
    <mergeCell ref="I12:I14"/>
    <mergeCell ref="J12:J14"/>
    <mergeCell ref="K12:K14"/>
    <mergeCell ref="I15:I16"/>
    <mergeCell ref="J15:J16"/>
    <mergeCell ref="K15:K16"/>
    <mergeCell ref="I17:I19"/>
    <mergeCell ref="J17:J19"/>
    <mergeCell ref="K17:K19"/>
    <mergeCell ref="I20:I22"/>
    <mergeCell ref="J20:J22"/>
    <mergeCell ref="K20:K22"/>
    <mergeCell ref="H23:H25"/>
    <mergeCell ref="I23:I25"/>
    <mergeCell ref="H26:H28"/>
    <mergeCell ref="H35:H36"/>
    <mergeCell ref="H29:H30"/>
    <mergeCell ref="H31:H32"/>
    <mergeCell ref="H12:H14"/>
    <mergeCell ref="H15:H16"/>
    <mergeCell ref="H17:H19"/>
    <mergeCell ref="H20:H22"/>
    <mergeCell ref="C5:C6"/>
    <mergeCell ref="E5:E6"/>
    <mergeCell ref="F5:F6"/>
    <mergeCell ref="E9:E11"/>
    <mergeCell ref="F9:F11"/>
    <mergeCell ref="G5:G6"/>
    <mergeCell ref="H5:H6"/>
    <mergeCell ref="H9:H11"/>
    <mergeCell ref="G20:G22"/>
    <mergeCell ref="B23:B25"/>
    <mergeCell ref="G23:G25"/>
    <mergeCell ref="G9:G11"/>
    <mergeCell ref="B12:B14"/>
    <mergeCell ref="E12:E14"/>
    <mergeCell ref="F12:F14"/>
    <mergeCell ref="G12:G14"/>
    <mergeCell ref="B15:B16"/>
    <mergeCell ref="G15:G16"/>
    <mergeCell ref="B35:B36"/>
    <mergeCell ref="E35:E36"/>
    <mergeCell ref="F35:F36"/>
    <mergeCell ref="G35:G36"/>
    <mergeCell ref="B5:B6"/>
    <mergeCell ref="B9:B11"/>
    <mergeCell ref="C15:C16"/>
    <mergeCell ref="B26:B28"/>
    <mergeCell ref="G26:G28"/>
    <mergeCell ref="B29:B30"/>
    <mergeCell ref="E29:E32"/>
    <mergeCell ref="F29:F32"/>
    <mergeCell ref="B31:B32"/>
    <mergeCell ref="B17:B19"/>
    <mergeCell ref="G17:G19"/>
    <mergeCell ref="B20:B22"/>
  </mergeCells>
  <hyperlinks>
    <hyperlink ref="C5:C6" location="'Соло-ИТ'!A1" display="Соло"/>
    <hyperlink ref="C7" location="МикроГД!A1" display="МикроГД"/>
    <hyperlink ref="C8" location="МикроРСП!A1" display="МикроРСП"/>
    <hyperlink ref="C9" location="'Мал1-2ГД'!A1" display="ГД"/>
    <hyperlink ref="C10" location="'Мал1-2ФД'!A1" display="ФД"/>
    <hyperlink ref="C11" location="Мал1РН!A1" display="РукНапр"/>
    <hyperlink ref="C12" location="'Мал1-2ГД'!A1" display="ГД"/>
    <hyperlink ref="C13" location="'Мал1-2ФД'!A1" display="ФД"/>
    <hyperlink ref="C14" location="Мал2РПО!A1" display="РПО"/>
    <hyperlink ref="C15:C16" location="Ср1!A1" display="ФД"/>
    <hyperlink ref="C17" location="'Ср2-5ГД'!A1" display="ГД"/>
    <hyperlink ref="C20" location="'Ср2-5ГД'!A1" display="ГД"/>
    <hyperlink ref="C23" location="'Ср2-5ГД'!A1" display="ГД"/>
    <hyperlink ref="C26" location="'Ср2-5ГД'!A1" display="ГД"/>
    <hyperlink ref="C19" location="'Ср2-5ФД'!A1" display="ФД"/>
    <hyperlink ref="C21" location="'Ср3-5ДП'!A1" display="ДП"/>
    <hyperlink ref="C24" location="Ср4ДПр!A1" display="ДП"/>
    <hyperlink ref="C27" location="'Ср3-5ДП'!A1" display="ДП"/>
    <hyperlink ref="C18" location="Ср2ДП!A1" display="ДП"/>
    <hyperlink ref="C22" location="'Ср2-5ФД'!A1" display="ФД"/>
    <hyperlink ref="C25" location="'Ср2-5ФД'!A1" display="ФД"/>
    <hyperlink ref="C28" location="'Ср2-5ФД'!A1" display="ФД"/>
    <hyperlink ref="C29" location="Кр1ЗГД!A1" display="1-й зам ГД/Исполнительный директор"/>
    <hyperlink ref="C30" location="КрРЦ!A1" display="Руководители Центров"/>
    <hyperlink ref="C31" location="КрМшДПр!A1" display="ДП"/>
    <hyperlink ref="C33" location="Х1_ППО!A1" display="ППО"/>
    <hyperlink ref="C34" location="Х1_ППО!A1" display="ППО"/>
    <hyperlink ref="C35" location="Х2_ДИД!A1" display="ДИД"/>
    <hyperlink ref="C36" location="Х2_НИО!A1" display="НИО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B1:K53"/>
  <sheetViews>
    <sheetView topLeftCell="B1" zoomScale="70" zoomScaleNormal="70" workbookViewId="0">
      <selection activeCell="C5" sqref="C5"/>
    </sheetView>
  </sheetViews>
  <sheetFormatPr defaultRowHeight="14.4" x14ac:dyDescent="0.3"/>
  <cols>
    <col min="2" max="3" width="69" style="103" customWidth="1"/>
    <col min="4" max="4" width="6.88671875" customWidth="1"/>
    <col min="5" max="5" width="63.109375" customWidth="1"/>
    <col min="6" max="6" width="6.5546875" customWidth="1"/>
    <col min="7" max="7" width="6" customWidth="1"/>
    <col min="8" max="9" width="15.6640625" customWidth="1"/>
    <col min="10" max="10" width="30.6640625" customWidth="1"/>
    <col min="11" max="11" width="34.5546875" customWidth="1"/>
  </cols>
  <sheetData>
    <row r="1" spans="2:11" ht="15" thickBot="1" x14ac:dyDescent="0.35"/>
    <row r="2" spans="2:11" ht="15" thickBot="1" x14ac:dyDescent="0.35">
      <c r="B2" s="540" t="s">
        <v>15</v>
      </c>
      <c r="C2" s="541"/>
      <c r="D2" s="541"/>
      <c r="E2" s="541"/>
      <c r="F2" s="541"/>
      <c r="G2" s="541"/>
      <c r="H2" s="542"/>
      <c r="I2" s="543" t="s">
        <v>16</v>
      </c>
      <c r="J2" s="544"/>
      <c r="K2" s="542"/>
    </row>
    <row r="3" spans="2:11" ht="15" thickBot="1" x14ac:dyDescent="0.35">
      <c r="B3" s="167" t="s">
        <v>10</v>
      </c>
      <c r="C3" s="392" t="s">
        <v>717</v>
      </c>
      <c r="D3" s="360">
        <f>ROUND(AVERAGE(D6:D16),2)</f>
        <v>0.5</v>
      </c>
      <c r="E3" s="359" t="s">
        <v>0</v>
      </c>
      <c r="F3" s="365" t="s">
        <v>282</v>
      </c>
      <c r="G3" s="344">
        <f>AVERAGE(G4:G16)</f>
        <v>0.61111111111111116</v>
      </c>
      <c r="H3" s="545" t="s">
        <v>8</v>
      </c>
      <c r="I3" s="546"/>
      <c r="J3" s="203" t="s">
        <v>4</v>
      </c>
      <c r="K3" s="348" t="s">
        <v>13</v>
      </c>
    </row>
    <row r="4" spans="2:11" ht="57.6" x14ac:dyDescent="0.3">
      <c r="B4" s="362" t="s">
        <v>692</v>
      </c>
      <c r="C4" s="393" t="s">
        <v>694</v>
      </c>
      <c r="D4" s="360">
        <f>ROUND(AVERAGE(D8:D13),2)</f>
        <v>0.39</v>
      </c>
      <c r="E4" s="346" t="s">
        <v>617</v>
      </c>
      <c r="F4" s="166" t="s">
        <v>595</v>
      </c>
      <c r="G4" s="261">
        <v>0.8</v>
      </c>
      <c r="H4" s="547" t="s">
        <v>703</v>
      </c>
      <c r="I4" s="548"/>
      <c r="J4" s="551" t="s">
        <v>641</v>
      </c>
      <c r="K4" s="552" t="s">
        <v>702</v>
      </c>
    </row>
    <row r="5" spans="2:11" ht="43.2" x14ac:dyDescent="0.3">
      <c r="B5" s="366" t="s">
        <v>616</v>
      </c>
      <c r="C5" s="393" t="s">
        <v>688</v>
      </c>
      <c r="D5" s="400"/>
      <c r="E5" s="346"/>
      <c r="F5" s="166"/>
      <c r="G5" s="401"/>
      <c r="H5" s="547"/>
      <c r="I5" s="548"/>
      <c r="J5" s="551"/>
      <c r="K5" s="551"/>
    </row>
    <row r="6" spans="2:11" ht="28.8" x14ac:dyDescent="0.3">
      <c r="B6" s="366" t="s">
        <v>693</v>
      </c>
      <c r="C6" s="399" t="s">
        <v>691</v>
      </c>
      <c r="D6" s="261">
        <f>AVERAGE(G4,G7)</f>
        <v>0.8</v>
      </c>
      <c r="E6" s="346" t="s">
        <v>615</v>
      </c>
      <c r="F6" s="369"/>
      <c r="G6" s="370"/>
      <c r="H6" s="547"/>
      <c r="I6" s="548"/>
      <c r="J6" s="551"/>
      <c r="K6" s="551"/>
    </row>
    <row r="7" spans="2:11" ht="28.8" x14ac:dyDescent="0.3">
      <c r="B7" s="366" t="s">
        <v>695</v>
      </c>
      <c r="C7" s="399" t="s">
        <v>698</v>
      </c>
      <c r="D7" s="261"/>
      <c r="E7" s="363" t="s">
        <v>697</v>
      </c>
      <c r="F7" s="361" t="s">
        <v>595</v>
      </c>
      <c r="G7" s="261">
        <v>0.8</v>
      </c>
      <c r="H7" s="547"/>
      <c r="I7" s="548"/>
      <c r="J7" s="551"/>
      <c r="K7" s="551"/>
    </row>
    <row r="8" spans="2:11" ht="43.2" x14ac:dyDescent="0.3">
      <c r="B8" s="366" t="s">
        <v>696</v>
      </c>
      <c r="C8" s="394" t="s">
        <v>689</v>
      </c>
      <c r="D8" s="261">
        <f>AVERAGE(G10,G9,G11,G12,G13)</f>
        <v>0.68</v>
      </c>
      <c r="E8" s="363"/>
      <c r="F8" s="361"/>
      <c r="G8" s="261"/>
      <c r="H8" s="547"/>
      <c r="I8" s="548"/>
      <c r="J8" s="551"/>
      <c r="K8" s="551"/>
    </row>
    <row r="9" spans="2:11" x14ac:dyDescent="0.3">
      <c r="B9" s="366" t="s">
        <v>575</v>
      </c>
      <c r="C9" s="394" t="s">
        <v>699</v>
      </c>
      <c r="D9" s="261">
        <f>AVERAGE(G14)</f>
        <v>0</v>
      </c>
      <c r="E9" s="346" t="s">
        <v>592</v>
      </c>
      <c r="F9" s="166" t="s">
        <v>596</v>
      </c>
      <c r="G9" s="164">
        <v>0.8</v>
      </c>
      <c r="H9" s="547"/>
      <c r="I9" s="548"/>
      <c r="J9" s="551"/>
      <c r="K9" s="551"/>
    </row>
    <row r="10" spans="2:11" ht="43.2" x14ac:dyDescent="0.3">
      <c r="B10" s="362" t="s">
        <v>593</v>
      </c>
      <c r="C10" s="395" t="s">
        <v>700</v>
      </c>
      <c r="D10" s="371"/>
      <c r="E10" s="346" t="s">
        <v>584</v>
      </c>
      <c r="F10" s="130" t="s">
        <v>596</v>
      </c>
      <c r="G10" s="131">
        <v>0.5</v>
      </c>
      <c r="H10" s="547"/>
      <c r="I10" s="548"/>
      <c r="J10" s="551"/>
      <c r="K10" s="551"/>
    </row>
    <row r="11" spans="2:11" ht="43.2" x14ac:dyDescent="0.3">
      <c r="B11" s="224" t="s">
        <v>594</v>
      </c>
      <c r="C11" s="396" t="s">
        <v>701</v>
      </c>
      <c r="D11" s="164"/>
      <c r="E11" s="346" t="s">
        <v>538</v>
      </c>
      <c r="F11" s="130" t="s">
        <v>596</v>
      </c>
      <c r="G11" s="131">
        <v>0.5</v>
      </c>
      <c r="H11" s="547"/>
      <c r="I11" s="548"/>
      <c r="J11" s="551"/>
      <c r="K11" s="551"/>
    </row>
    <row r="12" spans="2:11" x14ac:dyDescent="0.3">
      <c r="E12" s="346" t="s">
        <v>539</v>
      </c>
      <c r="F12" s="166" t="s">
        <v>596</v>
      </c>
      <c r="G12" s="164">
        <v>0.8</v>
      </c>
      <c r="H12" s="547"/>
      <c r="I12" s="548"/>
      <c r="J12" s="551"/>
      <c r="K12" s="551"/>
    </row>
    <row r="13" spans="2:11" x14ac:dyDescent="0.3">
      <c r="B13" s="366" t="s">
        <v>585</v>
      </c>
      <c r="C13" s="394" t="s">
        <v>690</v>
      </c>
      <c r="D13" s="261">
        <f>AVERAGE(G15)</f>
        <v>0.5</v>
      </c>
      <c r="E13" s="346" t="s">
        <v>540</v>
      </c>
      <c r="F13" s="130" t="s">
        <v>596</v>
      </c>
      <c r="G13" s="131">
        <v>0.8</v>
      </c>
      <c r="H13" s="547"/>
      <c r="I13" s="548"/>
      <c r="J13" s="551"/>
      <c r="K13" s="551"/>
    </row>
    <row r="14" spans="2:11" x14ac:dyDescent="0.3">
      <c r="B14" s="170"/>
      <c r="C14" s="397"/>
      <c r="E14" s="346" t="s">
        <v>572</v>
      </c>
      <c r="F14" s="166" t="s">
        <v>597</v>
      </c>
      <c r="G14" s="164">
        <v>0</v>
      </c>
      <c r="H14" s="547"/>
      <c r="I14" s="548"/>
      <c r="J14" s="551"/>
      <c r="K14" s="551"/>
    </row>
    <row r="15" spans="2:11" x14ac:dyDescent="0.3">
      <c r="B15" s="170"/>
      <c r="C15" s="397"/>
      <c r="E15" s="346" t="s">
        <v>583</v>
      </c>
      <c r="F15" s="166" t="s">
        <v>598</v>
      </c>
      <c r="G15" s="131">
        <v>0.5</v>
      </c>
      <c r="H15" s="547"/>
      <c r="I15" s="548"/>
      <c r="J15" s="551"/>
      <c r="K15" s="551"/>
    </row>
    <row r="16" spans="2:11" ht="133.5" customHeight="1" thickBot="1" x14ac:dyDescent="0.35">
      <c r="B16" s="170"/>
      <c r="C16" s="397"/>
      <c r="D16" s="171"/>
      <c r="F16" s="130"/>
      <c r="G16" s="364"/>
      <c r="H16" s="547"/>
      <c r="I16" s="548"/>
      <c r="J16" s="551"/>
      <c r="K16" s="551"/>
    </row>
    <row r="17" spans="2:11" x14ac:dyDescent="0.3">
      <c r="B17" s="129" t="s">
        <v>9</v>
      </c>
      <c r="C17" s="374"/>
      <c r="D17" s="205"/>
      <c r="E17" s="351" t="s">
        <v>1</v>
      </c>
      <c r="F17" s="352"/>
      <c r="G17" s="353"/>
      <c r="H17" s="547"/>
      <c r="I17" s="548"/>
      <c r="J17" s="207" t="s">
        <v>5</v>
      </c>
      <c r="K17" s="203" t="s">
        <v>14</v>
      </c>
    </row>
    <row r="18" spans="2:11" ht="115.8" thickBot="1" x14ac:dyDescent="0.35">
      <c r="B18" s="349" t="s">
        <v>587</v>
      </c>
      <c r="C18" s="398"/>
      <c r="D18" s="350"/>
      <c r="E18" s="354" t="s">
        <v>20</v>
      </c>
      <c r="F18" s="355"/>
      <c r="G18" s="356"/>
      <c r="H18" s="549"/>
      <c r="I18" s="550"/>
      <c r="J18" s="357"/>
      <c r="K18" s="358" t="s">
        <v>624</v>
      </c>
    </row>
    <row r="19" spans="2:11" x14ac:dyDescent="0.3">
      <c r="B19" s="530" t="s">
        <v>2</v>
      </c>
      <c r="C19" s="531"/>
      <c r="D19" s="531"/>
      <c r="E19" s="531"/>
      <c r="F19" s="531"/>
      <c r="G19" s="531"/>
      <c r="H19" s="532"/>
      <c r="I19" s="533" t="s">
        <v>3</v>
      </c>
      <c r="J19" s="531"/>
      <c r="K19" s="534"/>
    </row>
    <row r="20" spans="2:11" ht="15" thickBot="1" x14ac:dyDescent="0.35">
      <c r="B20" s="535"/>
      <c r="C20" s="536"/>
      <c r="D20" s="536"/>
      <c r="E20" s="536"/>
      <c r="F20" s="536"/>
      <c r="G20" s="536"/>
      <c r="H20" s="537"/>
      <c r="I20" s="538"/>
      <c r="J20" s="536"/>
      <c r="K20" s="539"/>
    </row>
    <row r="22" spans="2:11" x14ac:dyDescent="0.3">
      <c r="B22" s="121" t="s">
        <v>227</v>
      </c>
      <c r="C22" s="121"/>
      <c r="D22" s="1"/>
      <c r="E22" s="1" t="s">
        <v>223</v>
      </c>
      <c r="F22" s="136">
        <v>0</v>
      </c>
      <c r="H22" s="1" t="s">
        <v>578</v>
      </c>
    </row>
    <row r="23" spans="2:11" x14ac:dyDescent="0.3">
      <c r="B23" s="122" t="s">
        <v>228</v>
      </c>
      <c r="C23" s="122"/>
      <c r="D23" s="114"/>
      <c r="E23" s="114" t="s">
        <v>224</v>
      </c>
      <c r="F23" s="137">
        <v>0.1</v>
      </c>
    </row>
    <row r="24" spans="2:11" x14ac:dyDescent="0.3">
      <c r="B24" s="107" t="s">
        <v>226</v>
      </c>
      <c r="C24" s="107"/>
      <c r="D24" s="116"/>
      <c r="E24" s="115" t="s">
        <v>230</v>
      </c>
      <c r="F24" s="138">
        <v>0.5</v>
      </c>
    </row>
    <row r="25" spans="2:11" x14ac:dyDescent="0.3">
      <c r="B25" s="121"/>
      <c r="C25" s="121"/>
      <c r="D25" s="1"/>
      <c r="E25" s="116" t="s">
        <v>229</v>
      </c>
      <c r="F25" s="139">
        <v>0.8</v>
      </c>
    </row>
    <row r="26" spans="2:11" x14ac:dyDescent="0.3">
      <c r="B26" s="121"/>
      <c r="C26" s="121"/>
      <c r="D26" s="1"/>
      <c r="E26" s="117" t="s">
        <v>225</v>
      </c>
      <c r="F26" s="140">
        <v>1</v>
      </c>
      <c r="H26" t="s">
        <v>623</v>
      </c>
    </row>
    <row r="31" spans="2:11" ht="16.8" x14ac:dyDescent="0.3">
      <c r="B31" s="103" t="s">
        <v>573</v>
      </c>
      <c r="E31" s="330" t="s">
        <v>532</v>
      </c>
    </row>
    <row r="32" spans="2:11" ht="28.8" x14ac:dyDescent="0.3">
      <c r="B32" s="103" t="s">
        <v>577</v>
      </c>
      <c r="E32" s="330" t="s">
        <v>533</v>
      </c>
    </row>
    <row r="33" spans="2:5" ht="28.8" x14ac:dyDescent="0.3">
      <c r="B33" s="345" t="s">
        <v>574</v>
      </c>
      <c r="C33" s="345"/>
      <c r="E33" s="327"/>
    </row>
    <row r="34" spans="2:5" ht="57.6" x14ac:dyDescent="0.3">
      <c r="B34" s="345" t="s">
        <v>576</v>
      </c>
      <c r="C34" s="345"/>
      <c r="E34" s="330" t="s">
        <v>534</v>
      </c>
    </row>
    <row r="35" spans="2:5" x14ac:dyDescent="0.3">
      <c r="B35" s="345" t="s">
        <v>575</v>
      </c>
      <c r="C35" s="345"/>
      <c r="E35" s="327"/>
    </row>
    <row r="36" spans="2:5" ht="33.6" x14ac:dyDescent="0.3">
      <c r="E36" s="330" t="s">
        <v>535</v>
      </c>
    </row>
    <row r="37" spans="2:5" ht="16.8" x14ac:dyDescent="0.3">
      <c r="E37" s="330" t="s">
        <v>536</v>
      </c>
    </row>
    <row r="38" spans="2:5" ht="33.6" x14ac:dyDescent="0.3">
      <c r="E38" s="330" t="s">
        <v>537</v>
      </c>
    </row>
    <row r="39" spans="2:5" ht="16.8" x14ac:dyDescent="0.3">
      <c r="E39" s="330" t="s">
        <v>538</v>
      </c>
    </row>
    <row r="40" spans="2:5" ht="16.8" x14ac:dyDescent="0.3">
      <c r="E40" s="330" t="s">
        <v>539</v>
      </c>
    </row>
    <row r="41" spans="2:5" x14ac:dyDescent="0.3">
      <c r="E41" s="331"/>
    </row>
    <row r="42" spans="2:5" ht="16.8" x14ac:dyDescent="0.3">
      <c r="E42" s="330" t="s">
        <v>540</v>
      </c>
    </row>
    <row r="43" spans="2:5" x14ac:dyDescent="0.3">
      <c r="E43" s="328"/>
    </row>
    <row r="44" spans="2:5" x14ac:dyDescent="0.3">
      <c r="E44" s="329"/>
    </row>
    <row r="46" spans="2:5" x14ac:dyDescent="0.3">
      <c r="B46" s="367" t="s">
        <v>600</v>
      </c>
      <c r="C46" s="367"/>
    </row>
    <row r="47" spans="2:5" x14ac:dyDescent="0.3">
      <c r="B47" s="103" t="s">
        <v>603</v>
      </c>
    </row>
    <row r="48" spans="2:5" x14ac:dyDescent="0.3">
      <c r="B48" s="103" t="s">
        <v>606</v>
      </c>
    </row>
    <row r="49" spans="2:3" x14ac:dyDescent="0.3">
      <c r="B49" s="367" t="s">
        <v>601</v>
      </c>
      <c r="C49" s="367"/>
    </row>
    <row r="50" spans="2:3" x14ac:dyDescent="0.3">
      <c r="B50" s="103" t="s">
        <v>604</v>
      </c>
    </row>
    <row r="51" spans="2:3" x14ac:dyDescent="0.3">
      <c r="B51" s="103" t="s">
        <v>605</v>
      </c>
    </row>
    <row r="52" spans="2:3" x14ac:dyDescent="0.3">
      <c r="B52" s="367" t="s">
        <v>602</v>
      </c>
      <c r="C52" s="367"/>
    </row>
    <row r="53" spans="2:3" x14ac:dyDescent="0.3">
      <c r="B53" s="103" t="s">
        <v>607</v>
      </c>
    </row>
  </sheetData>
  <mergeCells count="10">
    <mergeCell ref="B19:H19"/>
    <mergeCell ref="I19:K19"/>
    <mergeCell ref="B20:H20"/>
    <mergeCell ref="I20:K20"/>
    <mergeCell ref="B2:H2"/>
    <mergeCell ref="I2:K2"/>
    <mergeCell ref="H3:I3"/>
    <mergeCell ref="H4:I18"/>
    <mergeCell ref="J4:J16"/>
    <mergeCell ref="K4:K16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B1:J53"/>
  <sheetViews>
    <sheetView topLeftCell="B1" zoomScale="70" zoomScaleNormal="70" workbookViewId="0">
      <selection activeCell="G4" sqref="G4:H18"/>
    </sheetView>
  </sheetViews>
  <sheetFormatPr defaultRowHeight="14.4" x14ac:dyDescent="0.3"/>
  <cols>
    <col min="2" max="2" width="69" style="103" customWidth="1"/>
    <col min="3" max="3" width="6.88671875" customWidth="1"/>
    <col min="4" max="4" width="63.109375" customWidth="1"/>
    <col min="5" max="5" width="6.5546875" customWidth="1"/>
    <col min="6" max="6" width="6" customWidth="1"/>
    <col min="7" max="8" width="15.6640625" customWidth="1"/>
    <col min="9" max="9" width="30.6640625" customWidth="1"/>
    <col min="10" max="10" width="34.554687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ht="15" thickBot="1" x14ac:dyDescent="0.35">
      <c r="B3" s="167" t="s">
        <v>10</v>
      </c>
      <c r="C3" s="638"/>
      <c r="D3" s="359" t="s">
        <v>0</v>
      </c>
      <c r="E3" s="365" t="s">
        <v>282</v>
      </c>
      <c r="F3" s="344">
        <f>AVERAGE(F4:F16)</f>
        <v>0.61111111111111116</v>
      </c>
      <c r="G3" s="545" t="s">
        <v>8</v>
      </c>
      <c r="H3" s="546"/>
      <c r="I3" s="203" t="s">
        <v>4</v>
      </c>
      <c r="J3" s="348" t="s">
        <v>13</v>
      </c>
    </row>
    <row r="4" spans="2:10" ht="28.8" x14ac:dyDescent="0.3">
      <c r="B4" s="634" t="s">
        <v>704</v>
      </c>
      <c r="C4" s="639"/>
      <c r="D4" s="346" t="s">
        <v>707</v>
      </c>
      <c r="E4" s="166"/>
      <c r="F4" s="261">
        <v>0.8</v>
      </c>
      <c r="G4" s="547" t="s">
        <v>716</v>
      </c>
      <c r="H4" s="548"/>
      <c r="I4" s="551" t="s">
        <v>641</v>
      </c>
      <c r="J4" s="552" t="s">
        <v>702</v>
      </c>
    </row>
    <row r="5" spans="2:10" ht="57.6" x14ac:dyDescent="0.3">
      <c r="B5" s="644" t="s">
        <v>705</v>
      </c>
      <c r="C5" s="639"/>
      <c r="D5" s="346" t="s">
        <v>708</v>
      </c>
      <c r="E5" s="166"/>
      <c r="F5" s="401"/>
      <c r="G5" s="547"/>
      <c r="H5" s="548"/>
      <c r="I5" s="551"/>
      <c r="J5" s="551"/>
    </row>
    <row r="6" spans="2:10" ht="57.6" x14ac:dyDescent="0.3">
      <c r="B6" s="644" t="s">
        <v>710</v>
      </c>
      <c r="C6" s="640"/>
      <c r="D6" s="346" t="s">
        <v>709</v>
      </c>
      <c r="E6" s="379"/>
      <c r="F6" s="643"/>
      <c r="G6" s="547"/>
      <c r="H6" s="548"/>
      <c r="I6" s="551"/>
      <c r="J6" s="551"/>
    </row>
    <row r="7" spans="2:10" ht="100.8" x14ac:dyDescent="0.3">
      <c r="B7" s="644" t="s">
        <v>711</v>
      </c>
      <c r="C7" s="640"/>
      <c r="D7" s="645" t="s">
        <v>715</v>
      </c>
      <c r="E7" s="361"/>
      <c r="F7" s="261">
        <v>0.8</v>
      </c>
      <c r="G7" s="547"/>
      <c r="H7" s="548"/>
      <c r="I7" s="551"/>
      <c r="J7" s="551"/>
    </row>
    <row r="8" spans="2:10" ht="43.2" x14ac:dyDescent="0.3">
      <c r="B8" s="644" t="s">
        <v>712</v>
      </c>
      <c r="C8" s="640"/>
      <c r="D8" s="645" t="s">
        <v>713</v>
      </c>
      <c r="E8" s="361"/>
      <c r="F8" s="261"/>
      <c r="G8" s="547"/>
      <c r="H8" s="548"/>
      <c r="I8" s="551"/>
      <c r="J8" s="551"/>
    </row>
    <row r="9" spans="2:10" ht="28.8" x14ac:dyDescent="0.3">
      <c r="B9" s="644" t="s">
        <v>706</v>
      </c>
      <c r="C9" s="640"/>
      <c r="D9" s="346" t="s">
        <v>714</v>
      </c>
      <c r="E9" s="166"/>
      <c r="F9" s="164">
        <v>0.8</v>
      </c>
      <c r="G9" s="547"/>
      <c r="H9" s="548"/>
      <c r="I9" s="551"/>
      <c r="J9" s="551"/>
    </row>
    <row r="10" spans="2:10" x14ac:dyDescent="0.3">
      <c r="B10" s="634"/>
      <c r="C10" s="642"/>
      <c r="D10" s="346"/>
      <c r="E10" s="130"/>
      <c r="F10" s="131">
        <v>0.5</v>
      </c>
      <c r="G10" s="547"/>
      <c r="H10" s="548"/>
      <c r="I10" s="551"/>
      <c r="J10" s="551"/>
    </row>
    <row r="11" spans="2:10" x14ac:dyDescent="0.3">
      <c r="B11" s="636"/>
      <c r="C11" s="641"/>
      <c r="D11" s="346"/>
      <c r="E11" s="130"/>
      <c r="F11" s="131">
        <v>0.5</v>
      </c>
      <c r="G11" s="547"/>
      <c r="H11" s="548"/>
      <c r="I11" s="551"/>
      <c r="J11" s="551"/>
    </row>
    <row r="12" spans="2:10" x14ac:dyDescent="0.3">
      <c r="C12" s="21"/>
      <c r="D12" s="346"/>
      <c r="E12" s="166"/>
      <c r="F12" s="164">
        <v>0.8</v>
      </c>
      <c r="G12" s="547"/>
      <c r="H12" s="548"/>
      <c r="I12" s="551"/>
      <c r="J12" s="551"/>
    </row>
    <row r="13" spans="2:10" x14ac:dyDescent="0.3">
      <c r="B13" s="635"/>
      <c r="C13" s="640"/>
      <c r="D13" s="346"/>
      <c r="E13" s="130"/>
      <c r="F13" s="131">
        <v>0.8</v>
      </c>
      <c r="G13" s="547"/>
      <c r="H13" s="548"/>
      <c r="I13" s="551"/>
      <c r="J13" s="551"/>
    </row>
    <row r="14" spans="2:10" x14ac:dyDescent="0.3">
      <c r="B14" s="637"/>
      <c r="C14" s="21"/>
      <c r="D14" s="346"/>
      <c r="E14" s="166"/>
      <c r="F14" s="164">
        <v>0</v>
      </c>
      <c r="G14" s="547"/>
      <c r="H14" s="548"/>
      <c r="I14" s="551"/>
      <c r="J14" s="551"/>
    </row>
    <row r="15" spans="2:10" x14ac:dyDescent="0.3">
      <c r="B15" s="637"/>
      <c r="C15" s="21"/>
      <c r="D15" s="346"/>
      <c r="E15" s="166"/>
      <c r="F15" s="131">
        <v>0.5</v>
      </c>
      <c r="G15" s="547"/>
      <c r="H15" s="548"/>
      <c r="I15" s="551"/>
      <c r="J15" s="551"/>
    </row>
    <row r="16" spans="2:10" ht="133.5" customHeight="1" thickBot="1" x14ac:dyDescent="0.35">
      <c r="B16" s="170"/>
      <c r="C16" s="171"/>
      <c r="E16" s="130"/>
      <c r="F16" s="364"/>
      <c r="G16" s="547"/>
      <c r="H16" s="548"/>
      <c r="I16" s="551"/>
      <c r="J16" s="551"/>
    </row>
    <row r="17" spans="2:10" x14ac:dyDescent="0.3">
      <c r="B17" s="129" t="s">
        <v>9</v>
      </c>
      <c r="C17" s="205"/>
      <c r="D17" s="351" t="s">
        <v>1</v>
      </c>
      <c r="E17" s="352"/>
      <c r="F17" s="353"/>
      <c r="G17" s="547"/>
      <c r="H17" s="548"/>
      <c r="I17" s="207" t="s">
        <v>5</v>
      </c>
      <c r="J17" s="203" t="s">
        <v>14</v>
      </c>
    </row>
    <row r="18" spans="2:10" ht="115.8" thickBot="1" x14ac:dyDescent="0.35">
      <c r="B18" s="349" t="s">
        <v>587</v>
      </c>
      <c r="C18" s="350"/>
      <c r="D18" s="354" t="s">
        <v>20</v>
      </c>
      <c r="E18" s="355"/>
      <c r="F18" s="356"/>
      <c r="G18" s="549"/>
      <c r="H18" s="550"/>
      <c r="I18" s="357"/>
      <c r="J18" s="358" t="s">
        <v>624</v>
      </c>
    </row>
    <row r="19" spans="2:10" x14ac:dyDescent="0.3">
      <c r="B19" s="530" t="s">
        <v>2</v>
      </c>
      <c r="C19" s="531"/>
      <c r="D19" s="531"/>
      <c r="E19" s="531"/>
      <c r="F19" s="531"/>
      <c r="G19" s="532"/>
      <c r="H19" s="533" t="s">
        <v>3</v>
      </c>
      <c r="I19" s="531"/>
      <c r="J19" s="534"/>
    </row>
    <row r="20" spans="2:10" ht="15" thickBot="1" x14ac:dyDescent="0.35">
      <c r="B20" s="535"/>
      <c r="C20" s="536"/>
      <c r="D20" s="536"/>
      <c r="E20" s="536"/>
      <c r="F20" s="536"/>
      <c r="G20" s="537"/>
      <c r="H20" s="538"/>
      <c r="I20" s="536"/>
      <c r="J20" s="539"/>
    </row>
    <row r="22" spans="2:10" x14ac:dyDescent="0.3">
      <c r="B22" s="121" t="s">
        <v>227</v>
      </c>
      <c r="C22" s="1"/>
      <c r="D22" s="1" t="s">
        <v>223</v>
      </c>
      <c r="E22" s="136">
        <v>0</v>
      </c>
      <c r="G22" s="1" t="s">
        <v>578</v>
      </c>
    </row>
    <row r="23" spans="2:10" x14ac:dyDescent="0.3">
      <c r="B23" s="122" t="s">
        <v>228</v>
      </c>
      <c r="C23" s="114"/>
      <c r="D23" s="114" t="s">
        <v>224</v>
      </c>
      <c r="E23" s="137">
        <v>0.1</v>
      </c>
    </row>
    <row r="24" spans="2:10" x14ac:dyDescent="0.3">
      <c r="B24" s="107" t="s">
        <v>226</v>
      </c>
      <c r="C24" s="116"/>
      <c r="D24" s="115" t="s">
        <v>230</v>
      </c>
      <c r="E24" s="138">
        <v>0.5</v>
      </c>
    </row>
    <row r="25" spans="2:10" x14ac:dyDescent="0.3">
      <c r="B25" s="121"/>
      <c r="C25" s="1"/>
      <c r="D25" s="116" t="s">
        <v>229</v>
      </c>
      <c r="E25" s="139">
        <v>0.8</v>
      </c>
    </row>
    <row r="26" spans="2:10" x14ac:dyDescent="0.3">
      <c r="B26" s="121"/>
      <c r="C26" s="1"/>
      <c r="D26" s="117" t="s">
        <v>225</v>
      </c>
      <c r="E26" s="140">
        <v>1</v>
      </c>
      <c r="G26" t="s">
        <v>623</v>
      </c>
    </row>
    <row r="31" spans="2:10" ht="16.8" x14ac:dyDescent="0.3">
      <c r="B31" s="103" t="s">
        <v>573</v>
      </c>
      <c r="D31" s="330" t="s">
        <v>532</v>
      </c>
    </row>
    <row r="32" spans="2:10" ht="28.8" x14ac:dyDescent="0.3">
      <c r="B32" s="103" t="s">
        <v>577</v>
      </c>
      <c r="D32" s="330" t="s">
        <v>533</v>
      </c>
    </row>
    <row r="33" spans="2:4" ht="28.8" x14ac:dyDescent="0.3">
      <c r="B33" s="345" t="s">
        <v>574</v>
      </c>
      <c r="D33" s="327"/>
    </row>
    <row r="34" spans="2:4" ht="57.6" x14ac:dyDescent="0.3">
      <c r="B34" s="345" t="s">
        <v>576</v>
      </c>
      <c r="D34" s="330" t="s">
        <v>534</v>
      </c>
    </row>
    <row r="35" spans="2:4" x14ac:dyDescent="0.3">
      <c r="B35" s="345" t="s">
        <v>575</v>
      </c>
      <c r="D35" s="327"/>
    </row>
    <row r="36" spans="2:4" ht="33.6" x14ac:dyDescent="0.3">
      <c r="D36" s="330" t="s">
        <v>535</v>
      </c>
    </row>
    <row r="37" spans="2:4" ht="16.8" x14ac:dyDescent="0.3">
      <c r="D37" s="330" t="s">
        <v>536</v>
      </c>
    </row>
    <row r="38" spans="2:4" ht="33.6" x14ac:dyDescent="0.3">
      <c r="D38" s="330" t="s">
        <v>537</v>
      </c>
    </row>
    <row r="39" spans="2:4" ht="16.8" x14ac:dyDescent="0.3">
      <c r="D39" s="330" t="s">
        <v>538</v>
      </c>
    </row>
    <row r="40" spans="2:4" ht="16.8" x14ac:dyDescent="0.3">
      <c r="D40" s="330" t="s">
        <v>539</v>
      </c>
    </row>
    <row r="41" spans="2:4" x14ac:dyDescent="0.3">
      <c r="D41" s="331"/>
    </row>
    <row r="42" spans="2:4" ht="16.8" x14ac:dyDescent="0.3">
      <c r="D42" s="330" t="s">
        <v>540</v>
      </c>
    </row>
    <row r="43" spans="2:4" x14ac:dyDescent="0.3">
      <c r="D43" s="328"/>
    </row>
    <row r="44" spans="2:4" x14ac:dyDescent="0.3">
      <c r="D44" s="329"/>
    </row>
    <row r="46" spans="2:4" x14ac:dyDescent="0.3">
      <c r="B46" s="367" t="s">
        <v>600</v>
      </c>
    </row>
    <row r="47" spans="2:4" x14ac:dyDescent="0.3">
      <c r="B47" s="103" t="s">
        <v>603</v>
      </c>
    </row>
    <row r="48" spans="2:4" x14ac:dyDescent="0.3">
      <c r="B48" s="103" t="s">
        <v>606</v>
      </c>
    </row>
    <row r="49" spans="2:2" x14ac:dyDescent="0.3">
      <c r="B49" s="367" t="s">
        <v>601</v>
      </c>
    </row>
    <row r="50" spans="2:2" x14ac:dyDescent="0.3">
      <c r="B50" s="103" t="s">
        <v>604</v>
      </c>
    </row>
    <row r="51" spans="2:2" x14ac:dyDescent="0.3">
      <c r="B51" s="103" t="s">
        <v>605</v>
      </c>
    </row>
    <row r="52" spans="2:2" x14ac:dyDescent="0.3">
      <c r="B52" s="367" t="s">
        <v>602</v>
      </c>
    </row>
    <row r="53" spans="2:2" x14ac:dyDescent="0.3">
      <c r="B53" s="103" t="s">
        <v>607</v>
      </c>
    </row>
  </sheetData>
  <mergeCells count="10">
    <mergeCell ref="B19:G19"/>
    <mergeCell ref="H19:J19"/>
    <mergeCell ref="B20:G20"/>
    <mergeCell ref="H20:J20"/>
    <mergeCell ref="B2:G2"/>
    <mergeCell ref="H2:J2"/>
    <mergeCell ref="G3:H3"/>
    <mergeCell ref="G4:H18"/>
    <mergeCell ref="I4:I16"/>
    <mergeCell ref="J4:J16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B1:K53"/>
  <sheetViews>
    <sheetView tabSelected="1" topLeftCell="B1" zoomScale="70" zoomScaleNormal="70" workbookViewId="0">
      <selection activeCell="C17" sqref="C17"/>
    </sheetView>
  </sheetViews>
  <sheetFormatPr defaultRowHeight="14.4" x14ac:dyDescent="0.3"/>
  <cols>
    <col min="2" max="3" width="69" style="103" customWidth="1"/>
    <col min="4" max="4" width="6.88671875" customWidth="1"/>
    <col min="5" max="5" width="63.109375" customWidth="1"/>
    <col min="6" max="6" width="6.5546875" customWidth="1"/>
    <col min="7" max="7" width="6" customWidth="1"/>
    <col min="8" max="9" width="15.6640625" customWidth="1"/>
    <col min="10" max="10" width="30.6640625" customWidth="1"/>
    <col min="11" max="11" width="34.5546875" customWidth="1"/>
  </cols>
  <sheetData>
    <row r="1" spans="2:11" ht="15" thickBot="1" x14ac:dyDescent="0.35"/>
    <row r="2" spans="2:11" ht="15" thickBot="1" x14ac:dyDescent="0.35">
      <c r="B2" s="540" t="s">
        <v>15</v>
      </c>
      <c r="C2" s="541"/>
      <c r="D2" s="541"/>
      <c r="E2" s="541"/>
      <c r="F2" s="541"/>
      <c r="G2" s="541"/>
      <c r="H2" s="542"/>
      <c r="I2" s="543" t="s">
        <v>16</v>
      </c>
      <c r="J2" s="544"/>
      <c r="K2" s="542"/>
    </row>
    <row r="3" spans="2:11" ht="15" thickBot="1" x14ac:dyDescent="0.35">
      <c r="B3" s="167" t="s">
        <v>10</v>
      </c>
      <c r="C3" s="392" t="s">
        <v>719</v>
      </c>
      <c r="D3" s="360">
        <f>ROUND(AVERAGE(D6:D16),2)</f>
        <v>0.5</v>
      </c>
      <c r="E3" s="359" t="s">
        <v>0</v>
      </c>
      <c r="F3" s="365" t="s">
        <v>282</v>
      </c>
      <c r="G3" s="344">
        <f>AVERAGE(G4:G16)</f>
        <v>0.61111111111111116</v>
      </c>
      <c r="H3" s="545" t="s">
        <v>8</v>
      </c>
      <c r="I3" s="546"/>
      <c r="J3" s="203" t="s">
        <v>4</v>
      </c>
      <c r="K3" s="348" t="s">
        <v>13</v>
      </c>
    </row>
    <row r="4" spans="2:11" ht="57.6" x14ac:dyDescent="0.3">
      <c r="B4" s="362" t="s">
        <v>692</v>
      </c>
      <c r="C4" s="647" t="s">
        <v>694</v>
      </c>
      <c r="D4" s="360">
        <f>ROUND(AVERAGE(D8:D13),2)</f>
        <v>0.39</v>
      </c>
      <c r="E4" s="346" t="s">
        <v>617</v>
      </c>
      <c r="F4" s="166" t="s">
        <v>595</v>
      </c>
      <c r="G4" s="261">
        <v>0.8</v>
      </c>
      <c r="H4" s="547" t="s">
        <v>703</v>
      </c>
      <c r="I4" s="548"/>
      <c r="J4" s="551" t="s">
        <v>641</v>
      </c>
      <c r="K4" s="552" t="s">
        <v>702</v>
      </c>
    </row>
    <row r="5" spans="2:11" ht="43.2" x14ac:dyDescent="0.3">
      <c r="B5" s="366" t="s">
        <v>616</v>
      </c>
      <c r="C5" s="634" t="s">
        <v>704</v>
      </c>
      <c r="D5" s="400"/>
      <c r="E5" s="346"/>
      <c r="F5" s="166"/>
      <c r="G5" s="401"/>
      <c r="H5" s="547"/>
      <c r="I5" s="548"/>
      <c r="J5" s="551"/>
      <c r="K5" s="551"/>
    </row>
    <row r="6" spans="2:11" ht="43.2" x14ac:dyDescent="0.3">
      <c r="B6" s="366" t="s">
        <v>693</v>
      </c>
      <c r="C6" s="644" t="s">
        <v>710</v>
      </c>
      <c r="D6" s="261">
        <f>AVERAGE(G4,G7)</f>
        <v>0.8</v>
      </c>
      <c r="E6" s="346" t="s">
        <v>615</v>
      </c>
      <c r="F6" s="369"/>
      <c r="G6" s="370"/>
      <c r="H6" s="547"/>
      <c r="I6" s="548"/>
      <c r="J6" s="551"/>
      <c r="K6" s="551"/>
    </row>
    <row r="7" spans="2:11" ht="28.8" x14ac:dyDescent="0.3">
      <c r="B7" s="366" t="s">
        <v>695</v>
      </c>
      <c r="C7" s="644" t="s">
        <v>705</v>
      </c>
      <c r="D7" s="261"/>
      <c r="E7" s="363" t="s">
        <v>697</v>
      </c>
      <c r="F7" s="361" t="s">
        <v>595</v>
      </c>
      <c r="G7" s="261">
        <v>0.8</v>
      </c>
      <c r="H7" s="547"/>
      <c r="I7" s="548"/>
      <c r="J7" s="551"/>
      <c r="K7" s="551"/>
    </row>
    <row r="8" spans="2:11" ht="57.6" x14ac:dyDescent="0.3">
      <c r="B8" s="366" t="s">
        <v>696</v>
      </c>
      <c r="C8" s="644" t="s">
        <v>718</v>
      </c>
      <c r="D8" s="261">
        <f>AVERAGE(G10,G9,G11,G12,G13)</f>
        <v>0.68</v>
      </c>
      <c r="E8" s="363"/>
      <c r="F8" s="361"/>
      <c r="G8" s="261"/>
      <c r="H8" s="547"/>
      <c r="I8" s="548"/>
      <c r="J8" s="551"/>
      <c r="K8" s="551"/>
    </row>
    <row r="9" spans="2:11" x14ac:dyDescent="0.3">
      <c r="B9" s="366" t="s">
        <v>575</v>
      </c>
      <c r="C9" s="646" t="s">
        <v>699</v>
      </c>
      <c r="D9" s="261">
        <f>AVERAGE(G14)</f>
        <v>0</v>
      </c>
      <c r="E9" s="346" t="s">
        <v>592</v>
      </c>
      <c r="F9" s="166" t="s">
        <v>596</v>
      </c>
      <c r="G9" s="164">
        <v>0.8</v>
      </c>
      <c r="H9" s="547"/>
      <c r="I9" s="548"/>
      <c r="J9" s="551"/>
      <c r="K9" s="551"/>
    </row>
    <row r="10" spans="2:11" ht="43.2" x14ac:dyDescent="0.3">
      <c r="B10" s="362" t="s">
        <v>593</v>
      </c>
      <c r="C10" s="644" t="s">
        <v>712</v>
      </c>
      <c r="D10" s="371"/>
      <c r="E10" s="346" t="s">
        <v>584</v>
      </c>
      <c r="F10" s="130" t="s">
        <v>596</v>
      </c>
      <c r="G10" s="131">
        <v>0.5</v>
      </c>
      <c r="H10" s="547"/>
      <c r="I10" s="548"/>
      <c r="J10" s="551"/>
      <c r="K10" s="551"/>
    </row>
    <row r="11" spans="2:11" ht="28.8" x14ac:dyDescent="0.3">
      <c r="B11" s="224" t="s">
        <v>594</v>
      </c>
      <c r="C11" s="644" t="s">
        <v>706</v>
      </c>
      <c r="D11" s="164"/>
      <c r="E11" s="346" t="s">
        <v>538</v>
      </c>
      <c r="F11" s="130" t="s">
        <v>596</v>
      </c>
      <c r="G11" s="131">
        <v>0.5</v>
      </c>
      <c r="H11" s="547"/>
      <c r="I11" s="548"/>
      <c r="J11" s="551"/>
      <c r="K11" s="551"/>
    </row>
    <row r="12" spans="2:11" x14ac:dyDescent="0.3">
      <c r="E12" s="346" t="s">
        <v>539</v>
      </c>
      <c r="F12" s="166" t="s">
        <v>596</v>
      </c>
      <c r="G12" s="164">
        <v>0.8</v>
      </c>
      <c r="H12" s="547"/>
      <c r="I12" s="548"/>
      <c r="J12" s="551"/>
      <c r="K12" s="551"/>
    </row>
    <row r="13" spans="2:11" x14ac:dyDescent="0.3">
      <c r="B13" s="366" t="s">
        <v>585</v>
      </c>
      <c r="C13" s="646" t="s">
        <v>690</v>
      </c>
      <c r="D13" s="261">
        <f>AVERAGE(G15)</f>
        <v>0.5</v>
      </c>
      <c r="E13" s="346" t="s">
        <v>540</v>
      </c>
      <c r="F13" s="130" t="s">
        <v>596</v>
      </c>
      <c r="G13" s="131">
        <v>0.8</v>
      </c>
      <c r="H13" s="547"/>
      <c r="I13" s="548"/>
      <c r="J13" s="551"/>
      <c r="K13" s="551"/>
    </row>
    <row r="14" spans="2:11" x14ac:dyDescent="0.3">
      <c r="B14" s="170"/>
      <c r="C14" s="397"/>
      <c r="E14" s="346" t="s">
        <v>572</v>
      </c>
      <c r="F14" s="166" t="s">
        <v>597</v>
      </c>
      <c r="G14" s="164">
        <v>0</v>
      </c>
      <c r="H14" s="547"/>
      <c r="I14" s="548"/>
      <c r="J14" s="551"/>
      <c r="K14" s="551"/>
    </row>
    <row r="15" spans="2:11" x14ac:dyDescent="0.3">
      <c r="B15" s="170"/>
      <c r="C15" s="397"/>
      <c r="E15" s="346" t="s">
        <v>583</v>
      </c>
      <c r="F15" s="166" t="s">
        <v>598</v>
      </c>
      <c r="G15" s="131">
        <v>0.5</v>
      </c>
      <c r="H15" s="547"/>
      <c r="I15" s="548"/>
      <c r="J15" s="551"/>
      <c r="K15" s="551"/>
    </row>
    <row r="16" spans="2:11" ht="133.5" customHeight="1" thickBot="1" x14ac:dyDescent="0.35">
      <c r="B16" s="170"/>
      <c r="C16" s="397"/>
      <c r="D16" s="171"/>
      <c r="F16" s="130"/>
      <c r="G16" s="364"/>
      <c r="H16" s="547"/>
      <c r="I16" s="548"/>
      <c r="J16" s="551"/>
      <c r="K16" s="551"/>
    </row>
    <row r="17" spans="2:11" x14ac:dyDescent="0.3">
      <c r="B17" s="129" t="s">
        <v>9</v>
      </c>
      <c r="C17" s="374"/>
      <c r="D17" s="205"/>
      <c r="E17" s="351" t="s">
        <v>1</v>
      </c>
      <c r="F17" s="352"/>
      <c r="G17" s="353"/>
      <c r="H17" s="547"/>
      <c r="I17" s="548"/>
      <c r="J17" s="207" t="s">
        <v>5</v>
      </c>
      <c r="K17" s="203" t="s">
        <v>14</v>
      </c>
    </row>
    <row r="18" spans="2:11" ht="115.8" thickBot="1" x14ac:dyDescent="0.35">
      <c r="B18" s="349" t="s">
        <v>587</v>
      </c>
      <c r="C18" s="398"/>
      <c r="D18" s="350"/>
      <c r="E18" s="354" t="s">
        <v>20</v>
      </c>
      <c r="F18" s="355"/>
      <c r="G18" s="356"/>
      <c r="H18" s="549"/>
      <c r="I18" s="550"/>
      <c r="J18" s="357"/>
      <c r="K18" s="358" t="s">
        <v>624</v>
      </c>
    </row>
    <row r="19" spans="2:11" x14ac:dyDescent="0.3">
      <c r="B19" s="530" t="s">
        <v>2</v>
      </c>
      <c r="C19" s="531"/>
      <c r="D19" s="531"/>
      <c r="E19" s="531"/>
      <c r="F19" s="531"/>
      <c r="G19" s="531"/>
      <c r="H19" s="532"/>
      <c r="I19" s="533" t="s">
        <v>3</v>
      </c>
      <c r="J19" s="531"/>
      <c r="K19" s="534"/>
    </row>
    <row r="20" spans="2:11" ht="15" thickBot="1" x14ac:dyDescent="0.35">
      <c r="B20" s="535"/>
      <c r="C20" s="536"/>
      <c r="D20" s="536"/>
      <c r="E20" s="536"/>
      <c r="F20" s="536"/>
      <c r="G20" s="536"/>
      <c r="H20" s="537"/>
      <c r="I20" s="538"/>
      <c r="J20" s="536"/>
      <c r="K20" s="539"/>
    </row>
    <row r="22" spans="2:11" x14ac:dyDescent="0.3">
      <c r="B22" s="121" t="s">
        <v>227</v>
      </c>
      <c r="C22" s="121"/>
      <c r="D22" s="1"/>
      <c r="E22" s="1" t="s">
        <v>223</v>
      </c>
      <c r="F22" s="136">
        <v>0</v>
      </c>
      <c r="H22" s="1" t="s">
        <v>578</v>
      </c>
    </row>
    <row r="23" spans="2:11" x14ac:dyDescent="0.3">
      <c r="B23" s="122" t="s">
        <v>228</v>
      </c>
      <c r="C23" s="122"/>
      <c r="D23" s="114"/>
      <c r="E23" s="114" t="s">
        <v>224</v>
      </c>
      <c r="F23" s="137">
        <v>0.1</v>
      </c>
    </row>
    <row r="24" spans="2:11" x14ac:dyDescent="0.3">
      <c r="B24" s="107" t="s">
        <v>226</v>
      </c>
      <c r="C24" s="107"/>
      <c r="D24" s="116"/>
      <c r="E24" s="115" t="s">
        <v>230</v>
      </c>
      <c r="F24" s="138">
        <v>0.5</v>
      </c>
    </row>
    <row r="25" spans="2:11" x14ac:dyDescent="0.3">
      <c r="B25" s="121"/>
      <c r="C25" s="121"/>
      <c r="D25" s="1"/>
      <c r="E25" s="116" t="s">
        <v>229</v>
      </c>
      <c r="F25" s="139">
        <v>0.8</v>
      </c>
    </row>
    <row r="26" spans="2:11" x14ac:dyDescent="0.3">
      <c r="B26" s="121"/>
      <c r="C26" s="121"/>
      <c r="D26" s="1"/>
      <c r="E26" s="117" t="s">
        <v>225</v>
      </c>
      <c r="F26" s="140">
        <v>1</v>
      </c>
      <c r="H26" t="s">
        <v>623</v>
      </c>
    </row>
    <row r="31" spans="2:11" ht="16.8" x14ac:dyDescent="0.3">
      <c r="B31" s="103" t="s">
        <v>573</v>
      </c>
      <c r="E31" s="330" t="s">
        <v>532</v>
      </c>
    </row>
    <row r="32" spans="2:11" ht="28.8" x14ac:dyDescent="0.3">
      <c r="B32" s="103" t="s">
        <v>577</v>
      </c>
      <c r="E32" s="330" t="s">
        <v>533</v>
      </c>
    </row>
    <row r="33" spans="2:5" ht="28.8" x14ac:dyDescent="0.3">
      <c r="B33" s="345" t="s">
        <v>574</v>
      </c>
      <c r="C33" s="345"/>
      <c r="E33" s="327"/>
    </row>
    <row r="34" spans="2:5" ht="57.6" x14ac:dyDescent="0.3">
      <c r="B34" s="345" t="s">
        <v>576</v>
      </c>
      <c r="C34" s="345"/>
      <c r="E34" s="330" t="s">
        <v>534</v>
      </c>
    </row>
    <row r="35" spans="2:5" x14ac:dyDescent="0.3">
      <c r="B35" s="345" t="s">
        <v>575</v>
      </c>
      <c r="C35" s="345"/>
      <c r="E35" s="327"/>
    </row>
    <row r="36" spans="2:5" ht="33.6" x14ac:dyDescent="0.3">
      <c r="E36" s="330" t="s">
        <v>535</v>
      </c>
    </row>
    <row r="37" spans="2:5" ht="16.8" x14ac:dyDescent="0.3">
      <c r="E37" s="330" t="s">
        <v>536</v>
      </c>
    </row>
    <row r="38" spans="2:5" ht="33.6" x14ac:dyDescent="0.3">
      <c r="E38" s="330" t="s">
        <v>537</v>
      </c>
    </row>
    <row r="39" spans="2:5" ht="16.8" x14ac:dyDescent="0.3">
      <c r="E39" s="330" t="s">
        <v>538</v>
      </c>
    </row>
    <row r="40" spans="2:5" ht="16.8" x14ac:dyDescent="0.3">
      <c r="E40" s="330" t="s">
        <v>539</v>
      </c>
    </row>
    <row r="41" spans="2:5" x14ac:dyDescent="0.3">
      <c r="E41" s="331"/>
    </row>
    <row r="42" spans="2:5" ht="16.8" x14ac:dyDescent="0.3">
      <c r="E42" s="330" t="s">
        <v>540</v>
      </c>
    </row>
    <row r="43" spans="2:5" x14ac:dyDescent="0.3">
      <c r="E43" s="328"/>
    </row>
    <row r="44" spans="2:5" x14ac:dyDescent="0.3">
      <c r="E44" s="329"/>
    </row>
    <row r="46" spans="2:5" x14ac:dyDescent="0.3">
      <c r="B46" s="367" t="s">
        <v>600</v>
      </c>
      <c r="C46" s="367"/>
    </row>
    <row r="47" spans="2:5" x14ac:dyDescent="0.3">
      <c r="B47" s="103" t="s">
        <v>603</v>
      </c>
    </row>
    <row r="48" spans="2:5" x14ac:dyDescent="0.3">
      <c r="B48" s="103" t="s">
        <v>606</v>
      </c>
    </row>
    <row r="49" spans="2:3" x14ac:dyDescent="0.3">
      <c r="B49" s="367" t="s">
        <v>601</v>
      </c>
      <c r="C49" s="367"/>
    </row>
    <row r="50" spans="2:3" x14ac:dyDescent="0.3">
      <c r="B50" s="103" t="s">
        <v>604</v>
      </c>
    </row>
    <row r="51" spans="2:3" x14ac:dyDescent="0.3">
      <c r="B51" s="103" t="s">
        <v>605</v>
      </c>
    </row>
    <row r="52" spans="2:3" x14ac:dyDescent="0.3">
      <c r="B52" s="367" t="s">
        <v>602</v>
      </c>
      <c r="C52" s="367"/>
    </row>
    <row r="53" spans="2:3" x14ac:dyDescent="0.3">
      <c r="B53" s="103" t="s">
        <v>607</v>
      </c>
    </row>
  </sheetData>
  <mergeCells count="10">
    <mergeCell ref="B19:H19"/>
    <mergeCell ref="I19:K19"/>
    <mergeCell ref="B20:H20"/>
    <mergeCell ref="I20:K20"/>
    <mergeCell ref="B2:H2"/>
    <mergeCell ref="I2:K2"/>
    <mergeCell ref="H3:I3"/>
    <mergeCell ref="H4:I18"/>
    <mergeCell ref="J4:J16"/>
    <mergeCell ref="K4:K16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B1:P51"/>
  <sheetViews>
    <sheetView topLeftCell="D1" zoomScale="90" zoomScaleNormal="90" workbookViewId="0">
      <selection activeCell="O39" sqref="O39"/>
    </sheetView>
  </sheetViews>
  <sheetFormatPr defaultRowHeight="14.4" x14ac:dyDescent="0.3"/>
  <cols>
    <col min="2" max="2" width="69" style="103" customWidth="1"/>
    <col min="3" max="3" width="6.88671875" customWidth="1"/>
    <col min="4" max="4" width="63.109375" customWidth="1"/>
    <col min="5" max="5" width="6.5546875" customWidth="1"/>
    <col min="6" max="6" width="6" customWidth="1"/>
    <col min="7" max="7" width="15.6640625" customWidth="1"/>
    <col min="8" max="8" width="18.33203125" customWidth="1"/>
    <col min="9" max="9" width="30.6640625" customWidth="1"/>
    <col min="10" max="10" width="34.554687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ht="15" thickBot="1" x14ac:dyDescent="0.35">
      <c r="B3" s="167" t="s">
        <v>10</v>
      </c>
      <c r="C3" s="360">
        <f>ROUND(AVERAGE(C5:C14),2)</f>
        <v>0.48</v>
      </c>
      <c r="D3" s="359" t="s">
        <v>0</v>
      </c>
      <c r="E3" s="365" t="s">
        <v>282</v>
      </c>
      <c r="F3" s="344">
        <f>AVERAGE(F4:F14)</f>
        <v>0.58181818181818179</v>
      </c>
      <c r="G3" s="545" t="s">
        <v>8</v>
      </c>
      <c r="H3" s="546"/>
      <c r="I3" s="203" t="s">
        <v>4</v>
      </c>
      <c r="J3" s="348" t="s">
        <v>13</v>
      </c>
    </row>
    <row r="4" spans="2:10" ht="43.2" x14ac:dyDescent="0.3">
      <c r="B4" s="362" t="s">
        <v>591</v>
      </c>
      <c r="C4" s="360">
        <f>ROUND(AVERAGE(C6:C8),2)</f>
        <v>0.39</v>
      </c>
      <c r="D4" s="346" t="s">
        <v>589</v>
      </c>
      <c r="E4" s="166" t="s">
        <v>595</v>
      </c>
      <c r="F4" s="261">
        <v>0.8</v>
      </c>
      <c r="G4" s="547" t="s">
        <v>625</v>
      </c>
      <c r="H4" s="548"/>
      <c r="I4" s="551" t="s">
        <v>620</v>
      </c>
      <c r="J4" s="552" t="s">
        <v>582</v>
      </c>
    </row>
    <row r="5" spans="2:10" ht="28.8" x14ac:dyDescent="0.3">
      <c r="B5" s="366" t="s">
        <v>586</v>
      </c>
      <c r="C5" s="261">
        <f>AVERAGE(F4,F5)</f>
        <v>0.8</v>
      </c>
      <c r="D5" s="363" t="s">
        <v>618</v>
      </c>
      <c r="E5" s="361" t="s">
        <v>595</v>
      </c>
      <c r="F5" s="261">
        <v>0.8</v>
      </c>
      <c r="G5" s="547"/>
      <c r="H5" s="548"/>
      <c r="I5" s="551"/>
      <c r="J5" s="551"/>
    </row>
    <row r="6" spans="2:10" ht="57.6" x14ac:dyDescent="0.3">
      <c r="B6" s="366" t="s">
        <v>576</v>
      </c>
      <c r="C6" s="261">
        <f>AVERAGE(F7,F6,F8,F9,F10)</f>
        <v>0.68</v>
      </c>
      <c r="D6" s="346" t="s">
        <v>592</v>
      </c>
      <c r="E6" s="166" t="s">
        <v>596</v>
      </c>
      <c r="F6" s="164">
        <v>0.8</v>
      </c>
      <c r="G6" s="547"/>
      <c r="H6" s="548"/>
      <c r="I6" s="551"/>
      <c r="J6" s="551"/>
    </row>
    <row r="7" spans="2:10" ht="43.2" x14ac:dyDescent="0.3">
      <c r="B7" s="366" t="s">
        <v>575</v>
      </c>
      <c r="C7" s="261">
        <f>AVERAGE(F11)</f>
        <v>0</v>
      </c>
      <c r="D7" s="346" t="s">
        <v>619</v>
      </c>
      <c r="E7" s="130" t="s">
        <v>596</v>
      </c>
      <c r="F7" s="131">
        <v>0.5</v>
      </c>
      <c r="G7" s="547"/>
      <c r="H7" s="548"/>
      <c r="I7" s="551"/>
      <c r="J7" s="551"/>
    </row>
    <row r="8" spans="2:10" x14ac:dyDescent="0.3">
      <c r="B8" s="366" t="s">
        <v>585</v>
      </c>
      <c r="C8" s="261">
        <f>AVERAGE(F12)</f>
        <v>0.5</v>
      </c>
      <c r="D8" s="346" t="s">
        <v>538</v>
      </c>
      <c r="E8" s="130" t="s">
        <v>596</v>
      </c>
      <c r="F8" s="131">
        <v>0.5</v>
      </c>
      <c r="G8" s="547"/>
      <c r="H8" s="548"/>
      <c r="I8" s="551"/>
      <c r="J8" s="551"/>
    </row>
    <row r="9" spans="2:10" ht="28.8" x14ac:dyDescent="0.3">
      <c r="B9" s="362" t="s">
        <v>593</v>
      </c>
      <c r="C9" s="261">
        <f>AVERAGE(F13)</f>
        <v>0.8</v>
      </c>
      <c r="D9" s="346" t="s">
        <v>539</v>
      </c>
      <c r="E9" s="166" t="s">
        <v>596</v>
      </c>
      <c r="F9" s="164">
        <v>0.8</v>
      </c>
      <c r="G9" s="547"/>
      <c r="H9" s="548"/>
      <c r="I9" s="551"/>
      <c r="J9" s="551"/>
    </row>
    <row r="10" spans="2:10" x14ac:dyDescent="0.3">
      <c r="B10" s="224" t="s">
        <v>594</v>
      </c>
      <c r="C10" s="261">
        <f>AVERAGE(F14)</f>
        <v>0.1</v>
      </c>
      <c r="D10" s="346" t="s">
        <v>540</v>
      </c>
      <c r="E10" s="130" t="s">
        <v>596</v>
      </c>
      <c r="F10" s="131">
        <v>0.8</v>
      </c>
      <c r="G10" s="547"/>
      <c r="H10" s="548"/>
      <c r="I10" s="551"/>
      <c r="J10" s="551"/>
    </row>
    <row r="11" spans="2:10" x14ac:dyDescent="0.3">
      <c r="B11" s="224"/>
      <c r="C11" s="164"/>
      <c r="D11" s="346" t="s">
        <v>572</v>
      </c>
      <c r="E11" s="166" t="s">
        <v>597</v>
      </c>
      <c r="F11" s="164">
        <v>0</v>
      </c>
      <c r="G11" s="547"/>
      <c r="H11" s="548"/>
      <c r="I11" s="551"/>
      <c r="J11" s="551"/>
    </row>
    <row r="12" spans="2:10" x14ac:dyDescent="0.3">
      <c r="B12" s="179"/>
      <c r="C12" s="164"/>
      <c r="D12" s="346" t="s">
        <v>583</v>
      </c>
      <c r="E12" s="166" t="s">
        <v>598</v>
      </c>
      <c r="F12" s="131">
        <v>0.5</v>
      </c>
      <c r="G12" s="547"/>
      <c r="H12" s="548"/>
      <c r="I12" s="551"/>
      <c r="J12" s="551"/>
    </row>
    <row r="13" spans="2:10" ht="43.2" x14ac:dyDescent="0.3">
      <c r="B13" s="179"/>
      <c r="C13" s="164"/>
      <c r="D13" s="346" t="s">
        <v>622</v>
      </c>
      <c r="E13" s="166">
        <v>2</v>
      </c>
      <c r="F13" s="164">
        <v>0.8</v>
      </c>
      <c r="G13" s="547"/>
      <c r="H13" s="548"/>
      <c r="I13" s="551"/>
      <c r="J13" s="551"/>
    </row>
    <row r="14" spans="2:10" ht="29.4" thickBot="1" x14ac:dyDescent="0.35">
      <c r="B14" s="170"/>
      <c r="C14" s="171"/>
      <c r="D14" s="347" t="s">
        <v>621</v>
      </c>
      <c r="E14" s="130">
        <v>3</v>
      </c>
      <c r="F14" s="364">
        <v>0.1</v>
      </c>
      <c r="G14" s="547"/>
      <c r="H14" s="548"/>
      <c r="I14" s="551"/>
      <c r="J14" s="551"/>
    </row>
    <row r="15" spans="2:10" x14ac:dyDescent="0.3">
      <c r="B15" s="129" t="s">
        <v>9</v>
      </c>
      <c r="C15" s="205"/>
      <c r="D15" s="351" t="s">
        <v>1</v>
      </c>
      <c r="E15" s="352"/>
      <c r="F15" s="353"/>
      <c r="G15" s="547"/>
      <c r="H15" s="548"/>
      <c r="I15" s="207" t="s">
        <v>5</v>
      </c>
      <c r="J15" s="203" t="s">
        <v>14</v>
      </c>
    </row>
    <row r="16" spans="2:10" ht="115.8" thickBot="1" x14ac:dyDescent="0.35">
      <c r="B16" s="349" t="s">
        <v>587</v>
      </c>
      <c r="C16" s="350"/>
      <c r="D16" s="354" t="s">
        <v>20</v>
      </c>
      <c r="E16" s="355"/>
      <c r="F16" s="356"/>
      <c r="G16" s="549"/>
      <c r="H16" s="550"/>
      <c r="I16" s="357"/>
      <c r="J16" s="358" t="s">
        <v>624</v>
      </c>
    </row>
    <row r="17" spans="2:10" x14ac:dyDescent="0.3">
      <c r="B17" s="530" t="s">
        <v>2</v>
      </c>
      <c r="C17" s="531"/>
      <c r="D17" s="531"/>
      <c r="E17" s="531"/>
      <c r="F17" s="531"/>
      <c r="G17" s="532"/>
      <c r="H17" s="533" t="s">
        <v>3</v>
      </c>
      <c r="I17" s="531"/>
      <c r="J17" s="534"/>
    </row>
    <row r="18" spans="2:10" ht="15" thickBot="1" x14ac:dyDescent="0.35">
      <c r="B18" s="535"/>
      <c r="C18" s="536"/>
      <c r="D18" s="536"/>
      <c r="E18" s="536"/>
      <c r="F18" s="536"/>
      <c r="G18" s="537"/>
      <c r="H18" s="538"/>
      <c r="I18" s="536"/>
      <c r="J18" s="539"/>
    </row>
    <row r="20" spans="2:10" x14ac:dyDescent="0.3">
      <c r="B20" s="121" t="s">
        <v>227</v>
      </c>
      <c r="C20" s="1"/>
      <c r="D20" s="1" t="s">
        <v>223</v>
      </c>
      <c r="E20" s="136">
        <v>0</v>
      </c>
      <c r="G20" s="1" t="s">
        <v>578</v>
      </c>
      <c r="I20" t="s">
        <v>579</v>
      </c>
    </row>
    <row r="21" spans="2:10" x14ac:dyDescent="0.3">
      <c r="B21" s="122" t="s">
        <v>228</v>
      </c>
      <c r="C21" s="114"/>
      <c r="D21" s="114" t="s">
        <v>224</v>
      </c>
      <c r="E21" s="137">
        <v>0.1</v>
      </c>
      <c r="I21" t="s">
        <v>580</v>
      </c>
    </row>
    <row r="22" spans="2:10" x14ac:dyDescent="0.3">
      <c r="B22" s="107" t="s">
        <v>226</v>
      </c>
      <c r="C22" s="116"/>
      <c r="D22" s="115" t="s">
        <v>230</v>
      </c>
      <c r="E22" s="138">
        <v>0.5</v>
      </c>
      <c r="I22" t="s">
        <v>588</v>
      </c>
    </row>
    <row r="23" spans="2:10" x14ac:dyDescent="0.3">
      <c r="B23" s="121"/>
      <c r="C23" s="1"/>
      <c r="D23" s="116" t="s">
        <v>229</v>
      </c>
      <c r="E23" s="139">
        <v>0.8</v>
      </c>
      <c r="I23" t="s">
        <v>590</v>
      </c>
    </row>
    <row r="24" spans="2:10" x14ac:dyDescent="0.3">
      <c r="B24" s="121"/>
      <c r="C24" s="1"/>
      <c r="D24" s="117" t="s">
        <v>225</v>
      </c>
      <c r="E24" s="140">
        <v>1</v>
      </c>
      <c r="H24" t="s">
        <v>599</v>
      </c>
      <c r="I24" t="s">
        <v>581</v>
      </c>
    </row>
    <row r="26" spans="2:10" x14ac:dyDescent="0.3">
      <c r="H26" t="s">
        <v>608</v>
      </c>
      <c r="I26" s="368" t="s">
        <v>612</v>
      </c>
    </row>
    <row r="27" spans="2:10" x14ac:dyDescent="0.3">
      <c r="I27" t="s">
        <v>609</v>
      </c>
    </row>
    <row r="28" spans="2:10" x14ac:dyDescent="0.3">
      <c r="I28" t="s">
        <v>610</v>
      </c>
    </row>
    <row r="29" spans="2:10" ht="16.8" x14ac:dyDescent="0.3">
      <c r="B29" s="103" t="s">
        <v>573</v>
      </c>
      <c r="D29" s="330" t="s">
        <v>532</v>
      </c>
      <c r="I29" t="s">
        <v>611</v>
      </c>
    </row>
    <row r="30" spans="2:10" ht="28.8" x14ac:dyDescent="0.3">
      <c r="B30" s="103" t="s">
        <v>577</v>
      </c>
      <c r="D30" s="330" t="s">
        <v>533</v>
      </c>
      <c r="I30" t="s">
        <v>613</v>
      </c>
    </row>
    <row r="31" spans="2:10" ht="28.8" x14ac:dyDescent="0.3">
      <c r="B31" s="345" t="s">
        <v>574</v>
      </c>
      <c r="D31" s="327"/>
    </row>
    <row r="32" spans="2:10" ht="57.6" x14ac:dyDescent="0.3">
      <c r="B32" s="345" t="s">
        <v>576</v>
      </c>
      <c r="D32" s="330" t="s">
        <v>534</v>
      </c>
      <c r="I32" t="s">
        <v>614</v>
      </c>
    </row>
    <row r="33" spans="2:16" x14ac:dyDescent="0.3">
      <c r="B33" s="345" t="s">
        <v>575</v>
      </c>
      <c r="D33" s="327"/>
    </row>
    <row r="34" spans="2:16" ht="33.6" x14ac:dyDescent="0.3">
      <c r="D34" s="330" t="s">
        <v>535</v>
      </c>
      <c r="G34" t="s">
        <v>629</v>
      </c>
    </row>
    <row r="35" spans="2:16" ht="75.599999999999994" customHeight="1" x14ac:dyDescent="0.3">
      <c r="D35" s="330" t="s">
        <v>536</v>
      </c>
      <c r="G35" s="373" t="s">
        <v>633</v>
      </c>
      <c r="H35" s="372" t="s">
        <v>632</v>
      </c>
      <c r="I35" s="554" t="s">
        <v>630</v>
      </c>
      <c r="J35" s="555"/>
      <c r="K35" s="555"/>
      <c r="L35" s="555"/>
      <c r="M35" s="555"/>
      <c r="N35" s="553" t="s">
        <v>640</v>
      </c>
      <c r="O35" s="553"/>
      <c r="P35" s="553"/>
    </row>
    <row r="36" spans="2:16" ht="80.400000000000006" customHeight="1" x14ac:dyDescent="0.3">
      <c r="D36" s="330" t="s">
        <v>537</v>
      </c>
      <c r="G36" s="373" t="s">
        <v>635</v>
      </c>
      <c r="H36" s="374" t="s">
        <v>634</v>
      </c>
      <c r="I36" s="554" t="s">
        <v>631</v>
      </c>
      <c r="J36" s="555"/>
      <c r="K36" s="555"/>
      <c r="L36" s="555"/>
      <c r="M36" s="555"/>
    </row>
    <row r="37" spans="2:16" ht="69.75" customHeight="1" x14ac:dyDescent="0.3">
      <c r="D37" s="330" t="s">
        <v>538</v>
      </c>
      <c r="G37" s="373"/>
      <c r="H37" s="373"/>
      <c r="I37" s="554" t="s">
        <v>626</v>
      </c>
      <c r="J37" s="555"/>
      <c r="K37" s="555"/>
      <c r="L37" s="555"/>
      <c r="M37" s="555"/>
    </row>
    <row r="38" spans="2:16" ht="72" customHeight="1" x14ac:dyDescent="0.3">
      <c r="D38" s="330" t="s">
        <v>539</v>
      </c>
      <c r="G38" s="373" t="s">
        <v>637</v>
      </c>
      <c r="H38" s="374" t="s">
        <v>636</v>
      </c>
      <c r="I38" s="554" t="s">
        <v>627</v>
      </c>
      <c r="J38" s="555"/>
      <c r="K38" s="555"/>
      <c r="L38" s="555"/>
      <c r="M38" s="555"/>
      <c r="N38" s="553" t="s">
        <v>640</v>
      </c>
      <c r="O38" s="553"/>
      <c r="P38" s="553"/>
    </row>
    <row r="39" spans="2:16" ht="85.5" customHeight="1" x14ac:dyDescent="0.3">
      <c r="D39" s="331"/>
      <c r="G39" s="373" t="s">
        <v>638</v>
      </c>
      <c r="H39" s="372" t="s">
        <v>639</v>
      </c>
      <c r="I39" s="554" t="s">
        <v>628</v>
      </c>
      <c r="J39" s="554"/>
      <c r="K39" s="554"/>
      <c r="L39" s="554"/>
      <c r="M39" s="554"/>
    </row>
    <row r="40" spans="2:16" ht="16.8" x14ac:dyDescent="0.3">
      <c r="D40" s="330" t="s">
        <v>540</v>
      </c>
    </row>
    <row r="41" spans="2:16" x14ac:dyDescent="0.3">
      <c r="D41" s="328"/>
    </row>
    <row r="42" spans="2:16" x14ac:dyDescent="0.3">
      <c r="D42" s="329"/>
    </row>
    <row r="44" spans="2:16" x14ac:dyDescent="0.3">
      <c r="B44" s="367" t="s">
        <v>600</v>
      </c>
    </row>
    <row r="45" spans="2:16" x14ac:dyDescent="0.3">
      <c r="B45" s="103" t="s">
        <v>603</v>
      </c>
    </row>
    <row r="46" spans="2:16" x14ac:dyDescent="0.3">
      <c r="B46" s="103" t="s">
        <v>606</v>
      </c>
    </row>
    <row r="47" spans="2:16" x14ac:dyDescent="0.3">
      <c r="B47" s="367" t="s">
        <v>601</v>
      </c>
    </row>
    <row r="48" spans="2:16" x14ac:dyDescent="0.3">
      <c r="B48" s="103" t="s">
        <v>604</v>
      </c>
    </row>
    <row r="49" spans="2:2" x14ac:dyDescent="0.3">
      <c r="B49" s="103" t="s">
        <v>605</v>
      </c>
    </row>
    <row r="50" spans="2:2" x14ac:dyDescent="0.3">
      <c r="B50" s="367" t="s">
        <v>602</v>
      </c>
    </row>
    <row r="51" spans="2:2" x14ac:dyDescent="0.3">
      <c r="B51" s="103" t="s">
        <v>607</v>
      </c>
    </row>
  </sheetData>
  <mergeCells count="17">
    <mergeCell ref="B17:G17"/>
    <mergeCell ref="H17:J17"/>
    <mergeCell ref="B18:G18"/>
    <mergeCell ref="H18:J18"/>
    <mergeCell ref="B2:G2"/>
    <mergeCell ref="H2:J2"/>
    <mergeCell ref="G3:H3"/>
    <mergeCell ref="G4:H16"/>
    <mergeCell ref="I4:I14"/>
    <mergeCell ref="J4:J14"/>
    <mergeCell ref="N35:P35"/>
    <mergeCell ref="N38:P38"/>
    <mergeCell ref="I35:M35"/>
    <mergeCell ref="I39:M39"/>
    <mergeCell ref="I38:M38"/>
    <mergeCell ref="I37:M37"/>
    <mergeCell ref="I36:M36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3"/>
  <sheetViews>
    <sheetView topLeftCell="A4" zoomScale="70" zoomScaleNormal="70" workbookViewId="0">
      <selection activeCell="D4" sqref="D4"/>
    </sheetView>
  </sheetViews>
  <sheetFormatPr defaultRowHeight="14.4" x14ac:dyDescent="0.3"/>
  <cols>
    <col min="1" max="1" width="1.5546875" customWidth="1"/>
    <col min="2" max="2" width="63.33203125" style="103" customWidth="1"/>
    <col min="3" max="3" width="6.88671875" customWidth="1"/>
    <col min="4" max="4" width="57.6640625" customWidth="1"/>
    <col min="5" max="5" width="6.5546875" customWidth="1"/>
    <col min="6" max="6" width="6" customWidth="1"/>
    <col min="7" max="8" width="15.6640625" customWidth="1"/>
    <col min="9" max="9" width="27.6640625" customWidth="1"/>
    <col min="10" max="10" width="34.554687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ht="15" thickBot="1" x14ac:dyDescent="0.35">
      <c r="B3" s="167" t="s">
        <v>10</v>
      </c>
      <c r="C3" s="376"/>
      <c r="D3" s="377" t="s">
        <v>0</v>
      </c>
      <c r="E3" s="365" t="s">
        <v>282</v>
      </c>
      <c r="F3" s="344" t="e">
        <f>AVERAGE(F4:F19)</f>
        <v>#DIV/0!</v>
      </c>
      <c r="G3" s="545" t="s">
        <v>8</v>
      </c>
      <c r="H3" s="546"/>
      <c r="I3" s="203" t="s">
        <v>4</v>
      </c>
      <c r="J3" s="348" t="s">
        <v>13</v>
      </c>
    </row>
    <row r="4" spans="2:10" ht="55.2" x14ac:dyDescent="0.3">
      <c r="B4" s="378" t="s">
        <v>642</v>
      </c>
      <c r="C4" s="376"/>
      <c r="D4" s="379" t="s">
        <v>643</v>
      </c>
      <c r="E4" s="166"/>
      <c r="F4" s="261"/>
      <c r="G4" s="556" t="s">
        <v>644</v>
      </c>
      <c r="H4" s="557"/>
      <c r="I4" s="561" t="s">
        <v>645</v>
      </c>
      <c r="J4" s="552" t="s">
        <v>646</v>
      </c>
    </row>
    <row r="5" spans="2:10" ht="41.4" x14ac:dyDescent="0.3">
      <c r="B5" s="380" t="s">
        <v>647</v>
      </c>
      <c r="C5" s="381"/>
      <c r="D5" s="382" t="s">
        <v>648</v>
      </c>
      <c r="E5" s="369"/>
      <c r="F5" s="370"/>
      <c r="G5" s="558"/>
      <c r="H5" s="557"/>
      <c r="I5" s="561"/>
      <c r="J5" s="551"/>
    </row>
    <row r="6" spans="2:10" ht="82.8" x14ac:dyDescent="0.3">
      <c r="B6" s="380" t="s">
        <v>649</v>
      </c>
      <c r="C6" s="381"/>
      <c r="D6" s="369" t="s">
        <v>650</v>
      </c>
      <c r="E6" s="361"/>
      <c r="F6" s="261"/>
      <c r="G6" s="558"/>
      <c r="H6" s="557"/>
      <c r="I6" s="561"/>
      <c r="J6" s="551"/>
    </row>
    <row r="7" spans="2:10" ht="100.8" x14ac:dyDescent="0.3">
      <c r="B7" s="380" t="s">
        <v>651</v>
      </c>
      <c r="C7" s="381"/>
      <c r="D7" s="383" t="s">
        <v>652</v>
      </c>
      <c r="E7" s="166"/>
      <c r="F7" s="164"/>
      <c r="G7" s="558"/>
      <c r="H7" s="557"/>
      <c r="I7" s="561"/>
      <c r="J7" s="551"/>
    </row>
    <row r="8" spans="2:10" ht="28.8" x14ac:dyDescent="0.3">
      <c r="B8" s="380" t="s">
        <v>653</v>
      </c>
      <c r="C8" s="381"/>
      <c r="D8" s="384" t="s">
        <v>654</v>
      </c>
      <c r="E8" s="130"/>
      <c r="F8" s="131"/>
      <c r="G8" s="558"/>
      <c r="H8" s="557"/>
      <c r="I8" s="561"/>
      <c r="J8" s="551"/>
    </row>
    <row r="9" spans="2:10" ht="57.6" x14ac:dyDescent="0.3">
      <c r="B9" s="362" t="s">
        <v>655</v>
      </c>
      <c r="C9" s="385"/>
      <c r="D9" s="384" t="s">
        <v>656</v>
      </c>
      <c r="E9" s="130"/>
      <c r="F9" s="131"/>
      <c r="G9" s="558"/>
      <c r="H9" s="557"/>
      <c r="I9" s="561"/>
      <c r="J9" s="551"/>
    </row>
    <row r="10" spans="2:10" x14ac:dyDescent="0.3">
      <c r="B10" s="224"/>
      <c r="C10" s="385"/>
      <c r="D10" s="384" t="s">
        <v>657</v>
      </c>
      <c r="E10" s="166"/>
      <c r="F10" s="164"/>
      <c r="G10" s="558"/>
      <c r="H10" s="557"/>
      <c r="I10" s="561"/>
      <c r="J10" s="551"/>
    </row>
    <row r="11" spans="2:10" ht="28.8" x14ac:dyDescent="0.3">
      <c r="B11" s="224" t="s">
        <v>658</v>
      </c>
      <c r="C11" s="201"/>
      <c r="D11" s="384" t="s">
        <v>659</v>
      </c>
      <c r="E11" s="130"/>
      <c r="F11" s="131"/>
      <c r="G11" s="558"/>
      <c r="H11" s="557"/>
      <c r="I11" s="561"/>
      <c r="J11" s="551"/>
    </row>
    <row r="12" spans="2:10" ht="28.8" x14ac:dyDescent="0.3">
      <c r="B12" s="224"/>
      <c r="C12" s="201"/>
      <c r="D12" s="384" t="s">
        <v>660</v>
      </c>
      <c r="E12" s="130"/>
      <c r="F12" s="131"/>
      <c r="G12" s="558"/>
      <c r="H12" s="557"/>
      <c r="I12" s="561"/>
      <c r="J12" s="551"/>
    </row>
    <row r="13" spans="2:10" x14ac:dyDescent="0.3">
      <c r="B13" s="224"/>
      <c r="C13" s="164"/>
      <c r="D13" s="384" t="s">
        <v>661</v>
      </c>
      <c r="E13" s="130"/>
      <c r="F13" s="131"/>
      <c r="G13" s="558"/>
      <c r="H13" s="557"/>
      <c r="I13" s="561"/>
      <c r="J13" s="551"/>
    </row>
    <row r="14" spans="2:10" x14ac:dyDescent="0.3">
      <c r="B14" s="224"/>
      <c r="C14" s="164"/>
      <c r="D14" s="386" t="s">
        <v>662</v>
      </c>
      <c r="E14" s="130"/>
      <c r="F14" s="131"/>
      <c r="G14" s="558"/>
      <c r="H14" s="557"/>
      <c r="I14" s="561"/>
      <c r="J14" s="551"/>
    </row>
    <row r="15" spans="2:10" x14ac:dyDescent="0.3">
      <c r="B15" s="224"/>
      <c r="C15" s="164"/>
      <c r="D15" s="387"/>
      <c r="E15" s="130"/>
      <c r="F15" s="131"/>
      <c r="G15" s="558"/>
      <c r="H15" s="557"/>
      <c r="I15" s="561"/>
      <c r="J15" s="551"/>
    </row>
    <row r="16" spans="2:10" x14ac:dyDescent="0.3">
      <c r="B16" s="224"/>
      <c r="C16" s="164"/>
      <c r="D16" s="387"/>
      <c r="E16" s="130"/>
      <c r="F16" s="131"/>
      <c r="G16" s="558"/>
      <c r="H16" s="557"/>
      <c r="I16" s="561"/>
      <c r="J16" s="551"/>
    </row>
    <row r="17" spans="2:10" x14ac:dyDescent="0.3">
      <c r="B17" s="179"/>
      <c r="C17" s="164"/>
      <c r="D17" s="388"/>
      <c r="E17" s="166"/>
      <c r="F17" s="164"/>
      <c r="G17" s="558"/>
      <c r="H17" s="557"/>
      <c r="I17" s="561"/>
      <c r="J17" s="551"/>
    </row>
    <row r="18" spans="2:10" x14ac:dyDescent="0.3">
      <c r="B18" s="179"/>
      <c r="C18" s="164"/>
      <c r="D18" s="388"/>
      <c r="E18" s="166"/>
      <c r="F18" s="131"/>
      <c r="G18" s="558"/>
      <c r="H18" s="557"/>
      <c r="I18" s="561"/>
      <c r="J18" s="551"/>
    </row>
    <row r="19" spans="2:10" x14ac:dyDescent="0.3">
      <c r="B19" s="170"/>
      <c r="C19" s="171"/>
      <c r="D19" s="388"/>
      <c r="E19" s="130"/>
      <c r="F19" s="364"/>
      <c r="G19" s="558"/>
      <c r="H19" s="557"/>
      <c r="I19" s="561"/>
      <c r="J19" s="551"/>
    </row>
    <row r="20" spans="2:10" ht="15" thickBot="1" x14ac:dyDescent="0.35">
      <c r="B20" s="389"/>
      <c r="C20" s="166"/>
      <c r="D20" s="388"/>
      <c r="E20" s="390"/>
      <c r="F20" s="364"/>
      <c r="G20" s="558"/>
      <c r="H20" s="557"/>
      <c r="I20" s="375"/>
      <c r="J20" s="375"/>
    </row>
    <row r="21" spans="2:10" x14ac:dyDescent="0.3">
      <c r="B21" s="129" t="s">
        <v>9</v>
      </c>
      <c r="C21" s="205"/>
      <c r="D21" s="391" t="s">
        <v>1</v>
      </c>
      <c r="E21" s="352"/>
      <c r="F21" s="353"/>
      <c r="G21" s="558"/>
      <c r="H21" s="557"/>
      <c r="I21" s="207" t="s">
        <v>5</v>
      </c>
      <c r="J21" s="203" t="s">
        <v>14</v>
      </c>
    </row>
    <row r="22" spans="2:10" ht="115.8" thickBot="1" x14ac:dyDescent="0.35">
      <c r="B22" s="349" t="s">
        <v>663</v>
      </c>
      <c r="C22" s="350"/>
      <c r="D22" s="354" t="s">
        <v>20</v>
      </c>
      <c r="E22" s="355"/>
      <c r="F22" s="356"/>
      <c r="G22" s="559"/>
      <c r="H22" s="560"/>
      <c r="I22" s="357"/>
      <c r="J22" s="358" t="s">
        <v>664</v>
      </c>
    </row>
    <row r="23" spans="2:10" x14ac:dyDescent="0.3">
      <c r="B23" s="530" t="s">
        <v>2</v>
      </c>
      <c r="C23" s="531"/>
      <c r="D23" s="531"/>
      <c r="E23" s="531"/>
      <c r="F23" s="531"/>
      <c r="G23" s="532"/>
      <c r="H23" s="533" t="s">
        <v>3</v>
      </c>
      <c r="I23" s="531"/>
      <c r="J23" s="534"/>
    </row>
    <row r="24" spans="2:10" ht="15" thickBot="1" x14ac:dyDescent="0.35">
      <c r="B24" s="535"/>
      <c r="C24" s="536"/>
      <c r="D24" s="536"/>
      <c r="E24" s="536"/>
      <c r="F24" s="536"/>
      <c r="G24" s="537"/>
      <c r="H24" s="538"/>
      <c r="I24" s="536"/>
      <c r="J24" s="539"/>
    </row>
    <row r="26" spans="2:10" x14ac:dyDescent="0.3">
      <c r="B26" s="121" t="s">
        <v>227</v>
      </c>
      <c r="C26" s="1"/>
      <c r="D26" s="1" t="s">
        <v>223</v>
      </c>
      <c r="E26" s="136">
        <v>0</v>
      </c>
      <c r="G26" s="1" t="s">
        <v>578</v>
      </c>
    </row>
    <row r="27" spans="2:10" x14ac:dyDescent="0.3">
      <c r="B27" s="122" t="s">
        <v>228</v>
      </c>
      <c r="C27" s="114"/>
      <c r="D27" s="114" t="s">
        <v>224</v>
      </c>
      <c r="E27" s="137">
        <v>0.1</v>
      </c>
    </row>
    <row r="28" spans="2:10" x14ac:dyDescent="0.3">
      <c r="B28" s="107" t="s">
        <v>226</v>
      </c>
      <c r="C28" s="116"/>
      <c r="D28" s="115" t="s">
        <v>230</v>
      </c>
      <c r="E28" s="138">
        <v>0.5</v>
      </c>
    </row>
    <row r="29" spans="2:10" x14ac:dyDescent="0.3">
      <c r="B29" s="121"/>
      <c r="C29" s="1"/>
      <c r="D29" s="116" t="s">
        <v>229</v>
      </c>
      <c r="E29" s="139">
        <v>0.8</v>
      </c>
    </row>
    <row r="30" spans="2:10" x14ac:dyDescent="0.3">
      <c r="B30" s="121"/>
      <c r="C30" s="1"/>
      <c r="D30" s="117" t="s">
        <v>225</v>
      </c>
      <c r="E30" s="140">
        <v>1</v>
      </c>
      <c r="G30" t="s">
        <v>623</v>
      </c>
    </row>
    <row r="33" spans="2:2" ht="43.2" x14ac:dyDescent="0.3">
      <c r="B33" s="103" t="s">
        <v>665</v>
      </c>
    </row>
    <row r="34" spans="2:2" ht="43.2" x14ac:dyDescent="0.3">
      <c r="B34" s="103" t="s">
        <v>666</v>
      </c>
    </row>
    <row r="35" spans="2:2" x14ac:dyDescent="0.3">
      <c r="B35" s="103" t="s">
        <v>667</v>
      </c>
    </row>
    <row r="36" spans="2:2" ht="158.4" x14ac:dyDescent="0.3">
      <c r="B36" s="103" t="s">
        <v>668</v>
      </c>
    </row>
    <row r="37" spans="2:2" x14ac:dyDescent="0.3">
      <c r="B37" s="387" t="s">
        <v>669</v>
      </c>
    </row>
    <row r="38" spans="2:2" x14ac:dyDescent="0.3">
      <c r="B38" s="387" t="s">
        <v>670</v>
      </c>
    </row>
    <row r="39" spans="2:2" x14ac:dyDescent="0.3">
      <c r="B39" s="387" t="s">
        <v>671</v>
      </c>
    </row>
    <row r="40" spans="2:2" x14ac:dyDescent="0.3">
      <c r="B40" s="387" t="s">
        <v>672</v>
      </c>
    </row>
    <row r="41" spans="2:2" x14ac:dyDescent="0.3">
      <c r="B41" s="387" t="s">
        <v>673</v>
      </c>
    </row>
    <row r="42" spans="2:2" x14ac:dyDescent="0.3">
      <c r="B42" s="387" t="s">
        <v>674</v>
      </c>
    </row>
    <row r="43" spans="2:2" x14ac:dyDescent="0.3">
      <c r="B43" s="387" t="s">
        <v>675</v>
      </c>
    </row>
    <row r="44" spans="2:2" x14ac:dyDescent="0.3">
      <c r="B44" s="387" t="s">
        <v>676</v>
      </c>
    </row>
    <row r="45" spans="2:2" x14ac:dyDescent="0.3">
      <c r="B45" s="387" t="s">
        <v>677</v>
      </c>
    </row>
    <row r="46" spans="2:2" x14ac:dyDescent="0.3">
      <c r="B46" s="387" t="s">
        <v>678</v>
      </c>
    </row>
    <row r="47" spans="2:2" x14ac:dyDescent="0.3">
      <c r="B47" s="387" t="s">
        <v>679</v>
      </c>
    </row>
    <row r="48" spans="2:2" x14ac:dyDescent="0.3">
      <c r="B48" s="387" t="s">
        <v>680</v>
      </c>
    </row>
    <row r="49" spans="2:3" x14ac:dyDescent="0.3">
      <c r="B49" s="387" t="s">
        <v>681</v>
      </c>
    </row>
    <row r="50" spans="2:3" x14ac:dyDescent="0.3">
      <c r="B50" s="388" t="s">
        <v>682</v>
      </c>
    </row>
    <row r="51" spans="2:3" x14ac:dyDescent="0.3">
      <c r="B51" s="388" t="s">
        <v>683</v>
      </c>
      <c r="C51" t="s">
        <v>684</v>
      </c>
    </row>
    <row r="52" spans="2:3" x14ac:dyDescent="0.3">
      <c r="B52" s="388" t="s">
        <v>685</v>
      </c>
      <c r="C52" t="s">
        <v>686</v>
      </c>
    </row>
    <row r="53" spans="2:3" x14ac:dyDescent="0.3">
      <c r="B53" s="388" t="s">
        <v>687</v>
      </c>
    </row>
  </sheetData>
  <mergeCells count="10">
    <mergeCell ref="B23:G23"/>
    <mergeCell ref="H23:J23"/>
    <mergeCell ref="B24:G24"/>
    <mergeCell ref="H24:J24"/>
    <mergeCell ref="B2:G2"/>
    <mergeCell ref="H2:J2"/>
    <mergeCell ref="G3:H3"/>
    <mergeCell ref="G4:H22"/>
    <mergeCell ref="I4:I19"/>
    <mergeCell ref="J4:J19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7"/>
  <sheetViews>
    <sheetView topLeftCell="A19" workbookViewId="0">
      <selection activeCell="C15" sqref="C15"/>
    </sheetView>
  </sheetViews>
  <sheetFormatPr defaultRowHeight="14.4" x14ac:dyDescent="0.3"/>
  <cols>
    <col min="1" max="1" width="3.88671875" customWidth="1"/>
    <col min="2" max="2" width="30" customWidth="1"/>
    <col min="3" max="3" width="109.6640625" customWidth="1"/>
    <col min="4" max="4" width="44" customWidth="1"/>
  </cols>
  <sheetData>
    <row r="2" spans="2:4" x14ac:dyDescent="0.3">
      <c r="B2" t="s">
        <v>542</v>
      </c>
    </row>
    <row r="3" spans="2:4" s="332" customFormat="1" ht="28.8" x14ac:dyDescent="0.3">
      <c r="B3" s="334" t="s">
        <v>541</v>
      </c>
      <c r="C3" s="333" t="s">
        <v>549</v>
      </c>
      <c r="D3" s="333" t="s">
        <v>546</v>
      </c>
    </row>
    <row r="4" spans="2:4" s="332" customFormat="1" ht="115.2" x14ac:dyDescent="0.3">
      <c r="B4" s="565" t="s">
        <v>543</v>
      </c>
      <c r="C4" s="335" t="s">
        <v>548</v>
      </c>
      <c r="D4" s="335" t="s">
        <v>547</v>
      </c>
    </row>
    <row r="5" spans="2:4" s="332" customFormat="1" ht="72" x14ac:dyDescent="0.3">
      <c r="B5" s="566"/>
      <c r="C5" s="336" t="s">
        <v>561</v>
      </c>
      <c r="D5" s="335" t="s">
        <v>553</v>
      </c>
    </row>
    <row r="6" spans="2:4" s="332" customFormat="1" ht="100.8" x14ac:dyDescent="0.3">
      <c r="B6" s="566"/>
      <c r="C6" s="336" t="s">
        <v>551</v>
      </c>
      <c r="D6" s="335" t="s">
        <v>552</v>
      </c>
    </row>
    <row r="7" spans="2:4" s="332" customFormat="1" ht="72" x14ac:dyDescent="0.3">
      <c r="B7" s="566"/>
      <c r="C7" s="336" t="s">
        <v>550</v>
      </c>
      <c r="D7" s="335" t="s">
        <v>554</v>
      </c>
    </row>
    <row r="8" spans="2:4" s="332" customFormat="1" x14ac:dyDescent="0.3">
      <c r="B8" s="567"/>
      <c r="C8" s="340" t="s">
        <v>562</v>
      </c>
      <c r="D8" s="335"/>
    </row>
    <row r="9" spans="2:4" s="332" customFormat="1" ht="115.2" x14ac:dyDescent="0.3">
      <c r="B9" s="568" t="s">
        <v>544</v>
      </c>
      <c r="C9" s="337" t="s">
        <v>555</v>
      </c>
      <c r="D9" s="337" t="s">
        <v>545</v>
      </c>
    </row>
    <row r="10" spans="2:4" s="332" customFormat="1" ht="129.6" x14ac:dyDescent="0.3">
      <c r="B10" s="569"/>
      <c r="C10" s="337" t="s">
        <v>556</v>
      </c>
      <c r="D10" s="337" t="s">
        <v>557</v>
      </c>
    </row>
    <row r="11" spans="2:4" s="332" customFormat="1" ht="28.8" x14ac:dyDescent="0.3">
      <c r="B11" s="569"/>
      <c r="C11" s="341" t="s">
        <v>558</v>
      </c>
      <c r="D11" s="337" t="s">
        <v>559</v>
      </c>
    </row>
    <row r="12" spans="2:4" s="332" customFormat="1" ht="100.8" x14ac:dyDescent="0.3">
      <c r="B12" s="569"/>
      <c r="C12" s="339" t="s">
        <v>563</v>
      </c>
      <c r="D12" s="337" t="s">
        <v>565</v>
      </c>
    </row>
    <row r="13" spans="2:4" s="332" customFormat="1" ht="28.8" x14ac:dyDescent="0.3">
      <c r="B13" s="570"/>
      <c r="C13" s="337" t="s">
        <v>564</v>
      </c>
      <c r="D13" s="338"/>
    </row>
    <row r="14" spans="2:4" ht="100.8" x14ac:dyDescent="0.3">
      <c r="B14" s="562" t="s">
        <v>571</v>
      </c>
      <c r="C14" s="342" t="s">
        <v>560</v>
      </c>
      <c r="D14" s="342" t="s">
        <v>567</v>
      </c>
    </row>
    <row r="15" spans="2:4" ht="72" x14ac:dyDescent="0.3">
      <c r="B15" s="563"/>
      <c r="C15" s="342" t="s">
        <v>566</v>
      </c>
      <c r="D15" s="342" t="s">
        <v>545</v>
      </c>
    </row>
    <row r="16" spans="2:4" ht="86.4" x14ac:dyDescent="0.3">
      <c r="B16" s="563"/>
      <c r="C16" s="342" t="s">
        <v>569</v>
      </c>
      <c r="D16" s="342" t="s">
        <v>568</v>
      </c>
    </row>
    <row r="17" spans="2:4" x14ac:dyDescent="0.3">
      <c r="B17" s="564"/>
      <c r="C17" s="343" t="s">
        <v>570</v>
      </c>
      <c r="D17" s="342"/>
    </row>
  </sheetData>
  <mergeCells count="3">
    <mergeCell ref="B14:B17"/>
    <mergeCell ref="B4:B8"/>
    <mergeCell ref="B9:B1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zoomScale="85" zoomScaleNormal="85" workbookViewId="0">
      <selection activeCell="B11" sqref="B4:H15"/>
    </sheetView>
  </sheetViews>
  <sheetFormatPr defaultRowHeight="14.4" x14ac:dyDescent="0.3"/>
  <cols>
    <col min="2" max="2" width="53.88671875" customWidth="1"/>
    <col min="3" max="3" width="6.88671875" customWidth="1"/>
    <col min="4" max="4" width="61" customWidth="1"/>
    <col min="5" max="5" width="6.5546875" customWidth="1"/>
    <col min="6" max="6" width="6" customWidth="1"/>
    <col min="7" max="8" width="15.6640625" customWidth="1"/>
    <col min="9" max="10" width="30.6640625" customWidth="1"/>
  </cols>
  <sheetData>
    <row r="1" spans="2:10" ht="8.25" customHeight="1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x14ac:dyDescent="0.3">
      <c r="B3" s="167" t="s">
        <v>10</v>
      </c>
      <c r="C3" s="290">
        <f>ROUND(AVERAGE(C4:C15)*100,0)</f>
        <v>27</v>
      </c>
      <c r="D3" s="174" t="s">
        <v>0</v>
      </c>
      <c r="E3" s="175" t="s">
        <v>282</v>
      </c>
      <c r="F3" s="176">
        <f>AVERAGE(F4:F15)</f>
        <v>0.34545454545454546</v>
      </c>
      <c r="G3" s="571" t="s">
        <v>8</v>
      </c>
      <c r="H3" s="572"/>
      <c r="I3" s="156" t="s">
        <v>4</v>
      </c>
      <c r="J3" s="157" t="s">
        <v>13</v>
      </c>
    </row>
    <row r="4" spans="2:10" ht="28.8" x14ac:dyDescent="0.3">
      <c r="B4" s="179" t="s">
        <v>295</v>
      </c>
      <c r="C4" s="164">
        <f>AVERAGE(F5,F6)</f>
        <v>0.25</v>
      </c>
      <c r="D4" s="180" t="s">
        <v>281</v>
      </c>
      <c r="E4" s="166"/>
      <c r="F4" s="171"/>
      <c r="G4" s="554" t="s">
        <v>27</v>
      </c>
      <c r="H4" s="578"/>
      <c r="I4" s="582" t="s">
        <v>231</v>
      </c>
      <c r="J4" s="583" t="s">
        <v>19</v>
      </c>
    </row>
    <row r="5" spans="2:10" ht="72" x14ac:dyDescent="0.3">
      <c r="B5" s="179" t="s">
        <v>296</v>
      </c>
      <c r="C5" s="164">
        <f>F6</f>
        <v>0</v>
      </c>
      <c r="D5" s="302" t="str">
        <f>Решения!B16</f>
        <v>Единообразное планирование проектов (План-график, трудозатраты, фин план)</v>
      </c>
      <c r="E5" s="166" t="s">
        <v>283</v>
      </c>
      <c r="F5" s="131">
        <f>Решения!C16</f>
        <v>0.5</v>
      </c>
      <c r="G5" s="554"/>
      <c r="H5" s="578"/>
      <c r="I5" s="582"/>
      <c r="J5" s="583"/>
    </row>
    <row r="6" spans="2:10" ht="28.8" x14ac:dyDescent="0.3">
      <c r="B6" s="179" t="s">
        <v>297</v>
      </c>
      <c r="C6" s="164">
        <f>AVERAGE(F7,F8, F9)</f>
        <v>0.5</v>
      </c>
      <c r="D6" s="208" t="str">
        <f>Решения!B35</f>
        <v>Проектный документооборот (~MDR базовый)  (жизненный цикл основных проектных артефактов, указанных в ТЗ и договоре)</v>
      </c>
      <c r="E6" s="166" t="s">
        <v>285</v>
      </c>
      <c r="F6" s="164">
        <f>Решения!C35</f>
        <v>0</v>
      </c>
      <c r="G6" s="554"/>
      <c r="H6" s="578"/>
      <c r="I6" s="582"/>
      <c r="J6" s="583"/>
    </row>
    <row r="7" spans="2:10" ht="57.6" x14ac:dyDescent="0.3">
      <c r="B7" s="179" t="s">
        <v>298</v>
      </c>
      <c r="C7" s="164">
        <f>AVERAGE(F5,F6, F14, F15)</f>
        <v>0.32500000000000001</v>
      </c>
      <c r="D7" s="132" t="str">
        <f>Решения!B7</f>
        <v>Актуализация информации по проектам</v>
      </c>
      <c r="E7" s="130" t="s">
        <v>286</v>
      </c>
      <c r="F7" s="131">
        <f>Решения!C7</f>
        <v>0.5</v>
      </c>
      <c r="G7" s="554"/>
      <c r="H7" s="578"/>
      <c r="I7" s="582"/>
      <c r="J7" s="583"/>
    </row>
    <row r="8" spans="2:10" ht="28.8" x14ac:dyDescent="0.3">
      <c r="B8" s="179" t="s">
        <v>299</v>
      </c>
      <c r="C8" s="164">
        <f>AVERAGE(F12,F10, F11, F13)</f>
        <v>0.25</v>
      </c>
      <c r="D8" s="132" t="str">
        <f>Решения!B57</f>
        <v>Формирование отчетности по проектам</v>
      </c>
      <c r="E8" s="130" t="s">
        <v>286</v>
      </c>
      <c r="F8" s="131">
        <f>Решения!C57</f>
        <v>0.5</v>
      </c>
      <c r="G8" s="554"/>
      <c r="H8" s="578"/>
      <c r="I8" s="582"/>
      <c r="J8" s="583"/>
    </row>
    <row r="9" spans="2:10" ht="28.8" x14ac:dyDescent="0.3">
      <c r="B9" s="180"/>
      <c r="C9" s="171"/>
      <c r="D9" s="180" t="str">
        <f>Решения!B43</f>
        <v>Статус-отчеты по проекту. От Фазы Пресейла до Завершения договора</v>
      </c>
      <c r="E9" s="166" t="s">
        <v>286</v>
      </c>
      <c r="F9" s="164">
        <f>Решения!C43</f>
        <v>0.5</v>
      </c>
      <c r="G9" s="554"/>
      <c r="H9" s="578"/>
      <c r="I9" s="582"/>
      <c r="J9" s="583"/>
    </row>
    <row r="10" spans="2:10" x14ac:dyDescent="0.3">
      <c r="B10" s="180"/>
      <c r="C10" s="171"/>
      <c r="D10" s="184" t="str">
        <f>Решения!B15</f>
        <v>Диспетчирование работ (поручения)</v>
      </c>
      <c r="E10" s="130" t="s">
        <v>292</v>
      </c>
      <c r="F10" s="131">
        <f>Решения!C15</f>
        <v>0.5</v>
      </c>
      <c r="G10" s="554"/>
      <c r="H10" s="578"/>
      <c r="I10" s="582"/>
      <c r="J10" s="583"/>
    </row>
    <row r="11" spans="2:10" x14ac:dyDescent="0.3">
      <c r="B11" s="170"/>
      <c r="C11" s="171"/>
      <c r="D11" s="180" t="str">
        <f>Решения!B24</f>
        <v>Канбан-доска</v>
      </c>
      <c r="E11" s="166" t="s">
        <v>292</v>
      </c>
      <c r="F11" s="164">
        <f>Решения!C24</f>
        <v>0</v>
      </c>
      <c r="G11" s="554"/>
      <c r="H11" s="578"/>
      <c r="I11" s="582"/>
      <c r="J11" s="583"/>
    </row>
    <row r="12" spans="2:10" x14ac:dyDescent="0.3">
      <c r="B12" s="170"/>
      <c r="C12" s="171"/>
      <c r="D12" s="180" t="str">
        <f>Решения!B23</f>
        <v>Интеграция с трекинг-системами</v>
      </c>
      <c r="E12" s="166" t="s">
        <v>292</v>
      </c>
      <c r="F12" s="164">
        <f>Решения!C23</f>
        <v>0.5</v>
      </c>
      <c r="G12" s="554"/>
      <c r="H12" s="578"/>
      <c r="I12" s="582"/>
      <c r="J12" s="583"/>
    </row>
    <row r="13" spans="2:10" x14ac:dyDescent="0.3">
      <c r="B13" s="170"/>
      <c r="C13" s="171"/>
      <c r="D13" s="180" t="str">
        <f>Решения!B2</f>
        <v>1С:Взаимодействие</v>
      </c>
      <c r="E13" s="166" t="s">
        <v>292</v>
      </c>
      <c r="F13" s="164">
        <f>Решения!C2</f>
        <v>0</v>
      </c>
      <c r="G13" s="554"/>
      <c r="H13" s="578"/>
      <c r="I13" s="582"/>
      <c r="J13" s="583"/>
    </row>
    <row r="14" spans="2:10" x14ac:dyDescent="0.3">
      <c r="B14" s="170"/>
      <c r="C14" s="171"/>
      <c r="D14" s="184" t="str">
        <f>Решения!B28</f>
        <v>Многомерные проекты</v>
      </c>
      <c r="E14" s="130" t="s">
        <v>294</v>
      </c>
      <c r="F14" s="131">
        <f>Решения!C28</f>
        <v>0.5</v>
      </c>
      <c r="G14" s="554"/>
      <c r="H14" s="578"/>
      <c r="I14" s="582"/>
      <c r="J14" s="583"/>
    </row>
    <row r="15" spans="2:10" ht="29.4" thickBot="1" x14ac:dyDescent="0.35">
      <c r="B15" s="172"/>
      <c r="C15" s="173"/>
      <c r="D15" s="181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15" s="178" t="s">
        <v>294</v>
      </c>
      <c r="F15" s="165">
        <f>Решения!C27</f>
        <v>0.3</v>
      </c>
      <c r="G15" s="554"/>
      <c r="H15" s="578"/>
      <c r="I15" s="582"/>
      <c r="J15" s="583"/>
    </row>
    <row r="16" spans="2:10" x14ac:dyDescent="0.3">
      <c r="B16" s="129" t="s">
        <v>9</v>
      </c>
      <c r="C16" s="152"/>
      <c r="D16" s="158" t="s">
        <v>1</v>
      </c>
      <c r="E16" s="159"/>
      <c r="F16" s="159"/>
      <c r="G16" s="579"/>
      <c r="H16" s="578"/>
      <c r="I16" s="160" t="s">
        <v>5</v>
      </c>
      <c r="J16" s="161" t="s">
        <v>14</v>
      </c>
    </row>
    <row r="17" spans="1:10" ht="60" customHeight="1" x14ac:dyDescent="0.3">
      <c r="B17" s="7" t="s">
        <v>244</v>
      </c>
      <c r="C17" s="112"/>
      <c r="D17" s="5" t="s">
        <v>20</v>
      </c>
      <c r="E17" s="100"/>
      <c r="F17" s="100"/>
      <c r="G17" s="580"/>
      <c r="H17" s="581"/>
      <c r="I17" s="162"/>
      <c r="J17" s="163"/>
    </row>
    <row r="18" spans="1:10" x14ac:dyDescent="0.3">
      <c r="B18" s="573" t="s">
        <v>2</v>
      </c>
      <c r="C18" s="574"/>
      <c r="D18" s="574"/>
      <c r="E18" s="574"/>
      <c r="F18" s="574"/>
      <c r="G18" s="575"/>
      <c r="H18" s="576" t="s">
        <v>3</v>
      </c>
      <c r="I18" s="574"/>
      <c r="J18" s="577"/>
    </row>
    <row r="19" spans="1:10" ht="18" customHeight="1" thickBot="1" x14ac:dyDescent="0.35">
      <c r="B19" s="535"/>
      <c r="C19" s="536"/>
      <c r="D19" s="536"/>
      <c r="E19" s="536"/>
      <c r="F19" s="536"/>
      <c r="G19" s="537"/>
      <c r="H19" s="538"/>
      <c r="I19" s="536"/>
      <c r="J19" s="539"/>
    </row>
    <row r="20" spans="1:10" x14ac:dyDescent="0.3">
      <c r="A20" t="s">
        <v>499</v>
      </c>
    </row>
    <row r="21" spans="1:10" x14ac:dyDescent="0.3">
      <c r="B21" s="1" t="s">
        <v>227</v>
      </c>
      <c r="C21" s="1"/>
      <c r="D21" s="1" t="s">
        <v>223</v>
      </c>
      <c r="E21" s="136">
        <v>0</v>
      </c>
    </row>
    <row r="22" spans="1:10" x14ac:dyDescent="0.3">
      <c r="B22" s="114" t="s">
        <v>228</v>
      </c>
      <c r="C22" s="114"/>
      <c r="D22" s="114" t="s">
        <v>224</v>
      </c>
      <c r="E22" s="137">
        <v>0.1</v>
      </c>
    </row>
    <row r="23" spans="1:10" x14ac:dyDescent="0.3">
      <c r="B23" s="116" t="s">
        <v>226</v>
      </c>
      <c r="C23" s="116"/>
      <c r="D23" s="115" t="s">
        <v>230</v>
      </c>
      <c r="E23" s="138">
        <v>0.5</v>
      </c>
    </row>
    <row r="24" spans="1:10" x14ac:dyDescent="0.3">
      <c r="B24" s="1"/>
      <c r="C24" s="1"/>
      <c r="D24" s="116" t="s">
        <v>229</v>
      </c>
      <c r="E24" s="139">
        <v>0.8</v>
      </c>
    </row>
    <row r="25" spans="1:10" x14ac:dyDescent="0.3">
      <c r="B25" s="1"/>
      <c r="C25" s="1"/>
      <c r="D25" s="117" t="s">
        <v>225</v>
      </c>
      <c r="E25" s="140">
        <v>1</v>
      </c>
    </row>
  </sheetData>
  <mergeCells count="10">
    <mergeCell ref="B19:G19"/>
    <mergeCell ref="H19:J19"/>
    <mergeCell ref="B2:G2"/>
    <mergeCell ref="H2:J2"/>
    <mergeCell ref="G3:H3"/>
    <mergeCell ref="B18:G18"/>
    <mergeCell ref="H18:J18"/>
    <mergeCell ref="G4:H17"/>
    <mergeCell ref="I4:I15"/>
    <mergeCell ref="J4:J15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7"/>
  <sheetViews>
    <sheetView zoomScaleNormal="100" workbookViewId="0">
      <selection activeCell="B11" sqref="B4:H15"/>
    </sheetView>
  </sheetViews>
  <sheetFormatPr defaultRowHeight="14.4" x14ac:dyDescent="0.3"/>
  <cols>
    <col min="2" max="2" width="53.88671875" customWidth="1"/>
    <col min="3" max="3" width="6.6640625" bestFit="1" customWidth="1"/>
    <col min="4" max="4" width="61" customWidth="1"/>
    <col min="5" max="5" width="6.5546875" customWidth="1"/>
    <col min="6" max="6" width="6" customWidth="1"/>
    <col min="7" max="8" width="15.6640625" customWidth="1"/>
    <col min="9" max="10" width="30.6640625" customWidth="1"/>
  </cols>
  <sheetData>
    <row r="1" spans="2:10" ht="8.25" customHeight="1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x14ac:dyDescent="0.3">
      <c r="B3" s="167" t="s">
        <v>10</v>
      </c>
      <c r="C3" s="290">
        <f>ROUND(AVERAGE(C4:C15)*100,0)</f>
        <v>19</v>
      </c>
      <c r="D3" s="174" t="s">
        <v>0</v>
      </c>
      <c r="E3" s="183" t="s">
        <v>282</v>
      </c>
      <c r="F3" s="168">
        <f>AVERAGE(F4:F17)</f>
        <v>0.29230769230769227</v>
      </c>
      <c r="G3" s="571" t="s">
        <v>8</v>
      </c>
      <c r="H3" s="572"/>
      <c r="I3" s="156" t="s">
        <v>4</v>
      </c>
      <c r="J3" s="157" t="s">
        <v>13</v>
      </c>
    </row>
    <row r="4" spans="2:10" ht="28.8" x14ac:dyDescent="0.3">
      <c r="B4" s="179" t="s">
        <v>295</v>
      </c>
      <c r="C4" s="164">
        <f>AVERAGE(F5,F6)</f>
        <v>0.25</v>
      </c>
      <c r="D4" s="180" t="s">
        <v>281</v>
      </c>
      <c r="E4" s="166"/>
      <c r="F4" s="171"/>
      <c r="G4" s="554" t="s">
        <v>304</v>
      </c>
      <c r="H4" s="578"/>
      <c r="I4" s="582" t="s">
        <v>231</v>
      </c>
      <c r="J4" s="583" t="s">
        <v>19</v>
      </c>
    </row>
    <row r="5" spans="2:10" ht="72" x14ac:dyDescent="0.3">
      <c r="B5" s="179" t="s">
        <v>296</v>
      </c>
      <c r="C5" s="164">
        <f>F6</f>
        <v>0</v>
      </c>
      <c r="D5" s="184" t="str">
        <f>Решения!B16</f>
        <v>Единообразное планирование проектов (План-график, трудозатраты, фин план)</v>
      </c>
      <c r="E5" s="166" t="s">
        <v>283</v>
      </c>
      <c r="F5" s="164">
        <f>Решения!C16</f>
        <v>0.5</v>
      </c>
      <c r="G5" s="554"/>
      <c r="H5" s="578"/>
      <c r="I5" s="582"/>
      <c r="J5" s="583"/>
    </row>
    <row r="6" spans="2:10" ht="28.8" x14ac:dyDescent="0.3">
      <c r="B6" s="179" t="s">
        <v>297</v>
      </c>
      <c r="C6" s="164">
        <f>AVERAGE(F7,F8, F9)</f>
        <v>0.5</v>
      </c>
      <c r="D6" s="180" t="str">
        <f>Решения!B35</f>
        <v>Проектный документооборот (~MDR базовый)  (жизненный цикл основных проектных артефактов, указанных в ТЗ и договоре)</v>
      </c>
      <c r="E6" s="166" t="s">
        <v>285</v>
      </c>
      <c r="F6" s="164">
        <f>Решения!C35</f>
        <v>0</v>
      </c>
      <c r="G6" s="554"/>
      <c r="H6" s="578"/>
      <c r="I6" s="582"/>
      <c r="J6" s="583"/>
    </row>
    <row r="7" spans="2:10" ht="57.6" x14ac:dyDescent="0.3">
      <c r="B7" s="179" t="s">
        <v>298</v>
      </c>
      <c r="C7" s="164">
        <f>AVERAGE(F5,F6, F14, F15)</f>
        <v>0.32500000000000001</v>
      </c>
      <c r="D7" s="184" t="str">
        <f>Решения!B7</f>
        <v>Актуализация информации по проектам</v>
      </c>
      <c r="E7" s="166" t="s">
        <v>286</v>
      </c>
      <c r="F7" s="164">
        <f>Решения!C7</f>
        <v>0.5</v>
      </c>
      <c r="G7" s="554"/>
      <c r="H7" s="578"/>
      <c r="I7" s="582"/>
      <c r="J7" s="583"/>
    </row>
    <row r="8" spans="2:10" ht="28.8" x14ac:dyDescent="0.3">
      <c r="B8" s="179" t="s">
        <v>299</v>
      </c>
      <c r="C8" s="164">
        <f>AVERAGE(F12,F10, F11, F13)</f>
        <v>0.25</v>
      </c>
      <c r="D8" s="184" t="str">
        <f>Решения!B57</f>
        <v>Формирование отчетности по проектам</v>
      </c>
      <c r="E8" s="166" t="s">
        <v>286</v>
      </c>
      <c r="F8" s="164">
        <f>Решения!C57</f>
        <v>0.5</v>
      </c>
      <c r="G8" s="554"/>
      <c r="H8" s="578"/>
      <c r="I8" s="582"/>
      <c r="J8" s="583"/>
    </row>
    <row r="9" spans="2:10" ht="28.8" x14ac:dyDescent="0.3">
      <c r="B9" s="179" t="s">
        <v>300</v>
      </c>
      <c r="C9" s="164">
        <f>F16</f>
        <v>0</v>
      </c>
      <c r="D9" s="180" t="str">
        <f>Решения!B43</f>
        <v>Статус-отчеты по проекту. От Фазы Пресейла до Завершения договора</v>
      </c>
      <c r="E9" s="166" t="s">
        <v>286</v>
      </c>
      <c r="F9" s="164">
        <f>Решения!C43</f>
        <v>0.5</v>
      </c>
      <c r="G9" s="554"/>
      <c r="H9" s="578"/>
      <c r="I9" s="582"/>
      <c r="J9" s="583"/>
    </row>
    <row r="10" spans="2:10" x14ac:dyDescent="0.3">
      <c r="B10" s="179" t="s">
        <v>301</v>
      </c>
      <c r="C10" s="164">
        <f>F17</f>
        <v>0</v>
      </c>
      <c r="D10" s="184" t="str">
        <f>Решения!B15</f>
        <v>Диспетчирование работ (поручения)</v>
      </c>
      <c r="E10" s="166" t="s">
        <v>292</v>
      </c>
      <c r="F10" s="164">
        <f>Решения!C15</f>
        <v>0.5</v>
      </c>
      <c r="G10" s="554"/>
      <c r="H10" s="578"/>
      <c r="I10" s="582"/>
      <c r="J10" s="583"/>
    </row>
    <row r="11" spans="2:10" x14ac:dyDescent="0.3">
      <c r="B11" s="180"/>
      <c r="C11" s="171"/>
      <c r="D11" s="180" t="str">
        <f>Решения!B24</f>
        <v>Канбан-доска</v>
      </c>
      <c r="E11" s="166" t="s">
        <v>292</v>
      </c>
      <c r="F11" s="164">
        <f>Решения!C24</f>
        <v>0</v>
      </c>
      <c r="G11" s="554"/>
      <c r="H11" s="578"/>
      <c r="I11" s="582"/>
      <c r="J11" s="583"/>
    </row>
    <row r="12" spans="2:10" x14ac:dyDescent="0.3">
      <c r="B12" s="180"/>
      <c r="C12" s="171"/>
      <c r="D12" s="180" t="str">
        <f>Решения!B23</f>
        <v>Интеграция с трекинг-системами</v>
      </c>
      <c r="E12" s="166" t="s">
        <v>292</v>
      </c>
      <c r="F12" s="164">
        <f>Решения!C23</f>
        <v>0.5</v>
      </c>
      <c r="G12" s="554"/>
      <c r="H12" s="578"/>
      <c r="I12" s="582"/>
      <c r="J12" s="583"/>
    </row>
    <row r="13" spans="2:10" x14ac:dyDescent="0.3">
      <c r="B13" s="180"/>
      <c r="C13" s="171"/>
      <c r="D13" s="180" t="str">
        <f>Решения!B2</f>
        <v>1С:Взаимодействие</v>
      </c>
      <c r="E13" s="166" t="s">
        <v>292</v>
      </c>
      <c r="F13" s="164">
        <f>Решения!C2</f>
        <v>0</v>
      </c>
      <c r="G13" s="554"/>
      <c r="H13" s="578"/>
      <c r="I13" s="582"/>
      <c r="J13" s="583"/>
    </row>
    <row r="14" spans="2:10" x14ac:dyDescent="0.3">
      <c r="B14" s="180"/>
      <c r="C14" s="171"/>
      <c r="D14" s="184" t="str">
        <f>Решения!B28</f>
        <v>Многомерные проекты</v>
      </c>
      <c r="E14" s="166" t="s">
        <v>294</v>
      </c>
      <c r="F14" s="164">
        <f>Решения!C28</f>
        <v>0.5</v>
      </c>
      <c r="G14" s="554"/>
      <c r="H14" s="578"/>
      <c r="I14" s="582"/>
      <c r="J14" s="583"/>
    </row>
    <row r="15" spans="2:10" ht="28.8" x14ac:dyDescent="0.3">
      <c r="B15" s="180"/>
      <c r="C15" s="171"/>
      <c r="D15" s="180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15" s="166" t="s">
        <v>294</v>
      </c>
      <c r="F15" s="164">
        <f>Решения!C27</f>
        <v>0.3</v>
      </c>
      <c r="G15" s="554"/>
      <c r="H15" s="578"/>
      <c r="I15" s="582"/>
      <c r="J15" s="583"/>
    </row>
    <row r="16" spans="2:10" x14ac:dyDescent="0.3">
      <c r="B16" s="180"/>
      <c r="C16" s="171"/>
      <c r="D16" s="180" t="str">
        <f>Решения!B34</f>
        <v>Привязка спецификаций к работам проекта</v>
      </c>
      <c r="E16" s="166" t="s">
        <v>302</v>
      </c>
      <c r="F16" s="164">
        <f>Решения!C34</f>
        <v>0</v>
      </c>
      <c r="G16" s="554"/>
      <c r="H16" s="578"/>
      <c r="I16" s="101"/>
      <c r="J16" s="119"/>
    </row>
    <row r="17" spans="2:10" ht="29.4" thickBot="1" x14ac:dyDescent="0.35">
      <c r="B17" s="181"/>
      <c r="C17" s="173"/>
      <c r="D17" s="181" t="str">
        <f>Решения!B31</f>
        <v>Отметка в работах проекта о наличии ТМЦ из спецификаций и смена статуса работ на "обеспеченные"</v>
      </c>
      <c r="E17" s="178" t="s">
        <v>303</v>
      </c>
      <c r="F17" s="165">
        <f>Решения!C31</f>
        <v>0</v>
      </c>
      <c r="G17" s="554"/>
      <c r="H17" s="578"/>
      <c r="I17" s="101"/>
      <c r="J17" s="119"/>
    </row>
    <row r="18" spans="2:10" x14ac:dyDescent="0.3">
      <c r="B18" s="129" t="s">
        <v>9</v>
      </c>
      <c r="C18" s="152"/>
      <c r="D18" s="158" t="s">
        <v>1</v>
      </c>
      <c r="E18" s="159"/>
      <c r="F18" s="159"/>
      <c r="G18" s="579"/>
      <c r="H18" s="578"/>
      <c r="I18" s="160" t="s">
        <v>5</v>
      </c>
      <c r="J18" s="161" t="s">
        <v>14</v>
      </c>
    </row>
    <row r="19" spans="2:10" ht="60" customHeight="1" x14ac:dyDescent="0.3">
      <c r="B19" s="7" t="s">
        <v>244</v>
      </c>
      <c r="C19" s="112"/>
      <c r="D19" s="5" t="s">
        <v>20</v>
      </c>
      <c r="E19" s="100"/>
      <c r="F19" s="100"/>
      <c r="G19" s="580"/>
      <c r="H19" s="581"/>
      <c r="I19" s="162"/>
      <c r="J19" s="163"/>
    </row>
    <row r="20" spans="2:10" x14ac:dyDescent="0.3">
      <c r="B20" s="573" t="s">
        <v>2</v>
      </c>
      <c r="C20" s="574"/>
      <c r="D20" s="574"/>
      <c r="E20" s="574"/>
      <c r="F20" s="574"/>
      <c r="G20" s="575"/>
      <c r="H20" s="576" t="s">
        <v>3</v>
      </c>
      <c r="I20" s="574"/>
      <c r="J20" s="577"/>
    </row>
    <row r="21" spans="2:10" ht="18" customHeight="1" thickBot="1" x14ac:dyDescent="0.35">
      <c r="B21" s="535"/>
      <c r="C21" s="536"/>
      <c r="D21" s="536"/>
      <c r="E21" s="536"/>
      <c r="F21" s="536"/>
      <c r="G21" s="537"/>
      <c r="H21" s="538"/>
      <c r="I21" s="536"/>
      <c r="J21" s="539"/>
    </row>
    <row r="23" spans="2:10" x14ac:dyDescent="0.3">
      <c r="B23" s="1" t="s">
        <v>227</v>
      </c>
      <c r="C23" s="1"/>
      <c r="D23" s="1" t="s">
        <v>223</v>
      </c>
      <c r="E23" s="136">
        <v>0</v>
      </c>
    </row>
    <row r="24" spans="2:10" x14ac:dyDescent="0.3">
      <c r="B24" s="114" t="s">
        <v>228</v>
      </c>
      <c r="C24" s="114"/>
      <c r="D24" s="114" t="s">
        <v>224</v>
      </c>
      <c r="E24" s="137">
        <v>0.1</v>
      </c>
      <c r="F24" s="86"/>
    </row>
    <row r="25" spans="2:10" x14ac:dyDescent="0.3">
      <c r="B25" s="116" t="s">
        <v>226</v>
      </c>
      <c r="C25" s="116"/>
      <c r="D25" s="115" t="s">
        <v>230</v>
      </c>
      <c r="E25" s="138">
        <v>0.5</v>
      </c>
      <c r="F25" s="89"/>
    </row>
    <row r="26" spans="2:10" x14ac:dyDescent="0.3">
      <c r="B26" s="1"/>
      <c r="C26" s="1"/>
      <c r="D26" s="116" t="s">
        <v>229</v>
      </c>
      <c r="E26" s="139">
        <v>0.8</v>
      </c>
      <c r="F26" s="88"/>
    </row>
    <row r="27" spans="2:10" x14ac:dyDescent="0.3">
      <c r="B27" s="1"/>
      <c r="C27" s="1"/>
      <c r="D27" s="117" t="s">
        <v>225</v>
      </c>
      <c r="E27" s="140">
        <v>1</v>
      </c>
      <c r="F27" s="87"/>
    </row>
  </sheetData>
  <mergeCells count="10">
    <mergeCell ref="B20:G20"/>
    <mergeCell ref="H20:J20"/>
    <mergeCell ref="B21:G21"/>
    <mergeCell ref="H21:J21"/>
    <mergeCell ref="B2:G2"/>
    <mergeCell ref="H2:J2"/>
    <mergeCell ref="G3:H3"/>
    <mergeCell ref="G4:H19"/>
    <mergeCell ref="I4:I15"/>
    <mergeCell ref="J4:J15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1"/>
  <sheetViews>
    <sheetView zoomScaleNormal="100" workbookViewId="0">
      <selection activeCell="B11" sqref="B4:H15"/>
    </sheetView>
  </sheetViews>
  <sheetFormatPr defaultRowHeight="14.4" x14ac:dyDescent="0.3"/>
  <cols>
    <col min="2" max="2" width="35.109375" customWidth="1"/>
    <col min="3" max="3" width="4.88671875" customWidth="1"/>
    <col min="4" max="4" width="27" customWidth="1"/>
    <col min="5" max="5" width="5.33203125" customWidth="1"/>
    <col min="6" max="6" width="4.554687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ht="27.6" x14ac:dyDescent="0.3">
      <c r="B3" s="167" t="s">
        <v>10</v>
      </c>
      <c r="C3" s="290">
        <f>ROUND(AVERAGE(C4:C11)*100,0)</f>
        <v>43</v>
      </c>
      <c r="D3" s="174" t="s">
        <v>0</v>
      </c>
      <c r="E3" s="195" t="s">
        <v>282</v>
      </c>
      <c r="F3" s="200">
        <f>AVERAGE(F4:F11)</f>
        <v>0.45</v>
      </c>
      <c r="G3" s="545" t="s">
        <v>8</v>
      </c>
      <c r="H3" s="546"/>
      <c r="I3" s="203" t="s">
        <v>4</v>
      </c>
      <c r="J3" s="203" t="s">
        <v>13</v>
      </c>
    </row>
    <row r="4" spans="2:10" ht="28.8" x14ac:dyDescent="0.3">
      <c r="B4" s="169" t="s">
        <v>245</v>
      </c>
      <c r="C4" s="164">
        <f>AVERAGE(F5,F6,F8)</f>
        <v>0.53333333333333333</v>
      </c>
      <c r="D4" s="196" t="str">
        <f>Решения!B54</f>
        <v>Управление проектами</v>
      </c>
      <c r="E4" s="166" t="s">
        <v>247</v>
      </c>
      <c r="F4" s="201">
        <f>Решения!C54</f>
        <v>0.5</v>
      </c>
      <c r="G4" s="589" t="s">
        <v>221</v>
      </c>
      <c r="H4" s="590"/>
      <c r="I4" s="551" t="s">
        <v>232</v>
      </c>
      <c r="J4" s="551" t="s">
        <v>11</v>
      </c>
    </row>
    <row r="5" spans="2:10" ht="43.2" x14ac:dyDescent="0.3">
      <c r="B5" s="169" t="s">
        <v>246</v>
      </c>
      <c r="C5" s="164">
        <f xml:space="preserve"> AVERAGE(F7)</f>
        <v>0.5</v>
      </c>
      <c r="D5" s="197" t="str">
        <f>Решения!B51</f>
        <v>Упр.учет фирмы в разрезе подразделений, направлений, проектов</v>
      </c>
      <c r="E5" s="166" t="s">
        <v>248</v>
      </c>
      <c r="F5" s="201">
        <f>Решения!C51</f>
        <v>0.8</v>
      </c>
      <c r="G5" s="589"/>
      <c r="H5" s="590"/>
      <c r="I5" s="551"/>
      <c r="J5" s="551"/>
    </row>
    <row r="6" spans="2:10" ht="86.4" x14ac:dyDescent="0.3">
      <c r="B6" s="169" t="s">
        <v>262</v>
      </c>
      <c r="C6" s="164">
        <f>F9</f>
        <v>0.5</v>
      </c>
      <c r="D6" s="177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6" s="166" t="s">
        <v>248</v>
      </c>
      <c r="F6" s="201">
        <f>Решения!C27</f>
        <v>0.3</v>
      </c>
      <c r="G6" s="589"/>
      <c r="H6" s="590"/>
      <c r="I6" s="551"/>
      <c r="J6" s="551"/>
    </row>
    <row r="7" spans="2:10" ht="43.2" x14ac:dyDescent="0.3">
      <c r="B7" s="169" t="s">
        <v>263</v>
      </c>
      <c r="C7" s="164">
        <f>F4</f>
        <v>0.5</v>
      </c>
      <c r="D7" s="198" t="str">
        <f>Решения!B11</f>
        <v>Балансировка объемов и минимизация ресурсных конфликтов</v>
      </c>
      <c r="E7" s="166" t="s">
        <v>284</v>
      </c>
      <c r="F7" s="201">
        <f>Решения!C11</f>
        <v>0.5</v>
      </c>
      <c r="G7" s="589"/>
      <c r="H7" s="590"/>
      <c r="I7" s="551"/>
      <c r="J7" s="551"/>
    </row>
    <row r="8" spans="2:10" ht="28.8" x14ac:dyDescent="0.3">
      <c r="B8" s="169" t="s">
        <v>264</v>
      </c>
      <c r="C8" s="164">
        <f>F10</f>
        <v>0.5</v>
      </c>
      <c r="D8" s="198" t="str">
        <f>Решения!B5</f>
        <v>Актуализация и балансировка фин.планов</v>
      </c>
      <c r="E8" s="166" t="s">
        <v>248</v>
      </c>
      <c r="F8" s="201">
        <f>Решения!C5</f>
        <v>0.5</v>
      </c>
      <c r="G8" s="589"/>
      <c r="H8" s="590"/>
      <c r="I8" s="551"/>
      <c r="J8" s="551"/>
    </row>
    <row r="9" spans="2:10" ht="28.8" x14ac:dyDescent="0.3">
      <c r="B9" s="169" t="s">
        <v>265</v>
      </c>
      <c r="C9" s="164">
        <f>F7</f>
        <v>0.5</v>
      </c>
      <c r="D9" s="198" t="str">
        <f>Решения!B55</f>
        <v>Управление сводными планами</v>
      </c>
      <c r="E9" s="166" t="s">
        <v>269</v>
      </c>
      <c r="F9" s="201">
        <f>Решения!C55</f>
        <v>0.5</v>
      </c>
      <c r="G9" s="589"/>
      <c r="H9" s="590"/>
      <c r="I9" s="551"/>
      <c r="J9" s="551"/>
    </row>
    <row r="10" spans="2:10" ht="43.2" x14ac:dyDescent="0.3">
      <c r="B10" s="169" t="s">
        <v>274</v>
      </c>
      <c r="C10" s="164">
        <f>F11</f>
        <v>0</v>
      </c>
      <c r="D10" s="177" t="str">
        <f>Решения!B10</f>
        <v>Балансировка и минимизация кассовых разрывов</v>
      </c>
      <c r="E10" s="166" t="s">
        <v>270</v>
      </c>
      <c r="F10" s="201">
        <f>Решения!C10</f>
        <v>0.5</v>
      </c>
      <c r="G10" s="589"/>
      <c r="H10" s="590"/>
      <c r="I10" s="551"/>
      <c r="J10" s="551"/>
    </row>
    <row r="11" spans="2:10" ht="43.8" thickBot="1" x14ac:dyDescent="0.35">
      <c r="B11" s="169"/>
      <c r="C11" s="171"/>
      <c r="D11" s="199" t="str">
        <f>Решения!B9</f>
        <v>Анализ обеспеченности и формирование фронта работ</v>
      </c>
      <c r="E11" s="178" t="s">
        <v>272</v>
      </c>
      <c r="F11" s="202">
        <f>Решения!C9</f>
        <v>0</v>
      </c>
      <c r="G11" s="589"/>
      <c r="H11" s="590"/>
      <c r="I11" s="551"/>
      <c r="J11" s="551"/>
    </row>
    <row r="12" spans="2:10" x14ac:dyDescent="0.3">
      <c r="B12" s="189" t="s">
        <v>9</v>
      </c>
      <c r="C12" s="190"/>
      <c r="D12" s="194" t="s">
        <v>1</v>
      </c>
      <c r="E12" s="186"/>
      <c r="F12" s="186"/>
      <c r="G12" s="589"/>
      <c r="H12" s="590"/>
      <c r="I12" s="207" t="s">
        <v>5</v>
      </c>
      <c r="J12" s="205" t="s">
        <v>14</v>
      </c>
    </row>
    <row r="13" spans="2:10" ht="58.2" thickBot="1" x14ac:dyDescent="0.35">
      <c r="B13" s="187"/>
      <c r="C13" s="188"/>
      <c r="D13" s="19" t="s">
        <v>20</v>
      </c>
      <c r="E13" s="92"/>
      <c r="F13" s="92"/>
      <c r="G13" s="591"/>
      <c r="H13" s="592"/>
      <c r="I13" s="204" t="s">
        <v>18</v>
      </c>
      <c r="J13" s="206"/>
    </row>
    <row r="14" spans="2:10" x14ac:dyDescent="0.3">
      <c r="B14" s="573" t="s">
        <v>2</v>
      </c>
      <c r="C14" s="574"/>
      <c r="D14" s="574"/>
      <c r="E14" s="574"/>
      <c r="F14" s="574"/>
      <c r="G14" s="532"/>
      <c r="H14" s="533" t="s">
        <v>3</v>
      </c>
      <c r="I14" s="531"/>
      <c r="J14" s="577"/>
    </row>
    <row r="15" spans="2:10" ht="14.25" customHeight="1" thickBot="1" x14ac:dyDescent="0.35">
      <c r="B15" s="584"/>
      <c r="C15" s="585"/>
      <c r="D15" s="585"/>
      <c r="E15" s="585"/>
      <c r="F15" s="585"/>
      <c r="G15" s="586"/>
      <c r="H15" s="587"/>
      <c r="I15" s="585"/>
      <c r="J15" s="588"/>
    </row>
    <row r="17" spans="2:6" x14ac:dyDescent="0.3">
      <c r="B17" s="1" t="s">
        <v>227</v>
      </c>
      <c r="C17" s="1"/>
      <c r="D17" s="1" t="s">
        <v>223</v>
      </c>
      <c r="E17" s="136">
        <v>0</v>
      </c>
      <c r="F17" s="136"/>
    </row>
    <row r="18" spans="2:6" x14ac:dyDescent="0.3">
      <c r="B18" s="114" t="s">
        <v>228</v>
      </c>
      <c r="C18" s="114"/>
      <c r="D18" s="114" t="s">
        <v>224</v>
      </c>
      <c r="E18" s="137">
        <v>0.1</v>
      </c>
      <c r="F18" s="137"/>
    </row>
    <row r="19" spans="2:6" x14ac:dyDescent="0.3">
      <c r="B19" s="116" t="s">
        <v>226</v>
      </c>
      <c r="C19" s="116"/>
      <c r="D19" s="115" t="s">
        <v>230</v>
      </c>
      <c r="E19" s="138">
        <v>0.5</v>
      </c>
      <c r="F19" s="138"/>
    </row>
    <row r="20" spans="2:6" x14ac:dyDescent="0.3">
      <c r="B20" s="1"/>
      <c r="C20" s="1"/>
      <c r="D20" s="116" t="s">
        <v>229</v>
      </c>
      <c r="E20" s="139">
        <v>0.8</v>
      </c>
      <c r="F20" s="139"/>
    </row>
    <row r="21" spans="2:6" x14ac:dyDescent="0.3">
      <c r="B21" s="1"/>
      <c r="C21" s="1"/>
      <c r="D21" s="117" t="s">
        <v>225</v>
      </c>
      <c r="E21" s="140">
        <v>1</v>
      </c>
      <c r="F21" s="140"/>
    </row>
  </sheetData>
  <mergeCells count="10">
    <mergeCell ref="B15:G15"/>
    <mergeCell ref="H15:J15"/>
    <mergeCell ref="B2:G2"/>
    <mergeCell ref="H2:J2"/>
    <mergeCell ref="G3:H3"/>
    <mergeCell ref="B14:G14"/>
    <mergeCell ref="H14:J14"/>
    <mergeCell ref="G4:H13"/>
    <mergeCell ref="I4:I11"/>
    <mergeCell ref="J4:J11"/>
  </mergeCells>
  <pageMargins left="0.7" right="0.7" top="0.75" bottom="0.75" header="0.3" footer="0.3"/>
  <pageSetup paperSize="9" orientation="portrait" r:id="rId1"/>
  <ignoredErrors>
    <ignoredError sqref="C7" formula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3"/>
  <sheetViews>
    <sheetView zoomScaleNormal="100" workbookViewId="0">
      <selection activeCell="B11" sqref="B4:H15"/>
    </sheetView>
  </sheetViews>
  <sheetFormatPr defaultRowHeight="14.4" x14ac:dyDescent="0.3"/>
  <cols>
    <col min="2" max="2" width="35.109375" customWidth="1"/>
    <col min="3" max="3" width="4.88671875" customWidth="1"/>
    <col min="4" max="4" width="36.44140625" customWidth="1"/>
    <col min="5" max="5" width="5.33203125" customWidth="1"/>
    <col min="6" max="6" width="4.554687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x14ac:dyDescent="0.3">
      <c r="B3" s="167" t="s">
        <v>10</v>
      </c>
      <c r="C3" s="290">
        <f>ROUND(AVERAGE(C4:C13)*100,0)</f>
        <v>38</v>
      </c>
      <c r="D3" s="174" t="s">
        <v>0</v>
      </c>
      <c r="E3" s="231"/>
      <c r="F3" s="168">
        <f>AVERAGE(F4:F12)</f>
        <v>0.4</v>
      </c>
      <c r="G3" s="571" t="s">
        <v>8</v>
      </c>
      <c r="H3" s="572"/>
      <c r="I3" s="156" t="s">
        <v>4</v>
      </c>
      <c r="J3" s="157" t="s">
        <v>13</v>
      </c>
    </row>
    <row r="4" spans="2:10" ht="28.8" x14ac:dyDescent="0.3">
      <c r="B4" s="179" t="s">
        <v>245</v>
      </c>
      <c r="C4" s="164">
        <f>AVERAGE(F5,F6,F8)</f>
        <v>0.53333333333333333</v>
      </c>
      <c r="D4" s="184" t="str">
        <f>Решения!B54</f>
        <v>Управление проектами</v>
      </c>
      <c r="E4" s="166" t="s">
        <v>247</v>
      </c>
      <c r="F4" s="164">
        <f>Решения!C54</f>
        <v>0.5</v>
      </c>
      <c r="G4" s="593" t="s">
        <v>241</v>
      </c>
      <c r="H4" s="594"/>
      <c r="I4" s="598" t="s">
        <v>232</v>
      </c>
      <c r="J4" s="583" t="s">
        <v>278</v>
      </c>
    </row>
    <row r="5" spans="2:10" ht="43.2" x14ac:dyDescent="0.3">
      <c r="B5" s="179" t="s">
        <v>246</v>
      </c>
      <c r="C5" s="164">
        <f xml:space="preserve"> AVERAGE(F7)</f>
        <v>0.5</v>
      </c>
      <c r="D5" s="179" t="str">
        <f>Решения!B51</f>
        <v>Упр.учет фирмы в разрезе подразделений, направлений, проектов</v>
      </c>
      <c r="E5" s="166" t="s">
        <v>248</v>
      </c>
      <c r="F5" s="164">
        <f>Решения!C51</f>
        <v>0.8</v>
      </c>
      <c r="G5" s="593"/>
      <c r="H5" s="594"/>
      <c r="I5" s="598"/>
      <c r="J5" s="583"/>
    </row>
    <row r="6" spans="2:10" ht="57.6" x14ac:dyDescent="0.3">
      <c r="B6" s="179" t="s">
        <v>262</v>
      </c>
      <c r="C6" s="164">
        <f>F9</f>
        <v>0.5</v>
      </c>
      <c r="D6" s="180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6" s="166" t="s">
        <v>248</v>
      </c>
      <c r="F6" s="164">
        <f>Решения!C27</f>
        <v>0.3</v>
      </c>
      <c r="G6" s="593"/>
      <c r="H6" s="594"/>
      <c r="I6" s="598"/>
      <c r="J6" s="583"/>
    </row>
    <row r="7" spans="2:10" ht="28.8" x14ac:dyDescent="0.3">
      <c r="B7" s="179" t="s">
        <v>263</v>
      </c>
      <c r="C7" s="164">
        <f>F4</f>
        <v>0.5</v>
      </c>
      <c r="D7" s="217" t="str">
        <f>Решения!B11</f>
        <v>Балансировка объемов и минимизация ресурсных конфликтов</v>
      </c>
      <c r="E7" s="166" t="s">
        <v>284</v>
      </c>
      <c r="F7" s="164">
        <f>Решения!C11</f>
        <v>0.5</v>
      </c>
      <c r="G7" s="593"/>
      <c r="H7" s="594"/>
      <c r="I7" s="598"/>
      <c r="J7" s="583"/>
    </row>
    <row r="8" spans="2:10" ht="28.8" x14ac:dyDescent="0.3">
      <c r="B8" s="179" t="s">
        <v>264</v>
      </c>
      <c r="C8" s="164">
        <f>F10</f>
        <v>0.5</v>
      </c>
      <c r="D8" s="217" t="str">
        <f>Решения!B5</f>
        <v>Актуализация и балансировка фин.планов</v>
      </c>
      <c r="E8" s="166" t="s">
        <v>248</v>
      </c>
      <c r="F8" s="164">
        <f>Решения!C5</f>
        <v>0.5</v>
      </c>
      <c r="G8" s="593"/>
      <c r="H8" s="594"/>
      <c r="I8" s="598"/>
      <c r="J8" s="583"/>
    </row>
    <row r="9" spans="2:10" ht="28.8" x14ac:dyDescent="0.3">
      <c r="B9" s="179" t="s">
        <v>265</v>
      </c>
      <c r="C9" s="164">
        <f>F7</f>
        <v>0.5</v>
      </c>
      <c r="D9" s="217" t="str">
        <f>Решения!B55</f>
        <v>Управление сводными планами</v>
      </c>
      <c r="E9" s="166" t="s">
        <v>269</v>
      </c>
      <c r="F9" s="164">
        <f>Решения!C55</f>
        <v>0.5</v>
      </c>
      <c r="G9" s="593"/>
      <c r="H9" s="594"/>
      <c r="I9" s="598"/>
      <c r="J9" s="583"/>
    </row>
    <row r="10" spans="2:10" ht="43.2" x14ac:dyDescent="0.3">
      <c r="B10" s="179" t="s">
        <v>279</v>
      </c>
      <c r="C10" s="164">
        <f>F11</f>
        <v>0</v>
      </c>
      <c r="D10" s="180" t="str">
        <f>Решения!B10</f>
        <v>Балансировка и минимизация кассовых разрывов</v>
      </c>
      <c r="E10" s="166" t="s">
        <v>270</v>
      </c>
      <c r="F10" s="164">
        <f>Решения!C10</f>
        <v>0.5</v>
      </c>
      <c r="G10" s="593"/>
      <c r="H10" s="594"/>
      <c r="I10" s="598"/>
      <c r="J10" s="583"/>
    </row>
    <row r="11" spans="2:10" ht="43.2" x14ac:dyDescent="0.3">
      <c r="B11" s="179" t="s">
        <v>275</v>
      </c>
      <c r="C11" s="164">
        <f>F12</f>
        <v>0</v>
      </c>
      <c r="D11" s="224" t="str">
        <f>Решения!B8</f>
        <v>Анализ обеспеченности (в т.ч. ТМЦ) и формирование фронта работ</v>
      </c>
      <c r="E11" s="166" t="s">
        <v>272</v>
      </c>
      <c r="F11" s="164">
        <f>Решения!C8</f>
        <v>0</v>
      </c>
      <c r="G11" s="593"/>
      <c r="H11" s="594"/>
      <c r="I11" s="598"/>
      <c r="J11" s="583"/>
    </row>
    <row r="12" spans="2:10" ht="15" thickBot="1" x14ac:dyDescent="0.35">
      <c r="B12" s="179"/>
      <c r="C12" s="223"/>
      <c r="D12" s="228" t="str">
        <f>Решения!B29</f>
        <v>Объединенные закупки (лоты)</v>
      </c>
      <c r="E12" s="178" t="s">
        <v>276</v>
      </c>
      <c r="F12" s="165">
        <f>Решения!C29</f>
        <v>0</v>
      </c>
      <c r="G12" s="593"/>
      <c r="H12" s="594"/>
      <c r="I12" s="599"/>
      <c r="J12" s="600"/>
    </row>
    <row r="13" spans="2:10" ht="15" thickBot="1" x14ac:dyDescent="0.35">
      <c r="B13" s="229"/>
      <c r="C13" s="230"/>
      <c r="G13" s="593"/>
      <c r="H13" s="594"/>
      <c r="I13" s="109"/>
      <c r="J13" s="110"/>
    </row>
    <row r="14" spans="2:10" x14ac:dyDescent="0.3">
      <c r="B14" s="189" t="s">
        <v>9</v>
      </c>
      <c r="C14" s="143"/>
      <c r="D14" s="194" t="s">
        <v>1</v>
      </c>
      <c r="E14" s="186"/>
      <c r="F14" s="186"/>
      <c r="G14" s="595"/>
      <c r="H14" s="594"/>
      <c r="I14" s="182" t="s">
        <v>5</v>
      </c>
      <c r="J14" s="161" t="s">
        <v>14</v>
      </c>
    </row>
    <row r="15" spans="2:10" ht="57.6" x14ac:dyDescent="0.3">
      <c r="B15" s="187"/>
      <c r="C15" s="188"/>
      <c r="D15" s="19" t="s">
        <v>20</v>
      </c>
      <c r="E15" s="92"/>
      <c r="F15" s="92"/>
      <c r="G15" s="596"/>
      <c r="H15" s="597"/>
      <c r="I15" s="5" t="s">
        <v>18</v>
      </c>
      <c r="J15" s="163"/>
    </row>
    <row r="16" spans="2:10" x14ac:dyDescent="0.3">
      <c r="B16" s="573" t="s">
        <v>2</v>
      </c>
      <c r="C16" s="574"/>
      <c r="D16" s="574"/>
      <c r="E16" s="574"/>
      <c r="F16" s="574"/>
      <c r="G16" s="575"/>
      <c r="H16" s="576" t="s">
        <v>3</v>
      </c>
      <c r="I16" s="574"/>
      <c r="J16" s="577"/>
    </row>
    <row r="17" spans="2:10" ht="14.25" customHeight="1" thickBot="1" x14ac:dyDescent="0.35">
      <c r="B17" s="535"/>
      <c r="C17" s="536"/>
      <c r="D17" s="536"/>
      <c r="E17" s="536"/>
      <c r="F17" s="536"/>
      <c r="G17" s="537"/>
      <c r="H17" s="538"/>
      <c r="I17" s="536"/>
      <c r="J17" s="539"/>
    </row>
    <row r="19" spans="2:10" x14ac:dyDescent="0.3">
      <c r="B19" s="1" t="s">
        <v>227</v>
      </c>
      <c r="C19" s="1"/>
      <c r="D19" s="1" t="s">
        <v>223</v>
      </c>
      <c r="E19" s="136">
        <v>0</v>
      </c>
      <c r="F19" s="136"/>
    </row>
    <row r="20" spans="2:10" x14ac:dyDescent="0.3">
      <c r="B20" s="114" t="s">
        <v>228</v>
      </c>
      <c r="C20" s="114"/>
      <c r="D20" s="114" t="s">
        <v>224</v>
      </c>
      <c r="E20" s="137">
        <v>0.1</v>
      </c>
      <c r="F20" s="137"/>
    </row>
    <row r="21" spans="2:10" x14ac:dyDescent="0.3">
      <c r="B21" s="116" t="s">
        <v>226</v>
      </c>
      <c r="C21" s="116"/>
      <c r="D21" s="115" t="s">
        <v>230</v>
      </c>
      <c r="E21" s="138">
        <v>0.5</v>
      </c>
      <c r="F21" s="138"/>
    </row>
    <row r="22" spans="2:10" x14ac:dyDescent="0.3">
      <c r="B22" s="1"/>
      <c r="C22" s="1"/>
      <c r="D22" s="116" t="s">
        <v>229</v>
      </c>
      <c r="E22" s="139">
        <v>0.8</v>
      </c>
      <c r="F22" s="139"/>
    </row>
    <row r="23" spans="2:10" x14ac:dyDescent="0.3">
      <c r="B23" s="1"/>
      <c r="C23" s="1"/>
      <c r="D23" s="117" t="s">
        <v>225</v>
      </c>
      <c r="E23" s="140">
        <v>1</v>
      </c>
      <c r="F23" s="140"/>
    </row>
  </sheetData>
  <mergeCells count="10">
    <mergeCell ref="B16:G16"/>
    <mergeCell ref="H16:J16"/>
    <mergeCell ref="B17:G17"/>
    <mergeCell ref="H17:J17"/>
    <mergeCell ref="B2:G2"/>
    <mergeCell ref="H2:J2"/>
    <mergeCell ref="G3:H3"/>
    <mergeCell ref="G4:H15"/>
    <mergeCell ref="I4:I12"/>
    <mergeCell ref="J4:J12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8"/>
  <sheetViews>
    <sheetView zoomScaleNormal="100" workbookViewId="0">
      <selection activeCell="B11" sqref="B4:H15"/>
    </sheetView>
  </sheetViews>
  <sheetFormatPr defaultRowHeight="14.4" x14ac:dyDescent="0.3"/>
  <cols>
    <col min="2" max="2" width="48.5546875" customWidth="1"/>
    <col min="3" max="3" width="5.33203125" customWidth="1"/>
    <col min="4" max="4" width="48" customWidth="1"/>
    <col min="5" max="6" width="5.3320312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x14ac:dyDescent="0.3">
      <c r="B3" s="167" t="s">
        <v>10</v>
      </c>
      <c r="C3" s="290">
        <f>ROUND(AVERAGE(C4:C17)*100,0)</f>
        <v>30</v>
      </c>
      <c r="D3" s="174" t="s">
        <v>0</v>
      </c>
      <c r="E3" s="183" t="s">
        <v>282</v>
      </c>
      <c r="F3" s="168">
        <f>AVERAGE(F4:F17)</f>
        <v>0.35384615384615381</v>
      </c>
      <c r="G3" s="571" t="s">
        <v>8</v>
      </c>
      <c r="H3" s="572"/>
      <c r="I3" s="156" t="s">
        <v>4</v>
      </c>
      <c r="J3" s="157" t="s">
        <v>13</v>
      </c>
    </row>
    <row r="4" spans="2:10" ht="28.8" x14ac:dyDescent="0.3">
      <c r="B4" s="218" t="s">
        <v>295</v>
      </c>
      <c r="C4" s="164">
        <f>AVERAGE(F5,F6)</f>
        <v>0.25</v>
      </c>
      <c r="D4" s="215" t="s">
        <v>281</v>
      </c>
      <c r="E4" s="166"/>
      <c r="F4" s="171"/>
      <c r="G4" s="593" t="s">
        <v>221</v>
      </c>
      <c r="H4" s="594"/>
      <c r="I4" s="598" t="s">
        <v>232</v>
      </c>
      <c r="J4" s="583" t="s">
        <v>252</v>
      </c>
    </row>
    <row r="5" spans="2:10" ht="77.25" customHeight="1" x14ac:dyDescent="0.3">
      <c r="B5" s="218" t="s">
        <v>296</v>
      </c>
      <c r="C5" s="164">
        <f>F6</f>
        <v>0</v>
      </c>
      <c r="D5" s="217" t="str">
        <f>Решения!B16</f>
        <v>Единообразное планирование проектов (План-график, трудозатраты, фин план)</v>
      </c>
      <c r="E5" s="166" t="s">
        <v>283</v>
      </c>
      <c r="F5" s="164">
        <f>Решения!C16</f>
        <v>0.5</v>
      </c>
      <c r="G5" s="593"/>
      <c r="H5" s="594"/>
      <c r="I5" s="598"/>
      <c r="J5" s="583"/>
    </row>
    <row r="6" spans="2:10" ht="43.2" x14ac:dyDescent="0.3">
      <c r="B6" s="218" t="s">
        <v>297</v>
      </c>
      <c r="C6" s="164">
        <f>AVERAGE(F7,F8, F9)</f>
        <v>0.5</v>
      </c>
      <c r="D6" s="180" t="str">
        <f>Решения!B35</f>
        <v>Проектный документооборот (~MDR базовый)  (жизненный цикл основных проектных артефактов, указанных в ТЗ и договоре)</v>
      </c>
      <c r="E6" s="166" t="s">
        <v>285</v>
      </c>
      <c r="F6" s="164">
        <f>Решения!C35</f>
        <v>0</v>
      </c>
      <c r="G6" s="593"/>
      <c r="H6" s="594"/>
      <c r="I6" s="598"/>
      <c r="J6" s="583"/>
    </row>
    <row r="7" spans="2:10" ht="57.6" x14ac:dyDescent="0.3">
      <c r="B7" s="218" t="s">
        <v>298</v>
      </c>
      <c r="C7" s="164">
        <f>AVERAGE(F5,F6, F14, F15)</f>
        <v>0.32500000000000001</v>
      </c>
      <c r="D7" s="184" t="str">
        <f>Решения!B7</f>
        <v>Актуализация информации по проектам</v>
      </c>
      <c r="E7" s="166" t="s">
        <v>286</v>
      </c>
      <c r="F7" s="164">
        <f>Решения!C7</f>
        <v>0.5</v>
      </c>
      <c r="G7" s="593"/>
      <c r="H7" s="594"/>
      <c r="I7" s="598"/>
      <c r="J7" s="583"/>
    </row>
    <row r="8" spans="2:10" ht="28.8" x14ac:dyDescent="0.3">
      <c r="B8" s="218" t="s">
        <v>299</v>
      </c>
      <c r="C8" s="164">
        <f>AVERAGE(F12,F10, F11, F13)</f>
        <v>0.25</v>
      </c>
      <c r="D8" s="227" t="str">
        <f>Решения!B57</f>
        <v>Формирование отчетности по проектам</v>
      </c>
      <c r="E8" s="166" t="s">
        <v>286</v>
      </c>
      <c r="F8" s="164">
        <f>Решения!C57</f>
        <v>0.5</v>
      </c>
      <c r="G8" s="593"/>
      <c r="H8" s="594"/>
      <c r="I8" s="598"/>
      <c r="J8" s="583"/>
    </row>
    <row r="9" spans="2:10" ht="28.8" x14ac:dyDescent="0.3">
      <c r="B9" s="218" t="s">
        <v>377</v>
      </c>
      <c r="C9" s="221">
        <f>F16</f>
        <v>0.8</v>
      </c>
      <c r="D9" s="180" t="str">
        <f>Решения!B43</f>
        <v>Статус-отчеты по проекту. От Фазы Пресейла до Завершения договора</v>
      </c>
      <c r="E9" s="166" t="s">
        <v>286</v>
      </c>
      <c r="F9" s="164">
        <f>Решения!C43</f>
        <v>0.5</v>
      </c>
      <c r="G9" s="593"/>
      <c r="H9" s="594"/>
      <c r="I9" s="598"/>
      <c r="J9" s="583"/>
    </row>
    <row r="10" spans="2:10" ht="28.8" x14ac:dyDescent="0.3">
      <c r="B10" s="218" t="s">
        <v>378</v>
      </c>
      <c r="C10" s="222">
        <f>AVERAGE(F17)</f>
        <v>0</v>
      </c>
      <c r="D10" s="184" t="str">
        <f>Решения!B15</f>
        <v>Диспетчирование работ (поручения)</v>
      </c>
      <c r="E10" s="166" t="s">
        <v>292</v>
      </c>
      <c r="F10" s="164">
        <f>Решения!C15</f>
        <v>0.5</v>
      </c>
      <c r="G10" s="593"/>
      <c r="H10" s="594"/>
      <c r="I10" s="598"/>
      <c r="J10" s="583"/>
    </row>
    <row r="11" spans="2:10" x14ac:dyDescent="0.3">
      <c r="B11" s="226"/>
      <c r="C11" s="222"/>
      <c r="D11" s="180" t="str">
        <f>Решения!B24</f>
        <v>Канбан-доска</v>
      </c>
      <c r="E11" s="166" t="s">
        <v>292</v>
      </c>
      <c r="F11" s="164">
        <f>Решения!C24</f>
        <v>0</v>
      </c>
      <c r="G11" s="593"/>
      <c r="H11" s="594"/>
      <c r="I11" s="598"/>
      <c r="J11" s="583"/>
    </row>
    <row r="12" spans="2:10" x14ac:dyDescent="0.3">
      <c r="B12" s="226"/>
      <c r="C12" s="222"/>
      <c r="D12" s="180" t="str">
        <f>Решения!B23</f>
        <v>Интеграция с трекинг-системами</v>
      </c>
      <c r="E12" s="166" t="s">
        <v>292</v>
      </c>
      <c r="F12" s="164">
        <f>Решения!C23</f>
        <v>0.5</v>
      </c>
      <c r="G12" s="593"/>
      <c r="H12" s="594"/>
      <c r="I12" s="598"/>
      <c r="J12" s="583"/>
    </row>
    <row r="13" spans="2:10" x14ac:dyDescent="0.3">
      <c r="B13" s="169"/>
      <c r="C13" s="222"/>
      <c r="D13" s="180" t="str">
        <f>Решения!B2</f>
        <v>1С:Взаимодействие</v>
      </c>
      <c r="E13" s="166" t="s">
        <v>292</v>
      </c>
      <c r="F13" s="164">
        <f>Решения!C2</f>
        <v>0</v>
      </c>
      <c r="G13" s="593"/>
      <c r="H13" s="594"/>
      <c r="I13" s="598"/>
      <c r="J13" s="583"/>
    </row>
    <row r="14" spans="2:10" x14ac:dyDescent="0.3">
      <c r="B14" s="169"/>
      <c r="C14" s="223"/>
      <c r="D14" s="184" t="str">
        <f>Решения!B28</f>
        <v>Многомерные проекты</v>
      </c>
      <c r="E14" s="166" t="s">
        <v>294</v>
      </c>
      <c r="F14" s="164">
        <f>Решения!C28</f>
        <v>0.5</v>
      </c>
      <c r="G14" s="593"/>
      <c r="H14" s="594"/>
      <c r="I14" s="598"/>
      <c r="J14" s="583"/>
    </row>
    <row r="15" spans="2:10" ht="43.2" x14ac:dyDescent="0.3">
      <c r="B15" s="169"/>
      <c r="C15" s="223"/>
      <c r="D15" s="180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15" s="166" t="s">
        <v>294</v>
      </c>
      <c r="F15" s="164">
        <f>Решения!C27</f>
        <v>0.3</v>
      </c>
      <c r="G15" s="593"/>
      <c r="H15" s="594"/>
      <c r="I15" s="598"/>
      <c r="J15" s="583"/>
    </row>
    <row r="16" spans="2:10" ht="28.8" x14ac:dyDescent="0.3">
      <c r="B16" s="169"/>
      <c r="C16" s="223"/>
      <c r="D16" s="179" t="str">
        <f>Решения!B51</f>
        <v>Упр.учет фирмы в разрезе подразделений, направлений, проектов</v>
      </c>
      <c r="E16" s="209" t="s">
        <v>268</v>
      </c>
      <c r="F16" s="164">
        <f>Решения!C51</f>
        <v>0.8</v>
      </c>
      <c r="G16" s="593"/>
      <c r="H16" s="594"/>
      <c r="I16" s="598"/>
      <c r="J16" s="583"/>
    </row>
    <row r="17" spans="2:10" ht="29.4" thickBot="1" x14ac:dyDescent="0.35">
      <c r="B17" s="191"/>
      <c r="C17" s="192"/>
      <c r="D17" s="228" t="str">
        <f>Решения!B9</f>
        <v>Анализ обеспеченности и формирование фронта работ</v>
      </c>
      <c r="E17" s="225" t="s">
        <v>272</v>
      </c>
      <c r="F17" s="165">
        <f>Решения!C9</f>
        <v>0</v>
      </c>
      <c r="G17" s="593"/>
      <c r="H17" s="594"/>
      <c r="I17" s="599"/>
      <c r="J17" s="600"/>
    </row>
    <row r="18" spans="2:10" x14ac:dyDescent="0.3">
      <c r="B18" s="189" t="s">
        <v>9</v>
      </c>
      <c r="C18" s="143"/>
      <c r="D18" s="194" t="s">
        <v>1</v>
      </c>
      <c r="E18" s="186"/>
      <c r="F18" s="186"/>
      <c r="G18" s="595"/>
      <c r="H18" s="594"/>
      <c r="I18" s="182" t="s">
        <v>5</v>
      </c>
      <c r="J18" s="161" t="s">
        <v>14</v>
      </c>
    </row>
    <row r="19" spans="2:10" ht="57.6" x14ac:dyDescent="0.3">
      <c r="B19" s="187"/>
      <c r="C19" s="188"/>
      <c r="D19" s="19" t="s">
        <v>20</v>
      </c>
      <c r="E19" s="92"/>
      <c r="F19" s="92"/>
      <c r="G19" s="596"/>
      <c r="H19" s="597"/>
      <c r="I19" s="5" t="s">
        <v>18</v>
      </c>
      <c r="J19" s="163"/>
    </row>
    <row r="20" spans="2:10" x14ac:dyDescent="0.3">
      <c r="B20" s="573" t="s">
        <v>2</v>
      </c>
      <c r="C20" s="574"/>
      <c r="D20" s="574"/>
      <c r="E20" s="574"/>
      <c r="F20" s="574"/>
      <c r="G20" s="575"/>
      <c r="H20" s="576" t="s">
        <v>3</v>
      </c>
      <c r="I20" s="574"/>
      <c r="J20" s="577"/>
    </row>
    <row r="21" spans="2:10" ht="15" thickBot="1" x14ac:dyDescent="0.35">
      <c r="B21" s="535"/>
      <c r="C21" s="536"/>
      <c r="D21" s="536"/>
      <c r="E21" s="536"/>
      <c r="F21" s="536"/>
      <c r="G21" s="537"/>
      <c r="H21" s="538"/>
      <c r="I21" s="536"/>
      <c r="J21" s="539"/>
    </row>
    <row r="23" spans="2:10" x14ac:dyDescent="0.3">
      <c r="B23" s="1" t="s">
        <v>227</v>
      </c>
      <c r="C23" s="1"/>
      <c r="D23" s="1" t="s">
        <v>223</v>
      </c>
      <c r="E23" s="136">
        <v>0</v>
      </c>
    </row>
    <row r="24" spans="2:10" x14ac:dyDescent="0.3">
      <c r="B24" s="114" t="s">
        <v>228</v>
      </c>
      <c r="C24" s="114"/>
      <c r="D24" s="114" t="s">
        <v>224</v>
      </c>
      <c r="E24" s="137">
        <v>0.1</v>
      </c>
    </row>
    <row r="25" spans="2:10" x14ac:dyDescent="0.3">
      <c r="B25" s="116" t="s">
        <v>226</v>
      </c>
      <c r="C25" s="116"/>
      <c r="D25" s="115" t="s">
        <v>230</v>
      </c>
      <c r="E25" s="138">
        <v>0.5</v>
      </c>
      <c r="F25" s="86"/>
    </row>
    <row r="26" spans="2:10" x14ac:dyDescent="0.3">
      <c r="B26" s="1"/>
      <c r="C26" s="1"/>
      <c r="D26" s="116" t="s">
        <v>229</v>
      </c>
      <c r="E26" s="139">
        <v>0.8</v>
      </c>
      <c r="F26" s="89"/>
    </row>
    <row r="27" spans="2:10" x14ac:dyDescent="0.3">
      <c r="B27" s="1"/>
      <c r="C27" s="1"/>
      <c r="D27" s="117" t="s">
        <v>225</v>
      </c>
      <c r="E27" s="140">
        <v>1</v>
      </c>
      <c r="F27" s="88"/>
    </row>
    <row r="28" spans="2:10" x14ac:dyDescent="0.3">
      <c r="D28" s="117"/>
      <c r="E28" s="87"/>
      <c r="F28" s="87"/>
    </row>
  </sheetData>
  <mergeCells count="10">
    <mergeCell ref="B21:G21"/>
    <mergeCell ref="H21:J21"/>
    <mergeCell ref="B2:G2"/>
    <mergeCell ref="H2:J2"/>
    <mergeCell ref="G3:H3"/>
    <mergeCell ref="B20:G20"/>
    <mergeCell ref="H20:J20"/>
    <mergeCell ref="G4:H19"/>
    <mergeCell ref="I4:I17"/>
    <mergeCell ref="J4:J17"/>
  </mergeCells>
  <conditionalFormatting sqref="F8">
    <cfRule type="containsText" priority="1" operator="containsText" text="%">
      <formula>NOT(ISERROR(SEARCH("%",F8)))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0"/>
  <sheetViews>
    <sheetView zoomScaleNormal="100" workbookViewId="0">
      <selection activeCell="B11" sqref="B4:H15"/>
    </sheetView>
  </sheetViews>
  <sheetFormatPr defaultRowHeight="14.4" x14ac:dyDescent="0.3"/>
  <cols>
    <col min="2" max="2" width="62.5546875" customWidth="1"/>
    <col min="3" max="3" width="5.33203125" customWidth="1"/>
    <col min="4" max="4" width="63.44140625" customWidth="1"/>
    <col min="5" max="5" width="5.33203125" customWidth="1"/>
    <col min="6" max="6" width="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x14ac:dyDescent="0.3">
      <c r="B3" s="167" t="s">
        <v>10</v>
      </c>
      <c r="C3" s="290">
        <f>ROUND(AVERAGE(C4:C17)*100,0)</f>
        <v>37</v>
      </c>
      <c r="D3" s="174" t="s">
        <v>0</v>
      </c>
      <c r="E3" s="183" t="s">
        <v>282</v>
      </c>
      <c r="F3" s="168">
        <f>AVERAGE(F4:F17)</f>
        <v>0.35384615384615381</v>
      </c>
      <c r="G3" s="571" t="s">
        <v>8</v>
      </c>
      <c r="H3" s="572"/>
      <c r="I3" s="156" t="s">
        <v>4</v>
      </c>
      <c r="J3" s="157" t="s">
        <v>13</v>
      </c>
    </row>
    <row r="4" spans="2:10" ht="28.8" x14ac:dyDescent="0.3">
      <c r="B4" s="218" t="s">
        <v>295</v>
      </c>
      <c r="C4" s="164">
        <f>AVERAGE(F5,F6)</f>
        <v>0.25</v>
      </c>
      <c r="D4" s="215" t="s">
        <v>281</v>
      </c>
      <c r="E4" s="166"/>
      <c r="F4" s="171"/>
      <c r="G4" s="593" t="s">
        <v>221</v>
      </c>
      <c r="H4" s="594"/>
      <c r="I4" s="598" t="s">
        <v>232</v>
      </c>
      <c r="J4" s="583" t="s">
        <v>252</v>
      </c>
    </row>
    <row r="5" spans="2:10" ht="57.6" x14ac:dyDescent="0.3">
      <c r="B5" s="218" t="s">
        <v>296</v>
      </c>
      <c r="C5" s="164">
        <f>F6</f>
        <v>0</v>
      </c>
      <c r="D5" s="217" t="str">
        <f>Решения!B16</f>
        <v>Единообразное планирование проектов (План-график, трудозатраты, фин план)</v>
      </c>
      <c r="E5" s="166" t="s">
        <v>283</v>
      </c>
      <c r="F5" s="164">
        <f>Решения!C16</f>
        <v>0.5</v>
      </c>
      <c r="G5" s="593"/>
      <c r="H5" s="594"/>
      <c r="I5" s="598"/>
      <c r="J5" s="583"/>
    </row>
    <row r="6" spans="2:10" ht="28.8" x14ac:dyDescent="0.3">
      <c r="B6" s="218" t="s">
        <v>297</v>
      </c>
      <c r="C6" s="164">
        <f>AVERAGE(F7,F8, F9)</f>
        <v>0.5</v>
      </c>
      <c r="D6" s="180" t="str">
        <f>Решения!B35</f>
        <v>Проектный документооборот (~MDR базовый)  (жизненный цикл основных проектных артефактов, указанных в ТЗ и договоре)</v>
      </c>
      <c r="E6" s="166" t="s">
        <v>285</v>
      </c>
      <c r="F6" s="164">
        <f>Решения!C35</f>
        <v>0</v>
      </c>
      <c r="G6" s="593"/>
      <c r="H6" s="594"/>
      <c r="I6" s="598"/>
      <c r="J6" s="583"/>
    </row>
    <row r="7" spans="2:10" ht="43.2" x14ac:dyDescent="0.3">
      <c r="B7" s="218" t="s">
        <v>298</v>
      </c>
      <c r="C7" s="164">
        <f>AVERAGE(F5,F6, F14, F15)</f>
        <v>0.32500000000000001</v>
      </c>
      <c r="D7" s="184" t="str">
        <f>Решения!B7</f>
        <v>Актуализация информации по проектам</v>
      </c>
      <c r="E7" s="166" t="s">
        <v>286</v>
      </c>
      <c r="F7" s="164">
        <f>Решения!C7</f>
        <v>0.5</v>
      </c>
      <c r="G7" s="593"/>
      <c r="H7" s="594"/>
      <c r="I7" s="598"/>
      <c r="J7" s="583"/>
    </row>
    <row r="8" spans="2:10" ht="28.8" x14ac:dyDescent="0.3">
      <c r="B8" s="218" t="s">
        <v>299</v>
      </c>
      <c r="C8" s="164">
        <f>AVERAGE(F12,F10, F11, F13)</f>
        <v>0.25</v>
      </c>
      <c r="D8" s="227" t="str">
        <f>Решения!B57</f>
        <v>Формирование отчетности по проектам</v>
      </c>
      <c r="E8" s="166" t="s">
        <v>286</v>
      </c>
      <c r="F8" s="164">
        <f>Решения!C57</f>
        <v>0.5</v>
      </c>
      <c r="G8" s="593"/>
      <c r="H8" s="594"/>
      <c r="I8" s="598"/>
      <c r="J8" s="583"/>
    </row>
    <row r="9" spans="2:10" ht="28.8" x14ac:dyDescent="0.3">
      <c r="B9" s="218" t="s">
        <v>377</v>
      </c>
      <c r="C9" s="221">
        <f>F16</f>
        <v>0.8</v>
      </c>
      <c r="D9" s="180" t="str">
        <f>Решения!B43</f>
        <v>Статус-отчеты по проекту. От Фазы Пресейла до Завершения договора</v>
      </c>
      <c r="E9" s="166" t="s">
        <v>286</v>
      </c>
      <c r="F9" s="164">
        <f>Решения!C43</f>
        <v>0.5</v>
      </c>
      <c r="G9" s="593"/>
      <c r="H9" s="594"/>
      <c r="I9" s="598"/>
      <c r="J9" s="583"/>
    </row>
    <row r="10" spans="2:10" x14ac:dyDescent="0.3">
      <c r="B10" s="218" t="s">
        <v>378</v>
      </c>
      <c r="C10" s="222">
        <f>AVERAGE(F17)</f>
        <v>0</v>
      </c>
      <c r="D10" s="184" t="str">
        <f>Решения!B15</f>
        <v>Диспетчирование работ (поручения)</v>
      </c>
      <c r="E10" s="166" t="s">
        <v>292</v>
      </c>
      <c r="F10" s="164">
        <f>Решения!C15</f>
        <v>0.5</v>
      </c>
      <c r="G10" s="593"/>
      <c r="H10" s="594"/>
      <c r="I10" s="598"/>
      <c r="J10" s="583"/>
    </row>
    <row r="11" spans="2:10" ht="28.8" x14ac:dyDescent="0.3">
      <c r="B11" s="218" t="s">
        <v>383</v>
      </c>
      <c r="C11" s="222">
        <f>AVERAGE(F19,F18)</f>
        <v>0.4</v>
      </c>
      <c r="D11" s="180" t="str">
        <f>Решения!B24</f>
        <v>Канбан-доска</v>
      </c>
      <c r="E11" s="166" t="s">
        <v>292</v>
      </c>
      <c r="F11" s="164">
        <f>Решения!C24</f>
        <v>0</v>
      </c>
      <c r="G11" s="593"/>
      <c r="H11" s="594"/>
      <c r="I11" s="598"/>
      <c r="J11" s="583"/>
    </row>
    <row r="12" spans="2:10" x14ac:dyDescent="0.3">
      <c r="B12" s="218" t="s">
        <v>384</v>
      </c>
      <c r="C12" s="222">
        <f>F19</f>
        <v>0.8</v>
      </c>
      <c r="D12" s="180" t="str">
        <f>Решения!B23</f>
        <v>Интеграция с трекинг-системами</v>
      </c>
      <c r="E12" s="166" t="s">
        <v>292</v>
      </c>
      <c r="F12" s="164">
        <f>Решения!C23</f>
        <v>0.5</v>
      </c>
      <c r="G12" s="593"/>
      <c r="H12" s="594"/>
      <c r="I12" s="598"/>
      <c r="J12" s="583"/>
    </row>
    <row r="13" spans="2:10" x14ac:dyDescent="0.3">
      <c r="B13" s="169"/>
      <c r="C13" s="222"/>
      <c r="D13" s="180" t="str">
        <f>Решения!B2</f>
        <v>1С:Взаимодействие</v>
      </c>
      <c r="E13" s="166" t="s">
        <v>292</v>
      </c>
      <c r="F13" s="164">
        <f>Решения!C2</f>
        <v>0</v>
      </c>
      <c r="G13" s="593"/>
      <c r="H13" s="594"/>
      <c r="I13" s="598"/>
      <c r="J13" s="583"/>
    </row>
    <row r="14" spans="2:10" x14ac:dyDescent="0.3">
      <c r="B14" s="169"/>
      <c r="C14" s="223"/>
      <c r="D14" s="184" t="str">
        <f>Решения!B28</f>
        <v>Многомерные проекты</v>
      </c>
      <c r="E14" s="166" t="s">
        <v>294</v>
      </c>
      <c r="F14" s="164">
        <f>Решения!C28</f>
        <v>0.5</v>
      </c>
      <c r="G14" s="593"/>
      <c r="H14" s="594"/>
      <c r="I14" s="598"/>
      <c r="J14" s="583"/>
    </row>
    <row r="15" spans="2:10" ht="28.8" x14ac:dyDescent="0.3">
      <c r="B15" s="169"/>
      <c r="C15" s="223"/>
      <c r="D15" s="180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15" s="166" t="s">
        <v>294</v>
      </c>
      <c r="F15" s="164">
        <f>Решения!C27</f>
        <v>0.3</v>
      </c>
      <c r="G15" s="593"/>
      <c r="H15" s="594"/>
      <c r="I15" s="598"/>
      <c r="J15" s="583"/>
    </row>
    <row r="16" spans="2:10" x14ac:dyDescent="0.3">
      <c r="B16" s="169"/>
      <c r="C16" s="223"/>
      <c r="D16" s="179" t="str">
        <f>Решения!B51</f>
        <v>Упр.учет фирмы в разрезе подразделений, направлений, проектов</v>
      </c>
      <c r="E16" s="209" t="s">
        <v>268</v>
      </c>
      <c r="F16" s="164">
        <f>Решения!C51</f>
        <v>0.8</v>
      </c>
      <c r="G16" s="593"/>
      <c r="H16" s="594"/>
      <c r="I16" s="598"/>
      <c r="J16" s="583"/>
    </row>
    <row r="17" spans="2:10" ht="15" thickBot="1" x14ac:dyDescent="0.35">
      <c r="B17" s="191"/>
      <c r="C17" s="192"/>
      <c r="D17" s="228" t="str">
        <f>Решения!B8</f>
        <v>Анализ обеспеченности (в т.ч. ТМЦ) и формирование фронта работ</v>
      </c>
      <c r="E17" s="225" t="s">
        <v>272</v>
      </c>
      <c r="F17" s="165">
        <f>Решения!C8</f>
        <v>0</v>
      </c>
      <c r="G17" s="593"/>
      <c r="H17" s="594"/>
      <c r="I17" s="599"/>
      <c r="J17" s="600"/>
    </row>
    <row r="18" spans="2:10" x14ac:dyDescent="0.3">
      <c r="B18" s="303"/>
      <c r="C18" s="304"/>
      <c r="D18" s="224" t="str">
        <f>Решения!B34</f>
        <v>Привязка спецификаций к работам проекта</v>
      </c>
      <c r="E18" s="209" t="s">
        <v>276</v>
      </c>
      <c r="F18" s="164">
        <f>Решения!C34</f>
        <v>0</v>
      </c>
      <c r="G18" s="593"/>
      <c r="H18" s="594"/>
      <c r="I18" s="118"/>
      <c r="J18" s="119"/>
    </row>
    <row r="19" spans="2:10" ht="15" thickBot="1" x14ac:dyDescent="0.35">
      <c r="B19" s="303"/>
      <c r="C19" s="304"/>
      <c r="D19" s="216" t="str">
        <f>Решения!B40</f>
        <v>Связь проектов, заказов поставщикам и факта поставки ТМЦ</v>
      </c>
      <c r="E19" s="225" t="s">
        <v>385</v>
      </c>
      <c r="F19" s="165">
        <f>Решения!C40</f>
        <v>0.8</v>
      </c>
      <c r="G19" s="593"/>
      <c r="H19" s="594"/>
      <c r="I19" s="118"/>
      <c r="J19" s="119"/>
    </row>
    <row r="20" spans="2:10" x14ac:dyDescent="0.3">
      <c r="B20" s="189" t="s">
        <v>9</v>
      </c>
      <c r="C20" s="143"/>
      <c r="D20" s="194" t="s">
        <v>1</v>
      </c>
      <c r="E20" s="186"/>
      <c r="F20" s="186"/>
      <c r="G20" s="595"/>
      <c r="H20" s="594"/>
      <c r="I20" s="182" t="s">
        <v>5</v>
      </c>
      <c r="J20" s="161" t="s">
        <v>14</v>
      </c>
    </row>
    <row r="21" spans="2:10" ht="57.6" x14ac:dyDescent="0.3">
      <c r="B21" s="187"/>
      <c r="C21" s="188"/>
      <c r="D21" s="19" t="s">
        <v>20</v>
      </c>
      <c r="E21" s="92"/>
      <c r="F21" s="92"/>
      <c r="G21" s="596"/>
      <c r="H21" s="597"/>
      <c r="I21" s="5" t="s">
        <v>18</v>
      </c>
      <c r="J21" s="163"/>
    </row>
    <row r="22" spans="2:10" x14ac:dyDescent="0.3">
      <c r="B22" s="573" t="s">
        <v>2</v>
      </c>
      <c r="C22" s="574"/>
      <c r="D22" s="574"/>
      <c r="E22" s="574"/>
      <c r="F22" s="574"/>
      <c r="G22" s="575"/>
      <c r="H22" s="576" t="s">
        <v>3</v>
      </c>
      <c r="I22" s="574"/>
      <c r="J22" s="577"/>
    </row>
    <row r="23" spans="2:10" ht="15" thickBot="1" x14ac:dyDescent="0.35">
      <c r="B23" s="535"/>
      <c r="C23" s="536"/>
      <c r="D23" s="536"/>
      <c r="E23" s="536"/>
      <c r="F23" s="536"/>
      <c r="G23" s="537"/>
      <c r="H23" s="538"/>
      <c r="I23" s="536"/>
      <c r="J23" s="539"/>
    </row>
    <row r="25" spans="2:10" x14ac:dyDescent="0.3">
      <c r="B25" s="1" t="s">
        <v>227</v>
      </c>
      <c r="C25" s="1"/>
      <c r="D25" s="1" t="s">
        <v>223</v>
      </c>
      <c r="E25" s="136">
        <v>0</v>
      </c>
    </row>
    <row r="26" spans="2:10" x14ac:dyDescent="0.3">
      <c r="B26" s="114" t="s">
        <v>228</v>
      </c>
      <c r="C26" s="114"/>
      <c r="D26" s="114" t="s">
        <v>224</v>
      </c>
      <c r="E26" s="137">
        <v>0.1</v>
      </c>
    </row>
    <row r="27" spans="2:10" x14ac:dyDescent="0.3">
      <c r="B27" s="116" t="s">
        <v>226</v>
      </c>
      <c r="C27" s="116"/>
      <c r="D27" s="115" t="s">
        <v>230</v>
      </c>
      <c r="E27" s="138">
        <v>0.5</v>
      </c>
      <c r="F27" s="86"/>
    </row>
    <row r="28" spans="2:10" x14ac:dyDescent="0.3">
      <c r="B28" s="1"/>
      <c r="C28" s="1"/>
      <c r="D28" s="116" t="s">
        <v>229</v>
      </c>
      <c r="E28" s="139">
        <v>0.8</v>
      </c>
      <c r="F28" s="89"/>
    </row>
    <row r="29" spans="2:10" x14ac:dyDescent="0.3">
      <c r="B29" s="1"/>
      <c r="C29" s="1"/>
      <c r="D29" s="117" t="s">
        <v>225</v>
      </c>
      <c r="E29" s="140">
        <v>1</v>
      </c>
      <c r="F29" s="88"/>
    </row>
    <row r="30" spans="2:10" x14ac:dyDescent="0.3">
      <c r="D30" s="117"/>
      <c r="E30" s="87"/>
      <c r="F30" s="87"/>
    </row>
  </sheetData>
  <mergeCells count="10">
    <mergeCell ref="B22:G22"/>
    <mergeCell ref="H22:J22"/>
    <mergeCell ref="B23:G23"/>
    <mergeCell ref="H23:J23"/>
    <mergeCell ref="B2:G2"/>
    <mergeCell ref="H2:J2"/>
    <mergeCell ref="G3:H3"/>
    <mergeCell ref="G4:H21"/>
    <mergeCell ref="I4:I17"/>
    <mergeCell ref="J4:J17"/>
  </mergeCells>
  <conditionalFormatting sqref="F8">
    <cfRule type="containsText" priority="1" operator="containsText" text="%">
      <formula>NOT(ISERROR(SEARCH("%",F8)))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0"/>
  <sheetViews>
    <sheetView zoomScaleNormal="100" workbookViewId="0">
      <selection activeCell="B11" sqref="B4:H15"/>
    </sheetView>
  </sheetViews>
  <sheetFormatPr defaultRowHeight="14.4" x14ac:dyDescent="0.3"/>
  <cols>
    <col min="2" max="2" width="42.44140625" customWidth="1"/>
    <col min="3" max="3" width="5.5546875" customWidth="1"/>
    <col min="4" max="4" width="33.88671875" customWidth="1"/>
    <col min="5" max="5" width="5.88671875" customWidth="1"/>
    <col min="6" max="6" width="5.33203125" customWidth="1"/>
    <col min="7" max="7" width="15.6640625" customWidth="1"/>
    <col min="8" max="8" width="20" customWidth="1"/>
    <col min="9" max="10" width="30.66406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x14ac:dyDescent="0.3">
      <c r="B3" s="167" t="s">
        <v>10</v>
      </c>
      <c r="C3" s="290">
        <f>ROUND(AVERAGE(C4:C10)*100,0)</f>
        <v>32</v>
      </c>
      <c r="D3" s="174" t="s">
        <v>0</v>
      </c>
      <c r="E3" s="183" t="s">
        <v>282</v>
      </c>
      <c r="F3" s="168">
        <f>AVERAGE(F4:F10)</f>
        <v>0.32857142857142857</v>
      </c>
      <c r="G3" s="571" t="s">
        <v>8</v>
      </c>
      <c r="H3" s="572"/>
      <c r="I3" s="156" t="s">
        <v>4</v>
      </c>
      <c r="J3" s="157" t="s">
        <v>13</v>
      </c>
    </row>
    <row r="4" spans="2:10" ht="28.8" x14ac:dyDescent="0.3">
      <c r="B4" s="179" t="s">
        <v>245</v>
      </c>
      <c r="C4" s="164">
        <f>AVERAGE(F4,F6, F9)</f>
        <v>0.43333333333333335</v>
      </c>
      <c r="D4" s="217" t="str">
        <f>Решения!B50</f>
        <v>Упр и ресурсный учет подразделения в разрезе проектов</v>
      </c>
      <c r="E4" s="166" t="s">
        <v>313</v>
      </c>
      <c r="F4" s="164">
        <f>Решения!C50</f>
        <v>0.5</v>
      </c>
      <c r="G4" s="593" t="s">
        <v>222</v>
      </c>
      <c r="H4" s="594"/>
      <c r="I4" s="601" t="s">
        <v>334</v>
      </c>
      <c r="J4" s="602" t="s">
        <v>56</v>
      </c>
    </row>
    <row r="5" spans="2:10" ht="43.2" x14ac:dyDescent="0.3">
      <c r="B5" s="179" t="s">
        <v>246</v>
      </c>
      <c r="C5" s="164">
        <f>AVERAGE(F5)</f>
        <v>0.5</v>
      </c>
      <c r="D5" s="217" t="str">
        <f>Решения!B11</f>
        <v>Балансировка объемов и минимизация ресурсных конфликтов</v>
      </c>
      <c r="E5" s="166" t="s">
        <v>312</v>
      </c>
      <c r="F5" s="164">
        <f>Решения!C11</f>
        <v>0.5</v>
      </c>
      <c r="G5" s="593"/>
      <c r="H5" s="594"/>
      <c r="I5" s="601"/>
      <c r="J5" s="602"/>
    </row>
    <row r="6" spans="2:10" ht="43.2" x14ac:dyDescent="0.3">
      <c r="B6" s="179" t="s">
        <v>308</v>
      </c>
      <c r="C6" s="164">
        <f>AVERAGE(F4)</f>
        <v>0.5</v>
      </c>
      <c r="D6" s="217" t="str">
        <f>Решения!B5</f>
        <v>Актуализация и балансировка фин.планов</v>
      </c>
      <c r="E6" s="166" t="s">
        <v>248</v>
      </c>
      <c r="F6" s="164">
        <f>Решения!C5</f>
        <v>0.5</v>
      </c>
      <c r="G6" s="593"/>
      <c r="H6" s="594"/>
      <c r="I6" s="601"/>
      <c r="J6" s="602"/>
    </row>
    <row r="7" spans="2:10" ht="28.8" x14ac:dyDescent="0.3">
      <c r="B7" s="179" t="s">
        <v>309</v>
      </c>
      <c r="C7" s="164">
        <f>AVERAGE(F8)</f>
        <v>0</v>
      </c>
      <c r="D7" s="180" t="str">
        <f>Решения!B9</f>
        <v>Анализ обеспеченности и формирование фронта работ</v>
      </c>
      <c r="E7" s="166" t="s">
        <v>272</v>
      </c>
      <c r="F7" s="164">
        <f>Решения!C9</f>
        <v>0</v>
      </c>
      <c r="G7" s="593"/>
      <c r="H7" s="594"/>
      <c r="I7" s="601"/>
      <c r="J7" s="602"/>
    </row>
    <row r="8" spans="2:10" ht="28.8" x14ac:dyDescent="0.3">
      <c r="B8" s="179" t="s">
        <v>310</v>
      </c>
      <c r="C8" s="164">
        <f>F5</f>
        <v>0.5</v>
      </c>
      <c r="D8" s="180" t="str">
        <f>Решения!B21</f>
        <v>Интеграция с КИС</v>
      </c>
      <c r="E8" s="166" t="s">
        <v>247</v>
      </c>
      <c r="F8" s="164">
        <f>Решения!C21</f>
        <v>0</v>
      </c>
      <c r="G8" s="593"/>
      <c r="H8" s="594"/>
      <c r="I8" s="601"/>
      <c r="J8" s="602"/>
    </row>
    <row r="9" spans="2:10" ht="57.6" x14ac:dyDescent="0.3">
      <c r="B9" s="179" t="s">
        <v>311</v>
      </c>
      <c r="C9" s="164">
        <f>F9</f>
        <v>0.3</v>
      </c>
      <c r="D9" s="180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9" s="166" t="s">
        <v>248</v>
      </c>
      <c r="F9" s="164">
        <f>Решения!C27</f>
        <v>0.3</v>
      </c>
      <c r="G9" s="593"/>
      <c r="H9" s="594"/>
      <c r="I9" s="601"/>
      <c r="J9" s="602"/>
    </row>
    <row r="10" spans="2:10" ht="29.4" thickBot="1" x14ac:dyDescent="0.35">
      <c r="B10" s="179" t="s">
        <v>266</v>
      </c>
      <c r="C10" s="164">
        <f>F7</f>
        <v>0</v>
      </c>
      <c r="D10" s="216" t="str">
        <f>Решения!B54</f>
        <v>Управление проектами</v>
      </c>
      <c r="E10" s="178" t="s">
        <v>268</v>
      </c>
      <c r="F10" s="165">
        <f>Решения!C54</f>
        <v>0.5</v>
      </c>
      <c r="G10" s="593"/>
      <c r="H10" s="594"/>
      <c r="I10" s="601"/>
      <c r="J10" s="602"/>
    </row>
    <row r="11" spans="2:10" x14ac:dyDescent="0.3">
      <c r="B11" s="189" t="s">
        <v>9</v>
      </c>
      <c r="C11" s="143"/>
      <c r="D11" s="194" t="s">
        <v>1</v>
      </c>
      <c r="E11" s="186"/>
      <c r="F11" s="186"/>
      <c r="G11" s="595"/>
      <c r="H11" s="594"/>
      <c r="I11" s="185" t="s">
        <v>5</v>
      </c>
      <c r="J11" s="211" t="s">
        <v>14</v>
      </c>
    </row>
    <row r="12" spans="2:10" ht="57.6" x14ac:dyDescent="0.3">
      <c r="B12" s="187"/>
      <c r="C12" s="188"/>
      <c r="D12" s="19" t="s">
        <v>20</v>
      </c>
      <c r="E12" s="92"/>
      <c r="F12" s="92"/>
      <c r="G12" s="596"/>
      <c r="H12" s="597"/>
      <c r="I12" s="19" t="s">
        <v>26</v>
      </c>
      <c r="J12" s="212"/>
    </row>
    <row r="13" spans="2:10" x14ac:dyDescent="0.3">
      <c r="B13" s="573" t="s">
        <v>2</v>
      </c>
      <c r="C13" s="574"/>
      <c r="D13" s="574"/>
      <c r="E13" s="574"/>
      <c r="F13" s="574"/>
      <c r="G13" s="575"/>
      <c r="H13" s="576" t="s">
        <v>3</v>
      </c>
      <c r="I13" s="574"/>
      <c r="J13" s="577"/>
    </row>
    <row r="14" spans="2:10" ht="15" customHeight="1" thickBot="1" x14ac:dyDescent="0.35">
      <c r="B14" s="535"/>
      <c r="C14" s="536"/>
      <c r="D14" s="536"/>
      <c r="E14" s="536"/>
      <c r="F14" s="536"/>
      <c r="G14" s="537"/>
      <c r="H14" s="538"/>
      <c r="I14" s="536"/>
      <c r="J14" s="539"/>
    </row>
    <row r="16" spans="2:10" x14ac:dyDescent="0.3">
      <c r="B16" s="1" t="s">
        <v>227</v>
      </c>
      <c r="C16" s="1"/>
      <c r="D16" s="1" t="s">
        <v>223</v>
      </c>
      <c r="E16" s="136">
        <v>0</v>
      </c>
    </row>
    <row r="17" spans="2:6" x14ac:dyDescent="0.3">
      <c r="B17" s="114" t="s">
        <v>228</v>
      </c>
      <c r="C17" s="114"/>
      <c r="D17" s="114" t="s">
        <v>224</v>
      </c>
      <c r="E17" s="137">
        <v>0.1</v>
      </c>
      <c r="F17" s="86"/>
    </row>
    <row r="18" spans="2:6" x14ac:dyDescent="0.3">
      <c r="B18" s="116" t="s">
        <v>226</v>
      </c>
      <c r="C18" s="116"/>
      <c r="D18" s="115" t="s">
        <v>230</v>
      </c>
      <c r="E18" s="138">
        <v>0.5</v>
      </c>
      <c r="F18" s="89"/>
    </row>
    <row r="19" spans="2:6" x14ac:dyDescent="0.3">
      <c r="B19" s="1"/>
      <c r="C19" s="1"/>
      <c r="D19" s="116" t="s">
        <v>229</v>
      </c>
      <c r="E19" s="139">
        <v>0.8</v>
      </c>
      <c r="F19" s="88"/>
    </row>
    <row r="20" spans="2:6" x14ac:dyDescent="0.3">
      <c r="B20" s="1"/>
      <c r="C20" s="1"/>
      <c r="D20" s="117" t="s">
        <v>225</v>
      </c>
      <c r="E20" s="140">
        <v>1</v>
      </c>
      <c r="F20" s="87"/>
    </row>
  </sheetData>
  <mergeCells count="10">
    <mergeCell ref="B14:G14"/>
    <mergeCell ref="H14:J14"/>
    <mergeCell ref="B2:G2"/>
    <mergeCell ref="H2:J2"/>
    <mergeCell ref="G3:H3"/>
    <mergeCell ref="B13:G13"/>
    <mergeCell ref="H13:J13"/>
    <mergeCell ref="G4:H12"/>
    <mergeCell ref="I4:I10"/>
    <mergeCell ref="J4:J10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1"/>
  <sheetViews>
    <sheetView zoomScaleNormal="100" workbookViewId="0">
      <selection activeCell="B11" sqref="B4:H15"/>
    </sheetView>
  </sheetViews>
  <sheetFormatPr defaultRowHeight="14.4" x14ac:dyDescent="0.3"/>
  <cols>
    <col min="2" max="2" width="42.44140625" customWidth="1"/>
    <col min="3" max="3" width="5.5546875" customWidth="1"/>
    <col min="4" max="4" width="33.88671875" customWidth="1"/>
    <col min="5" max="5" width="5.88671875" customWidth="1"/>
    <col min="6" max="6" width="5.33203125" customWidth="1"/>
    <col min="7" max="7" width="15.6640625" customWidth="1"/>
    <col min="8" max="8" width="20" customWidth="1"/>
    <col min="9" max="10" width="30.66406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x14ac:dyDescent="0.3">
      <c r="B3" s="167" t="s">
        <v>10</v>
      </c>
      <c r="C3" s="290">
        <f>ROUND(AVERAGE(C4:C10)*100,0)</f>
        <v>35</v>
      </c>
      <c r="D3" s="174" t="s">
        <v>0</v>
      </c>
      <c r="E3" s="183" t="s">
        <v>282</v>
      </c>
      <c r="F3" s="168">
        <f>AVERAGE(F4:F10)</f>
        <v>0.32857142857142857</v>
      </c>
      <c r="G3" s="571" t="s">
        <v>8</v>
      </c>
      <c r="H3" s="572"/>
      <c r="I3" s="156" t="s">
        <v>4</v>
      </c>
      <c r="J3" s="157" t="s">
        <v>13</v>
      </c>
    </row>
    <row r="4" spans="2:10" ht="28.8" x14ac:dyDescent="0.3">
      <c r="B4" s="179" t="s">
        <v>245</v>
      </c>
      <c r="C4" s="164">
        <f>AVERAGE(F4,F6, F9)</f>
        <v>0.43333333333333335</v>
      </c>
      <c r="D4" s="217" t="str">
        <f>Решения!B50</f>
        <v>Упр и ресурсный учет подразделения в разрезе проектов</v>
      </c>
      <c r="E4" s="166" t="s">
        <v>313</v>
      </c>
      <c r="F4" s="164">
        <f>Решения!C50</f>
        <v>0.5</v>
      </c>
      <c r="G4" s="593" t="s">
        <v>222</v>
      </c>
      <c r="H4" s="594"/>
      <c r="I4" s="601" t="s">
        <v>334</v>
      </c>
      <c r="J4" s="602" t="s">
        <v>56</v>
      </c>
    </row>
    <row r="5" spans="2:10" ht="43.2" x14ac:dyDescent="0.3">
      <c r="B5" s="179" t="s">
        <v>246</v>
      </c>
      <c r="C5" s="164">
        <f>AVERAGE(F5)</f>
        <v>0.5</v>
      </c>
      <c r="D5" s="217" t="str">
        <f>Решения!B11</f>
        <v>Балансировка объемов и минимизация ресурсных конфликтов</v>
      </c>
      <c r="E5" s="166" t="s">
        <v>312</v>
      </c>
      <c r="F5" s="164">
        <f>Решения!C11</f>
        <v>0.5</v>
      </c>
      <c r="G5" s="593"/>
      <c r="H5" s="594"/>
      <c r="I5" s="601"/>
      <c r="J5" s="602"/>
    </row>
    <row r="6" spans="2:10" ht="43.2" x14ac:dyDescent="0.3">
      <c r="B6" s="179" t="s">
        <v>308</v>
      </c>
      <c r="C6" s="164">
        <f>AVERAGE(F4)</f>
        <v>0.5</v>
      </c>
      <c r="D6" s="217" t="str">
        <f>Решения!B5</f>
        <v>Актуализация и балансировка фин.планов</v>
      </c>
      <c r="E6" s="166" t="s">
        <v>248</v>
      </c>
      <c r="F6" s="164">
        <f>Решения!C5</f>
        <v>0.5</v>
      </c>
      <c r="G6" s="593"/>
      <c r="H6" s="594"/>
      <c r="I6" s="601"/>
      <c r="J6" s="602"/>
    </row>
    <row r="7" spans="2:10" ht="28.8" x14ac:dyDescent="0.3">
      <c r="B7" s="179" t="s">
        <v>309</v>
      </c>
      <c r="C7" s="164">
        <f>AVERAGE(F8)</f>
        <v>0</v>
      </c>
      <c r="D7" s="180" t="str">
        <f>Решения!B8</f>
        <v>Анализ обеспеченности (в т.ч. ТМЦ) и формирование фронта работ</v>
      </c>
      <c r="E7" s="166" t="s">
        <v>272</v>
      </c>
      <c r="F7" s="164">
        <f>Решения!C9</f>
        <v>0</v>
      </c>
      <c r="G7" s="593"/>
      <c r="H7" s="594"/>
      <c r="I7" s="601"/>
      <c r="J7" s="602"/>
    </row>
    <row r="8" spans="2:10" ht="28.8" x14ac:dyDescent="0.3">
      <c r="B8" s="179" t="s">
        <v>310</v>
      </c>
      <c r="C8" s="164">
        <f>F5</f>
        <v>0.5</v>
      </c>
      <c r="D8" s="180" t="str">
        <f>Решения!B21</f>
        <v>Интеграция с КИС</v>
      </c>
      <c r="E8" s="166" t="s">
        <v>247</v>
      </c>
      <c r="F8" s="164">
        <f>Решения!C21</f>
        <v>0</v>
      </c>
      <c r="G8" s="593"/>
      <c r="H8" s="594"/>
      <c r="I8" s="601"/>
      <c r="J8" s="602"/>
    </row>
    <row r="9" spans="2:10" ht="57.6" x14ac:dyDescent="0.3">
      <c r="B9" s="179" t="s">
        <v>311</v>
      </c>
      <c r="C9" s="164">
        <f>F10</f>
        <v>0.5</v>
      </c>
      <c r="D9" s="180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9" s="166" t="s">
        <v>248</v>
      </c>
      <c r="F9" s="164">
        <f>Решения!C27</f>
        <v>0.3</v>
      </c>
      <c r="G9" s="593"/>
      <c r="H9" s="594"/>
      <c r="I9" s="601"/>
      <c r="J9" s="602"/>
    </row>
    <row r="10" spans="2:10" ht="29.4" thickBot="1" x14ac:dyDescent="0.35">
      <c r="B10" s="179" t="s">
        <v>266</v>
      </c>
      <c r="C10" s="164">
        <f>F7</f>
        <v>0</v>
      </c>
      <c r="D10" s="216" t="str">
        <f>Решения!B54</f>
        <v>Управление проектами</v>
      </c>
      <c r="E10" s="178" t="s">
        <v>268</v>
      </c>
      <c r="F10" s="165">
        <f>Решения!C54</f>
        <v>0.5</v>
      </c>
      <c r="G10" s="593"/>
      <c r="H10" s="594"/>
      <c r="I10" s="601"/>
      <c r="J10" s="602"/>
    </row>
    <row r="11" spans="2:10" ht="29.4" thickBot="1" x14ac:dyDescent="0.35">
      <c r="B11" s="218" t="s">
        <v>316</v>
      </c>
      <c r="C11" s="164">
        <f>F11</f>
        <v>0.8</v>
      </c>
      <c r="D11" s="233" t="str">
        <f>Решения!B40</f>
        <v>Связь проектов, заказов поставщикам и факта поставки ТМЦ</v>
      </c>
      <c r="E11" s="178" t="s">
        <v>276</v>
      </c>
      <c r="F11" s="165">
        <f>Решения!C40</f>
        <v>0.8</v>
      </c>
      <c r="G11" s="593"/>
      <c r="H11" s="594"/>
      <c r="I11" s="120"/>
      <c r="J11" s="125"/>
    </row>
    <row r="12" spans="2:10" x14ac:dyDescent="0.3">
      <c r="B12" s="189" t="s">
        <v>9</v>
      </c>
      <c r="C12" s="143"/>
      <c r="D12" s="194" t="s">
        <v>1</v>
      </c>
      <c r="E12" s="186"/>
      <c r="F12" s="186"/>
      <c r="G12" s="595"/>
      <c r="H12" s="594"/>
      <c r="I12" s="185" t="s">
        <v>5</v>
      </c>
      <c r="J12" s="211" t="s">
        <v>14</v>
      </c>
    </row>
    <row r="13" spans="2:10" ht="57.6" x14ac:dyDescent="0.3">
      <c r="B13" s="187"/>
      <c r="C13" s="188"/>
      <c r="D13" s="19" t="s">
        <v>20</v>
      </c>
      <c r="E13" s="92"/>
      <c r="F13" s="92"/>
      <c r="G13" s="596"/>
      <c r="H13" s="597"/>
      <c r="I13" s="19" t="s">
        <v>26</v>
      </c>
      <c r="J13" s="212"/>
    </row>
    <row r="14" spans="2:10" x14ac:dyDescent="0.3">
      <c r="B14" s="573" t="s">
        <v>2</v>
      </c>
      <c r="C14" s="574"/>
      <c r="D14" s="574"/>
      <c r="E14" s="574"/>
      <c r="F14" s="574"/>
      <c r="G14" s="575"/>
      <c r="H14" s="576" t="s">
        <v>3</v>
      </c>
      <c r="I14" s="574"/>
      <c r="J14" s="577"/>
    </row>
    <row r="15" spans="2:10" ht="15" customHeight="1" thickBot="1" x14ac:dyDescent="0.35">
      <c r="B15" s="535"/>
      <c r="C15" s="536"/>
      <c r="D15" s="536"/>
      <c r="E15" s="536"/>
      <c r="F15" s="536"/>
      <c r="G15" s="537"/>
      <c r="H15" s="538"/>
      <c r="I15" s="536"/>
      <c r="J15" s="539"/>
    </row>
    <row r="17" spans="2:6" x14ac:dyDescent="0.3">
      <c r="B17" s="1" t="s">
        <v>227</v>
      </c>
      <c r="C17" s="1"/>
      <c r="D17" s="1" t="s">
        <v>223</v>
      </c>
      <c r="E17" s="136">
        <v>0</v>
      </c>
    </row>
    <row r="18" spans="2:6" x14ac:dyDescent="0.3">
      <c r="B18" s="114" t="s">
        <v>228</v>
      </c>
      <c r="C18" s="114"/>
      <c r="D18" s="114" t="s">
        <v>224</v>
      </c>
      <c r="E18" s="137">
        <v>0.1</v>
      </c>
      <c r="F18" s="86"/>
    </row>
    <row r="19" spans="2:6" x14ac:dyDescent="0.3">
      <c r="B19" s="116" t="s">
        <v>226</v>
      </c>
      <c r="C19" s="116"/>
      <c r="D19" s="115" t="s">
        <v>230</v>
      </c>
      <c r="E19" s="138">
        <v>0.5</v>
      </c>
      <c r="F19" s="89"/>
    </row>
    <row r="20" spans="2:6" x14ac:dyDescent="0.3">
      <c r="B20" s="1"/>
      <c r="C20" s="1"/>
      <c r="D20" s="116" t="s">
        <v>229</v>
      </c>
      <c r="E20" s="139">
        <v>0.8</v>
      </c>
      <c r="F20" s="88"/>
    </row>
    <row r="21" spans="2:6" x14ac:dyDescent="0.3">
      <c r="B21" s="1"/>
      <c r="C21" s="1"/>
      <c r="D21" s="117" t="s">
        <v>225</v>
      </c>
      <c r="E21" s="140">
        <v>1</v>
      </c>
      <c r="F21" s="87"/>
    </row>
  </sheetData>
  <mergeCells count="10">
    <mergeCell ref="B14:G14"/>
    <mergeCell ref="H14:J14"/>
    <mergeCell ref="B15:G15"/>
    <mergeCell ref="H15:J15"/>
    <mergeCell ref="B2:G2"/>
    <mergeCell ref="H2:J2"/>
    <mergeCell ref="G3:H3"/>
    <mergeCell ref="G4:H13"/>
    <mergeCell ref="I4:I10"/>
    <mergeCell ref="J4:J10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8"/>
  <sheetViews>
    <sheetView zoomScale="115" zoomScaleNormal="115" workbookViewId="0">
      <selection activeCell="B11" sqref="B4:H15"/>
    </sheetView>
  </sheetViews>
  <sheetFormatPr defaultRowHeight="14.4" x14ac:dyDescent="0.3"/>
  <cols>
    <col min="2" max="2" width="30.6640625" customWidth="1"/>
    <col min="3" max="3" width="5.44140625" customWidth="1"/>
    <col min="4" max="4" width="27" customWidth="1"/>
    <col min="5" max="5" width="5.5546875" customWidth="1"/>
    <col min="6" max="6" width="5.8867187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x14ac:dyDescent="0.3">
      <c r="B3" s="235" t="s">
        <v>10</v>
      </c>
      <c r="C3" s="290">
        <f>ROUND(AVERAGE(C4:C8)*100,0)</f>
        <v>46</v>
      </c>
      <c r="D3" s="235" t="s">
        <v>0</v>
      </c>
      <c r="E3" s="183" t="s">
        <v>282</v>
      </c>
      <c r="F3" s="168">
        <f>AVERAGE(F4:F8)</f>
        <v>0.45999999999999996</v>
      </c>
      <c r="G3" s="571" t="s">
        <v>8</v>
      </c>
      <c r="H3" s="572"/>
      <c r="I3" s="156" t="s">
        <v>4</v>
      </c>
      <c r="J3" s="157" t="s">
        <v>13</v>
      </c>
    </row>
    <row r="4" spans="2:10" ht="45" customHeight="1" x14ac:dyDescent="0.3">
      <c r="B4" s="218" t="s">
        <v>317</v>
      </c>
      <c r="C4" s="237">
        <f>F4</f>
        <v>0.8</v>
      </c>
      <c r="D4" s="218" t="str">
        <f>Решения!B51</f>
        <v>Упр.учет фирмы в разрезе подразделений, направлений, проектов</v>
      </c>
      <c r="E4" s="166" t="s">
        <v>322</v>
      </c>
      <c r="F4" s="164">
        <f>Решения!C51</f>
        <v>0.8</v>
      </c>
      <c r="G4" s="554" t="s">
        <v>29</v>
      </c>
      <c r="H4" s="578"/>
      <c r="I4" s="598" t="s">
        <v>335</v>
      </c>
      <c r="J4" s="583" t="s">
        <v>22</v>
      </c>
    </row>
    <row r="5" spans="2:10" ht="57.6" x14ac:dyDescent="0.3">
      <c r="B5" s="218" t="s">
        <v>318</v>
      </c>
      <c r="C5" s="237">
        <f t="shared" ref="C5:C8" si="0">F5</f>
        <v>0.5</v>
      </c>
      <c r="D5" s="198" t="str">
        <f>Решения!B55</f>
        <v>Управление сводными планами</v>
      </c>
      <c r="E5" s="166" t="s">
        <v>323</v>
      </c>
      <c r="F5" s="164">
        <f>Решения!C55</f>
        <v>0.5</v>
      </c>
      <c r="G5" s="554"/>
      <c r="H5" s="578"/>
      <c r="I5" s="598"/>
      <c r="J5" s="583"/>
    </row>
    <row r="6" spans="2:10" ht="43.2" x14ac:dyDescent="0.3">
      <c r="B6" s="218" t="s">
        <v>319</v>
      </c>
      <c r="C6" s="237">
        <f t="shared" si="0"/>
        <v>0.5</v>
      </c>
      <c r="D6" s="198" t="str">
        <f>Решения!B13</f>
        <v>Бюджеты для финансирования возможностей</v>
      </c>
      <c r="E6" s="166" t="s">
        <v>286</v>
      </c>
      <c r="F6" s="164">
        <f>Решения!C13</f>
        <v>0.5</v>
      </c>
      <c r="G6" s="554"/>
      <c r="H6" s="578"/>
      <c r="I6" s="598"/>
      <c r="J6" s="583"/>
    </row>
    <row r="7" spans="2:10" ht="28.8" x14ac:dyDescent="0.3">
      <c r="B7" s="218" t="s">
        <v>320</v>
      </c>
      <c r="C7" s="237">
        <f t="shared" si="0"/>
        <v>0.5</v>
      </c>
      <c r="D7" s="198" t="str">
        <f>Решения!B54</f>
        <v>Управление проектами</v>
      </c>
      <c r="E7" s="166" t="s">
        <v>294</v>
      </c>
      <c r="F7" s="164">
        <f>Решения!C54</f>
        <v>0.5</v>
      </c>
      <c r="G7" s="554"/>
      <c r="H7" s="578"/>
      <c r="I7" s="598"/>
      <c r="J7" s="583"/>
    </row>
    <row r="8" spans="2:10" ht="45" customHeight="1" thickBot="1" x14ac:dyDescent="0.35">
      <c r="B8" s="219" t="s">
        <v>321</v>
      </c>
      <c r="C8" s="238">
        <f t="shared" si="0"/>
        <v>0</v>
      </c>
      <c r="D8" s="236" t="str">
        <f>Решения!B47</f>
        <v>Тиражирование технологий управления на все направления</v>
      </c>
      <c r="E8" s="178" t="s">
        <v>292</v>
      </c>
      <c r="F8" s="165">
        <f>Решения!C47</f>
        <v>0</v>
      </c>
      <c r="G8" s="554"/>
      <c r="H8" s="578"/>
      <c r="I8" s="598"/>
      <c r="J8" s="583"/>
    </row>
    <row r="9" spans="2:10" x14ac:dyDescent="0.3">
      <c r="B9" s="129" t="s">
        <v>9</v>
      </c>
      <c r="C9" s="152"/>
      <c r="D9" s="158" t="s">
        <v>1</v>
      </c>
      <c r="E9" s="159"/>
      <c r="F9" s="159"/>
      <c r="G9" s="579"/>
      <c r="H9" s="578"/>
      <c r="I9" s="182" t="s">
        <v>5</v>
      </c>
      <c r="J9" s="161" t="s">
        <v>14</v>
      </c>
    </row>
    <row r="10" spans="2:10" ht="43.2" x14ac:dyDescent="0.3">
      <c r="B10" s="234"/>
      <c r="C10" s="153"/>
      <c r="D10" s="5" t="s">
        <v>28</v>
      </c>
      <c r="E10" s="100"/>
      <c r="F10" s="100"/>
      <c r="G10" s="580"/>
      <c r="H10" s="581"/>
      <c r="I10" s="5" t="s">
        <v>55</v>
      </c>
      <c r="J10" s="163"/>
    </row>
    <row r="11" spans="2:10" x14ac:dyDescent="0.3">
      <c r="B11" s="573" t="s">
        <v>2</v>
      </c>
      <c r="C11" s="574"/>
      <c r="D11" s="574"/>
      <c r="E11" s="574"/>
      <c r="F11" s="574"/>
      <c r="G11" s="575"/>
      <c r="H11" s="576" t="s">
        <v>3</v>
      </c>
      <c r="I11" s="574"/>
      <c r="J11" s="577"/>
    </row>
    <row r="12" spans="2:10" ht="12" customHeight="1" thickBot="1" x14ac:dyDescent="0.35">
      <c r="B12" s="535"/>
      <c r="C12" s="536"/>
      <c r="D12" s="536"/>
      <c r="E12" s="536"/>
      <c r="F12" s="536"/>
      <c r="G12" s="537"/>
      <c r="H12" s="538"/>
      <c r="I12" s="536"/>
      <c r="J12" s="539"/>
    </row>
    <row r="14" spans="2:10" x14ac:dyDescent="0.3">
      <c r="B14" s="1" t="s">
        <v>227</v>
      </c>
      <c r="C14" s="1"/>
      <c r="D14" s="1" t="s">
        <v>223</v>
      </c>
      <c r="E14" s="136">
        <v>0</v>
      </c>
      <c r="F14" s="121"/>
    </row>
    <row r="15" spans="2:10" x14ac:dyDescent="0.3">
      <c r="B15" s="114" t="s">
        <v>228</v>
      </c>
      <c r="C15" s="114"/>
      <c r="D15" s="114" t="s">
        <v>224</v>
      </c>
      <c r="E15" s="137">
        <v>0.1</v>
      </c>
      <c r="F15" s="122"/>
    </row>
    <row r="16" spans="2:10" x14ac:dyDescent="0.3">
      <c r="B16" s="116" t="s">
        <v>226</v>
      </c>
      <c r="C16" s="116"/>
      <c r="D16" s="115" t="s">
        <v>230</v>
      </c>
      <c r="E16" s="138">
        <v>0.5</v>
      </c>
      <c r="F16" s="123"/>
    </row>
    <row r="17" spans="2:6" x14ac:dyDescent="0.3">
      <c r="B17" s="1"/>
      <c r="C17" s="1"/>
      <c r="D17" s="116" t="s">
        <v>229</v>
      </c>
      <c r="E17" s="139">
        <v>0.8</v>
      </c>
      <c r="F17" s="107"/>
    </row>
    <row r="18" spans="2:6" x14ac:dyDescent="0.3">
      <c r="B18" s="1"/>
      <c r="C18" s="1"/>
      <c r="D18" s="117" t="s">
        <v>225</v>
      </c>
      <c r="E18" s="140">
        <v>1</v>
      </c>
      <c r="F18" s="124"/>
    </row>
  </sheetData>
  <mergeCells count="10">
    <mergeCell ref="B12:G12"/>
    <mergeCell ref="H12:J12"/>
    <mergeCell ref="B2:G2"/>
    <mergeCell ref="H2:J2"/>
    <mergeCell ref="G3:H3"/>
    <mergeCell ref="B11:G11"/>
    <mergeCell ref="H11:J11"/>
    <mergeCell ref="G4:H10"/>
    <mergeCell ref="I4:I8"/>
    <mergeCell ref="J4:J8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8"/>
  <sheetViews>
    <sheetView zoomScaleNormal="100" workbookViewId="0">
      <selection activeCell="B11" sqref="B4:H15"/>
    </sheetView>
  </sheetViews>
  <sheetFormatPr defaultRowHeight="14.4" x14ac:dyDescent="0.3"/>
  <cols>
    <col min="2" max="2" width="40.6640625" customWidth="1"/>
    <col min="3" max="3" width="6.33203125" customWidth="1"/>
    <col min="4" max="4" width="31.88671875" customWidth="1"/>
    <col min="5" max="5" width="5.6640625" customWidth="1"/>
    <col min="6" max="6" width="5.554687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x14ac:dyDescent="0.3">
      <c r="B3" s="232" t="s">
        <v>10</v>
      </c>
      <c r="C3" s="290">
        <f>ROUND(AVERAGE(C4:C7)*100,0)</f>
        <v>58</v>
      </c>
      <c r="D3" s="235" t="s">
        <v>0</v>
      </c>
      <c r="E3" s="183" t="s">
        <v>282</v>
      </c>
      <c r="F3" s="168">
        <f>AVERAGE(F4:F7)</f>
        <v>0.57499999999999996</v>
      </c>
      <c r="G3" s="571" t="s">
        <v>8</v>
      </c>
      <c r="H3" s="572"/>
      <c r="I3" s="156" t="s">
        <v>4</v>
      </c>
      <c r="J3" s="157" t="s">
        <v>13</v>
      </c>
    </row>
    <row r="4" spans="2:10" ht="75" customHeight="1" x14ac:dyDescent="0.3">
      <c r="B4" s="218" t="s">
        <v>327</v>
      </c>
      <c r="C4" s="237">
        <f>AVERAGE(F4, F5)</f>
        <v>0.5</v>
      </c>
      <c r="D4" s="198" t="str">
        <f>Решения!B39</f>
        <v>Сводная картина по экономике фирмы и ден.потоку на основании актуального сводного плана и плана инвестиций</v>
      </c>
      <c r="E4" s="166" t="s">
        <v>331</v>
      </c>
      <c r="F4" s="164">
        <f>Решения!C39</f>
        <v>0.5</v>
      </c>
      <c r="G4" s="593" t="s">
        <v>30</v>
      </c>
      <c r="H4" s="594"/>
      <c r="I4" s="598" t="s">
        <v>335</v>
      </c>
      <c r="J4" s="583" t="s">
        <v>21</v>
      </c>
    </row>
    <row r="5" spans="2:10" ht="28.8" x14ac:dyDescent="0.3">
      <c r="B5" s="218" t="s">
        <v>328</v>
      </c>
      <c r="C5" s="237">
        <f>F4</f>
        <v>0.5</v>
      </c>
      <c r="D5" s="198" t="str">
        <f>Решения!B7</f>
        <v>Актуализация информации по проектам</v>
      </c>
      <c r="E5" s="166" t="s">
        <v>248</v>
      </c>
      <c r="F5" s="164">
        <f>Решения!C7</f>
        <v>0.5</v>
      </c>
      <c r="G5" s="593"/>
      <c r="H5" s="594"/>
      <c r="I5" s="598"/>
      <c r="J5" s="583"/>
    </row>
    <row r="6" spans="2:10" ht="57.6" x14ac:dyDescent="0.3">
      <c r="B6" s="218" t="s">
        <v>329</v>
      </c>
      <c r="C6" s="237">
        <f>F7</f>
        <v>0.8</v>
      </c>
      <c r="D6" s="215" t="str">
        <f>Решения!B32</f>
        <v>Платежный календарь</v>
      </c>
      <c r="E6" s="166" t="s">
        <v>247</v>
      </c>
      <c r="F6" s="164">
        <f>Решения!C32</f>
        <v>0.5</v>
      </c>
      <c r="G6" s="593"/>
      <c r="H6" s="594"/>
      <c r="I6" s="598"/>
      <c r="J6" s="583"/>
    </row>
    <row r="7" spans="2:10" ht="43.8" thickBot="1" x14ac:dyDescent="0.35">
      <c r="B7" s="219" t="s">
        <v>330</v>
      </c>
      <c r="C7" s="238">
        <f t="shared" ref="C7" si="0">F6</f>
        <v>0.5</v>
      </c>
      <c r="D7" s="219" t="str">
        <f>Решения!B51</f>
        <v>Упр.учет фирмы в разрезе подразделений, направлений, проектов</v>
      </c>
      <c r="E7" s="178" t="s">
        <v>269</v>
      </c>
      <c r="F7" s="165">
        <f>Решения!C51</f>
        <v>0.8</v>
      </c>
      <c r="G7" s="593"/>
      <c r="H7" s="594"/>
      <c r="I7" s="599"/>
      <c r="J7" s="583"/>
    </row>
    <row r="8" spans="2:10" x14ac:dyDescent="0.3">
      <c r="B8" s="189" t="s">
        <v>9</v>
      </c>
      <c r="C8" s="143"/>
      <c r="D8" s="194" t="s">
        <v>1</v>
      </c>
      <c r="E8" s="186"/>
      <c r="F8" s="186"/>
      <c r="G8" s="595"/>
      <c r="H8" s="594"/>
      <c r="I8" s="160" t="s">
        <v>5</v>
      </c>
      <c r="J8" s="161" t="s">
        <v>14</v>
      </c>
    </row>
    <row r="9" spans="2:10" ht="60" customHeight="1" x14ac:dyDescent="0.3">
      <c r="B9" s="18" t="s">
        <v>23</v>
      </c>
      <c r="C9" s="108"/>
      <c r="D9" s="19" t="s">
        <v>12</v>
      </c>
      <c r="E9" s="92"/>
      <c r="F9" s="92"/>
      <c r="G9" s="596"/>
      <c r="H9" s="597"/>
      <c r="I9" s="5" t="s">
        <v>55</v>
      </c>
      <c r="J9" s="163"/>
    </row>
    <row r="10" spans="2:10" x14ac:dyDescent="0.3">
      <c r="B10" s="573" t="s">
        <v>2</v>
      </c>
      <c r="C10" s="574"/>
      <c r="D10" s="574"/>
      <c r="E10" s="574"/>
      <c r="F10" s="574"/>
      <c r="G10" s="575"/>
      <c r="H10" s="576" t="s">
        <v>3</v>
      </c>
      <c r="I10" s="574"/>
      <c r="J10" s="577"/>
    </row>
    <row r="11" spans="2:10" ht="12.75" customHeight="1" thickBot="1" x14ac:dyDescent="0.35">
      <c r="B11" s="535"/>
      <c r="C11" s="536"/>
      <c r="D11" s="536"/>
      <c r="E11" s="536"/>
      <c r="F11" s="536"/>
      <c r="G11" s="537"/>
      <c r="H11" s="538"/>
      <c r="I11" s="536"/>
      <c r="J11" s="539"/>
    </row>
    <row r="13" spans="2:10" x14ac:dyDescent="0.3">
      <c r="B13" s="1" t="s">
        <v>227</v>
      </c>
      <c r="C13" s="1"/>
      <c r="D13" s="1" t="s">
        <v>223</v>
      </c>
      <c r="E13" s="136">
        <v>0</v>
      </c>
    </row>
    <row r="14" spans="2:10" x14ac:dyDescent="0.3">
      <c r="B14" s="114" t="s">
        <v>228</v>
      </c>
      <c r="C14" s="114"/>
      <c r="D14" s="114" t="s">
        <v>224</v>
      </c>
      <c r="E14" s="137">
        <v>0.1</v>
      </c>
    </row>
    <row r="15" spans="2:10" x14ac:dyDescent="0.3">
      <c r="B15" s="116" t="s">
        <v>226</v>
      </c>
      <c r="C15" s="116"/>
      <c r="D15" s="115" t="s">
        <v>230</v>
      </c>
      <c r="E15" s="138">
        <v>0.5</v>
      </c>
      <c r="F15" s="86"/>
    </row>
    <row r="16" spans="2:10" x14ac:dyDescent="0.3">
      <c r="B16" s="1"/>
      <c r="C16" s="1"/>
      <c r="D16" s="116" t="s">
        <v>229</v>
      </c>
      <c r="E16" s="139">
        <v>0.8</v>
      </c>
      <c r="F16" s="89"/>
    </row>
    <row r="17" spans="2:6" x14ac:dyDescent="0.3">
      <c r="B17" s="1"/>
      <c r="C17" s="1"/>
      <c r="D17" s="117" t="s">
        <v>225</v>
      </c>
      <c r="E17" s="140">
        <v>1</v>
      </c>
      <c r="F17" s="88"/>
    </row>
    <row r="18" spans="2:6" x14ac:dyDescent="0.3">
      <c r="D18" s="87"/>
      <c r="E18" s="87"/>
      <c r="F18" s="87"/>
    </row>
  </sheetData>
  <mergeCells count="10">
    <mergeCell ref="B2:G2"/>
    <mergeCell ref="H2:J2"/>
    <mergeCell ref="B11:G11"/>
    <mergeCell ref="H11:J11"/>
    <mergeCell ref="G3:H3"/>
    <mergeCell ref="B10:G10"/>
    <mergeCell ref="H10:J10"/>
    <mergeCell ref="G4:H9"/>
    <mergeCell ref="I4:I7"/>
    <mergeCell ref="J4:J7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zoomScaleNormal="100" workbookViewId="0">
      <selection activeCell="B11" sqref="B4:H15"/>
    </sheetView>
  </sheetViews>
  <sheetFormatPr defaultRowHeight="14.4" x14ac:dyDescent="0.3"/>
  <cols>
    <col min="2" max="2" width="44.109375" customWidth="1"/>
    <col min="3" max="3" width="5.88671875" customWidth="1"/>
    <col min="4" max="4" width="47.88671875" customWidth="1"/>
    <col min="5" max="5" width="6.33203125" customWidth="1"/>
    <col min="6" max="6" width="5.5546875" customWidth="1"/>
    <col min="7" max="8" width="15.6640625" customWidth="1"/>
    <col min="9" max="10" width="30.6640625" customWidth="1"/>
  </cols>
  <sheetData>
    <row r="1" spans="1:10" ht="15" thickBot="1" x14ac:dyDescent="0.35">
      <c r="A1" s="1"/>
    </row>
    <row r="2" spans="1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1:10" x14ac:dyDescent="0.3">
      <c r="B3" s="232" t="s">
        <v>10</v>
      </c>
      <c r="C3" s="290">
        <f>ROUND(AVERAGE(C4:C11)*100,0)</f>
        <v>37</v>
      </c>
      <c r="D3" s="235" t="s">
        <v>0</v>
      </c>
      <c r="E3" s="183" t="s">
        <v>282</v>
      </c>
      <c r="F3" s="168">
        <f>AVERAGE(F4:F11)</f>
        <v>0.28749999999999998</v>
      </c>
      <c r="G3" s="571" t="s">
        <v>8</v>
      </c>
      <c r="H3" s="572"/>
      <c r="I3" s="156" t="s">
        <v>4</v>
      </c>
      <c r="J3" s="157" t="s">
        <v>13</v>
      </c>
    </row>
    <row r="4" spans="1:10" ht="57.6" x14ac:dyDescent="0.3">
      <c r="B4" s="239" t="s">
        <v>341</v>
      </c>
      <c r="C4" s="240">
        <f>AVERAGE(F4, F5)</f>
        <v>0.25</v>
      </c>
      <c r="D4" s="243" t="str">
        <f>Решения!B21</f>
        <v>Интеграция с КИС</v>
      </c>
      <c r="E4" s="166" t="s">
        <v>248</v>
      </c>
      <c r="F4" s="164">
        <f>Решения!C21</f>
        <v>0</v>
      </c>
      <c r="G4" s="603" t="s">
        <v>31</v>
      </c>
      <c r="H4" s="604"/>
      <c r="I4" s="582" t="s">
        <v>336</v>
      </c>
      <c r="J4" s="583" t="s">
        <v>33</v>
      </c>
    </row>
    <row r="5" spans="1:10" ht="43.2" x14ac:dyDescent="0.3">
      <c r="B5" s="239" t="s">
        <v>342</v>
      </c>
      <c r="C5" s="240">
        <f>AVERAGE(C6, C7, C8, C9, C10)</f>
        <v>0.39333333333333337</v>
      </c>
      <c r="D5" s="198" t="str">
        <f>Решения!B41</f>
        <v>Синхронизация мониторинга производственной деятельности с планами по проектам, объемам и по ресурсам</v>
      </c>
      <c r="E5" s="166" t="s">
        <v>248</v>
      </c>
      <c r="F5" s="164">
        <f>Решения!C41</f>
        <v>0.5</v>
      </c>
      <c r="G5" s="603"/>
      <c r="H5" s="604"/>
      <c r="I5" s="582"/>
      <c r="J5" s="583"/>
    </row>
    <row r="6" spans="1:10" ht="28.8" x14ac:dyDescent="0.3">
      <c r="B6" s="239" t="s">
        <v>343</v>
      </c>
      <c r="C6" s="240">
        <f>AVERAGE(F6)</f>
        <v>0.5</v>
      </c>
      <c r="D6" s="198" t="str">
        <f>Решения!B11</f>
        <v>Балансировка объемов и минимизация ресурсных конфликтов</v>
      </c>
      <c r="E6" s="166" t="s">
        <v>349</v>
      </c>
      <c r="F6" s="164">
        <f>Решения!C11</f>
        <v>0.5</v>
      </c>
      <c r="G6" s="603"/>
      <c r="H6" s="604"/>
      <c r="I6" s="582"/>
      <c r="J6" s="583"/>
    </row>
    <row r="7" spans="1:10" ht="43.2" x14ac:dyDescent="0.3">
      <c r="B7" s="239" t="s">
        <v>344</v>
      </c>
      <c r="C7" s="240">
        <f>AVERAGE(F6)</f>
        <v>0.5</v>
      </c>
      <c r="D7" s="243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7" s="166" t="s">
        <v>350</v>
      </c>
      <c r="F7" s="164">
        <f>Решения!C27</f>
        <v>0.3</v>
      </c>
      <c r="G7" s="603"/>
      <c r="H7" s="604"/>
      <c r="I7" s="582"/>
      <c r="J7" s="583"/>
    </row>
    <row r="8" spans="1:10" ht="43.2" x14ac:dyDescent="0.3">
      <c r="B8" s="239" t="s">
        <v>345</v>
      </c>
      <c r="C8" s="240">
        <f>AVERAGE(F11)</f>
        <v>0.5</v>
      </c>
      <c r="D8" s="243" t="str">
        <f>Решения!B49</f>
        <v>Трехуровневое ресурсное планирование с прогнозами</v>
      </c>
      <c r="E8" s="166" t="s">
        <v>351</v>
      </c>
      <c r="F8" s="164">
        <f>Решения!C49</f>
        <v>0</v>
      </c>
      <c r="G8" s="603"/>
      <c r="H8" s="604"/>
      <c r="I8" s="582"/>
      <c r="J8" s="583"/>
    </row>
    <row r="9" spans="1:10" ht="43.2" x14ac:dyDescent="0.3">
      <c r="B9" s="239" t="s">
        <v>346</v>
      </c>
      <c r="C9" s="240">
        <f>AVERAGE(F7)</f>
        <v>0.3</v>
      </c>
      <c r="D9" s="243" t="str">
        <f>Решения!B26</f>
        <v>Контроль качества и применимость ресурсов (компетенции, квалификации)</v>
      </c>
      <c r="E9" s="166" t="s">
        <v>351</v>
      </c>
      <c r="F9" s="164">
        <f>Решения!C26</f>
        <v>0</v>
      </c>
      <c r="G9" s="603"/>
      <c r="H9" s="604"/>
      <c r="I9" s="582"/>
      <c r="J9" s="583"/>
    </row>
    <row r="10" spans="1:10" ht="28.8" x14ac:dyDescent="0.3">
      <c r="B10" s="239" t="s">
        <v>347</v>
      </c>
      <c r="C10" s="240">
        <f>AVERAGE(F8, F9, F10)</f>
        <v>0.16666666666666666</v>
      </c>
      <c r="D10" s="198" t="str">
        <f>Решения!B14</f>
        <v>Влияние производительности ресурсов на трудоемкость и сроки</v>
      </c>
      <c r="E10" s="166" t="s">
        <v>351</v>
      </c>
      <c r="F10" s="164">
        <f>Решения!C14</f>
        <v>0.5</v>
      </c>
      <c r="G10" s="603"/>
      <c r="H10" s="604"/>
      <c r="I10" s="582"/>
      <c r="J10" s="583"/>
    </row>
    <row r="11" spans="1:10" ht="45" customHeight="1" thickBot="1" x14ac:dyDescent="0.35">
      <c r="B11" s="241"/>
      <c r="C11" s="242"/>
      <c r="D11" s="233" t="str">
        <f>Решения!B46</f>
        <v>Темплан, включая планирование объемов актирования по контрактации (без самой контрактации)</v>
      </c>
      <c r="E11" s="178" t="s">
        <v>352</v>
      </c>
      <c r="F11" s="165">
        <f>Решения!C46</f>
        <v>0.5</v>
      </c>
      <c r="G11" s="603"/>
      <c r="H11" s="604"/>
      <c r="I11" s="608"/>
      <c r="J11" s="600"/>
    </row>
    <row r="12" spans="1:10" x14ac:dyDescent="0.3">
      <c r="B12" s="129" t="s">
        <v>9</v>
      </c>
      <c r="C12" s="152"/>
      <c r="D12" s="158" t="s">
        <v>1</v>
      </c>
      <c r="E12" s="159"/>
      <c r="F12" s="159"/>
      <c r="G12" s="605"/>
      <c r="H12" s="604"/>
      <c r="I12" s="182" t="s">
        <v>5</v>
      </c>
      <c r="J12" s="161" t="s">
        <v>14</v>
      </c>
    </row>
    <row r="13" spans="1:10" ht="28.8" x14ac:dyDescent="0.3">
      <c r="B13" s="234"/>
      <c r="C13" s="153"/>
      <c r="D13" s="5" t="s">
        <v>12</v>
      </c>
      <c r="E13" s="100"/>
      <c r="F13" s="100"/>
      <c r="G13" s="606"/>
      <c r="H13" s="607"/>
      <c r="I13" s="11"/>
      <c r="J13" s="163"/>
    </row>
    <row r="14" spans="1:10" x14ac:dyDescent="0.3">
      <c r="B14" s="573" t="s">
        <v>2</v>
      </c>
      <c r="C14" s="574"/>
      <c r="D14" s="574"/>
      <c r="E14" s="574"/>
      <c r="F14" s="574"/>
      <c r="G14" s="575"/>
      <c r="H14" s="576" t="s">
        <v>3</v>
      </c>
      <c r="I14" s="574"/>
      <c r="J14" s="577"/>
    </row>
    <row r="15" spans="1:10" ht="14.25" customHeight="1" thickBot="1" x14ac:dyDescent="0.35">
      <c r="B15" s="535"/>
      <c r="C15" s="536"/>
      <c r="D15" s="536"/>
      <c r="E15" s="536"/>
      <c r="F15" s="536"/>
      <c r="G15" s="537"/>
      <c r="H15" s="538"/>
      <c r="I15" s="536"/>
      <c r="J15" s="539"/>
    </row>
    <row r="17" spans="2:6" x14ac:dyDescent="0.3">
      <c r="B17" s="1" t="s">
        <v>227</v>
      </c>
      <c r="C17" s="1"/>
      <c r="D17" s="1" t="s">
        <v>223</v>
      </c>
      <c r="E17" s="136">
        <v>0</v>
      </c>
    </row>
    <row r="18" spans="2:6" x14ac:dyDescent="0.3">
      <c r="B18" s="114" t="s">
        <v>228</v>
      </c>
      <c r="C18" s="114"/>
      <c r="D18" s="114" t="s">
        <v>224</v>
      </c>
      <c r="E18" s="137">
        <v>0.1</v>
      </c>
    </row>
    <row r="19" spans="2:6" x14ac:dyDescent="0.3">
      <c r="B19" s="116" t="s">
        <v>226</v>
      </c>
      <c r="C19" s="116"/>
      <c r="D19" s="115" t="s">
        <v>230</v>
      </c>
      <c r="E19" s="138">
        <v>0.5</v>
      </c>
      <c r="F19" s="86"/>
    </row>
    <row r="20" spans="2:6" x14ac:dyDescent="0.3">
      <c r="B20" s="1"/>
      <c r="C20" s="1"/>
      <c r="D20" s="116" t="s">
        <v>229</v>
      </c>
      <c r="E20" s="139">
        <v>0.8</v>
      </c>
      <c r="F20" s="89"/>
    </row>
    <row r="21" spans="2:6" x14ac:dyDescent="0.3">
      <c r="B21" s="1"/>
      <c r="C21" s="1"/>
      <c r="D21" s="117" t="s">
        <v>225</v>
      </c>
      <c r="E21" s="140">
        <v>1</v>
      </c>
      <c r="F21" s="88"/>
    </row>
    <row r="22" spans="2:6" x14ac:dyDescent="0.3">
      <c r="D22" s="87"/>
      <c r="E22" s="87"/>
      <c r="F22" s="87"/>
    </row>
  </sheetData>
  <mergeCells count="10">
    <mergeCell ref="B15:G15"/>
    <mergeCell ref="H15:J15"/>
    <mergeCell ref="B2:G2"/>
    <mergeCell ref="H2:J2"/>
    <mergeCell ref="G3:H3"/>
    <mergeCell ref="B14:G14"/>
    <mergeCell ref="H14:J14"/>
    <mergeCell ref="G4:H13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opLeftCell="A7" zoomScaleNormal="100" workbookViewId="0">
      <selection activeCell="B11" sqref="B4:H15"/>
    </sheetView>
  </sheetViews>
  <sheetFormatPr defaultRowHeight="14.4" x14ac:dyDescent="0.3"/>
  <cols>
    <col min="2" max="2" width="44.109375" customWidth="1"/>
    <col min="3" max="3" width="5.88671875" customWidth="1"/>
    <col min="4" max="4" width="47.88671875" customWidth="1"/>
    <col min="5" max="5" width="6.33203125" customWidth="1"/>
    <col min="6" max="6" width="5.5546875" customWidth="1"/>
    <col min="7" max="8" width="15.6640625" customWidth="1"/>
    <col min="9" max="10" width="30.6640625" customWidth="1"/>
  </cols>
  <sheetData>
    <row r="1" spans="1:10" ht="15" thickBot="1" x14ac:dyDescent="0.35">
      <c r="A1" s="1"/>
    </row>
    <row r="2" spans="1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1:10" x14ac:dyDescent="0.3">
      <c r="B3" s="232" t="s">
        <v>10</v>
      </c>
      <c r="C3" s="293">
        <f>ROUND(AVERAGE(C4:C11)*100,0)</f>
        <v>36</v>
      </c>
      <c r="D3" s="235" t="s">
        <v>0</v>
      </c>
      <c r="E3" s="183" t="s">
        <v>282</v>
      </c>
      <c r="F3" s="168">
        <f>AVERAGE(F4:F11)</f>
        <v>0.28749999999999998</v>
      </c>
      <c r="G3" s="571" t="s">
        <v>8</v>
      </c>
      <c r="H3" s="572"/>
      <c r="I3" s="156" t="s">
        <v>4</v>
      </c>
      <c r="J3" s="157" t="s">
        <v>13</v>
      </c>
    </row>
    <row r="4" spans="1:10" ht="57.6" x14ac:dyDescent="0.3">
      <c r="B4" s="239" t="s">
        <v>341</v>
      </c>
      <c r="C4" s="306">
        <f>AVERAGE(F4, F5)</f>
        <v>0.25</v>
      </c>
      <c r="D4" s="243" t="str">
        <f>Решения!B21</f>
        <v>Интеграция с КИС</v>
      </c>
      <c r="E4" s="166" t="s">
        <v>356</v>
      </c>
      <c r="F4" s="164">
        <f>Решения!C21</f>
        <v>0</v>
      </c>
      <c r="G4" s="603" t="s">
        <v>242</v>
      </c>
      <c r="H4" s="604"/>
      <c r="I4" s="582" t="s">
        <v>336</v>
      </c>
      <c r="J4" s="583" t="s">
        <v>33</v>
      </c>
    </row>
    <row r="5" spans="1:10" ht="43.2" x14ac:dyDescent="0.3">
      <c r="B5" s="239" t="s">
        <v>342</v>
      </c>
      <c r="C5" s="306">
        <f>AVERAGE(C6, C7, C8, C9, C10)</f>
        <v>0.39333333333333337</v>
      </c>
      <c r="D5" s="198" t="str">
        <f>Решения!B41</f>
        <v>Синхронизация мониторинга производственной деятельности с планами по проектам, объемам и по ресурсам</v>
      </c>
      <c r="E5" s="166" t="s">
        <v>248</v>
      </c>
      <c r="F5" s="164">
        <f>Решения!C41</f>
        <v>0.5</v>
      </c>
      <c r="G5" s="603"/>
      <c r="H5" s="604"/>
      <c r="I5" s="582"/>
      <c r="J5" s="583"/>
    </row>
    <row r="6" spans="1:10" ht="28.8" x14ac:dyDescent="0.3">
      <c r="B6" s="239" t="s">
        <v>343</v>
      </c>
      <c r="C6" s="306">
        <f>AVERAGE(F6)</f>
        <v>0.5</v>
      </c>
      <c r="D6" s="198" t="str">
        <f>Решения!B11</f>
        <v>Балансировка объемов и минимизация ресурсных конфликтов</v>
      </c>
      <c r="E6" s="166" t="s">
        <v>349</v>
      </c>
      <c r="F6" s="164">
        <f>Решения!C11</f>
        <v>0.5</v>
      </c>
      <c r="G6" s="603"/>
      <c r="H6" s="604"/>
      <c r="I6" s="582"/>
      <c r="J6" s="583"/>
    </row>
    <row r="7" spans="1:10" ht="43.2" x14ac:dyDescent="0.3">
      <c r="B7" s="239" t="s">
        <v>344</v>
      </c>
      <c r="C7" s="306">
        <f>AVERAGE(F6)</f>
        <v>0.5</v>
      </c>
      <c r="D7" s="243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7" s="166" t="s">
        <v>350</v>
      </c>
      <c r="F7" s="164">
        <f>Решения!C27</f>
        <v>0.3</v>
      </c>
      <c r="G7" s="603"/>
      <c r="H7" s="604"/>
      <c r="I7" s="582"/>
      <c r="J7" s="583"/>
    </row>
    <row r="8" spans="1:10" ht="43.2" x14ac:dyDescent="0.3">
      <c r="B8" s="239" t="s">
        <v>345</v>
      </c>
      <c r="C8" s="306">
        <f>AVERAGE(F11)</f>
        <v>0.5</v>
      </c>
      <c r="D8" s="243" t="str">
        <f>Решения!B49</f>
        <v>Трехуровневое ресурсное планирование с прогнозами</v>
      </c>
      <c r="E8" s="166" t="s">
        <v>357</v>
      </c>
      <c r="F8" s="164">
        <f>Решения!C49</f>
        <v>0</v>
      </c>
      <c r="G8" s="603"/>
      <c r="H8" s="604"/>
      <c r="I8" s="582"/>
      <c r="J8" s="583"/>
    </row>
    <row r="9" spans="1:10" ht="43.2" x14ac:dyDescent="0.3">
      <c r="B9" s="239" t="s">
        <v>346</v>
      </c>
      <c r="C9" s="306">
        <f>AVERAGE(F7)</f>
        <v>0.3</v>
      </c>
      <c r="D9" s="243" t="str">
        <f>Решения!B26</f>
        <v>Контроль качества и применимость ресурсов (компетенции, квалификации)</v>
      </c>
      <c r="E9" s="166" t="s">
        <v>351</v>
      </c>
      <c r="F9" s="164">
        <f>Решения!C26</f>
        <v>0</v>
      </c>
      <c r="G9" s="603"/>
      <c r="H9" s="604"/>
      <c r="I9" s="582"/>
      <c r="J9" s="583"/>
    </row>
    <row r="10" spans="1:10" ht="28.8" x14ac:dyDescent="0.3">
      <c r="B10" s="239" t="s">
        <v>347</v>
      </c>
      <c r="C10" s="306">
        <f>AVERAGE(F8, F9, F10)</f>
        <v>0.16666666666666666</v>
      </c>
      <c r="D10" s="198" t="str">
        <f>Решения!B14</f>
        <v>Влияние производительности ресурсов на трудоемкость и сроки</v>
      </c>
      <c r="E10" s="166" t="s">
        <v>351</v>
      </c>
      <c r="F10" s="164">
        <f>Решения!C14</f>
        <v>0.5</v>
      </c>
      <c r="G10" s="603"/>
      <c r="H10" s="604"/>
      <c r="I10" s="582"/>
      <c r="J10" s="583"/>
    </row>
    <row r="11" spans="1:10" ht="45" customHeight="1" x14ac:dyDescent="0.3">
      <c r="B11" s="239" t="s">
        <v>353</v>
      </c>
      <c r="C11" s="306">
        <f>AVERAGE(F4, F8, F12)</f>
        <v>0.26666666666666666</v>
      </c>
      <c r="D11" s="198" t="str">
        <f>Решения!B46</f>
        <v>Темплан, включая планирование объемов актирования по контрактации (без самой контрактации)</v>
      </c>
      <c r="E11" s="166" t="s">
        <v>352</v>
      </c>
      <c r="F11" s="164">
        <f>Решения!C46</f>
        <v>0.5</v>
      </c>
      <c r="G11" s="603"/>
      <c r="H11" s="604"/>
      <c r="I11" s="608"/>
      <c r="J11" s="600"/>
    </row>
    <row r="12" spans="1:10" ht="45" customHeight="1" x14ac:dyDescent="0.3">
      <c r="B12" s="239" t="s">
        <v>354</v>
      </c>
      <c r="C12" s="306">
        <f>AVERAGE(F13)</f>
        <v>0</v>
      </c>
      <c r="D12" s="198" t="str">
        <f>Решения!B40</f>
        <v>Связь проектов, заказов поставщикам и факта поставки ТМЦ</v>
      </c>
      <c r="E12" s="210" t="s">
        <v>355</v>
      </c>
      <c r="F12" s="164">
        <f>Решения!C40</f>
        <v>0.8</v>
      </c>
      <c r="G12" s="603"/>
      <c r="H12" s="604"/>
      <c r="I12" s="128"/>
      <c r="J12" s="119"/>
    </row>
    <row r="13" spans="1:10" ht="45" customHeight="1" thickBot="1" x14ac:dyDescent="0.35">
      <c r="B13" s="305"/>
      <c r="C13" s="307"/>
      <c r="D13" s="244" t="str">
        <f>Решения!B29</f>
        <v>Объединенные закупки (лоты)</v>
      </c>
      <c r="E13" s="214" t="s">
        <v>269</v>
      </c>
      <c r="F13" s="165">
        <f>Решения!C29</f>
        <v>0</v>
      </c>
      <c r="G13" s="603"/>
      <c r="H13" s="604"/>
      <c r="I13" s="128"/>
      <c r="J13" s="119"/>
    </row>
    <row r="14" spans="1:10" x14ac:dyDescent="0.3">
      <c r="B14" s="129" t="s">
        <v>9</v>
      </c>
      <c r="C14" s="152"/>
      <c r="D14" s="158" t="s">
        <v>1</v>
      </c>
      <c r="E14" s="159"/>
      <c r="F14" s="159"/>
      <c r="G14" s="605"/>
      <c r="H14" s="604"/>
      <c r="I14" s="182" t="s">
        <v>5</v>
      </c>
      <c r="J14" s="161" t="s">
        <v>14</v>
      </c>
    </row>
    <row r="15" spans="1:10" ht="28.8" x14ac:dyDescent="0.3">
      <c r="B15" s="234"/>
      <c r="C15" s="153"/>
      <c r="D15" s="5" t="s">
        <v>12</v>
      </c>
      <c r="E15" s="100"/>
      <c r="F15" s="100"/>
      <c r="G15" s="606"/>
      <c r="H15" s="607"/>
      <c r="I15" s="11"/>
      <c r="J15" s="163"/>
    </row>
    <row r="16" spans="1:10" x14ac:dyDescent="0.3">
      <c r="B16" s="573" t="s">
        <v>2</v>
      </c>
      <c r="C16" s="574"/>
      <c r="D16" s="574"/>
      <c r="E16" s="574"/>
      <c r="F16" s="574"/>
      <c r="G16" s="575"/>
      <c r="H16" s="576" t="s">
        <v>3</v>
      </c>
      <c r="I16" s="574"/>
      <c r="J16" s="577"/>
    </row>
    <row r="17" spans="2:10" ht="14.25" customHeight="1" thickBot="1" x14ac:dyDescent="0.35">
      <c r="B17" s="535"/>
      <c r="C17" s="536"/>
      <c r="D17" s="536"/>
      <c r="E17" s="536"/>
      <c r="F17" s="536"/>
      <c r="G17" s="537"/>
      <c r="H17" s="538"/>
      <c r="I17" s="536"/>
      <c r="J17" s="539"/>
    </row>
    <row r="19" spans="2:10" x14ac:dyDescent="0.3">
      <c r="B19" s="1" t="s">
        <v>227</v>
      </c>
      <c r="C19" s="1"/>
      <c r="D19" s="1" t="s">
        <v>223</v>
      </c>
      <c r="E19" s="136">
        <v>0</v>
      </c>
    </row>
    <row r="20" spans="2:10" x14ac:dyDescent="0.3">
      <c r="B20" s="114" t="s">
        <v>228</v>
      </c>
      <c r="C20" s="114"/>
      <c r="D20" s="114" t="s">
        <v>224</v>
      </c>
      <c r="E20" s="137">
        <v>0.1</v>
      </c>
    </row>
    <row r="21" spans="2:10" x14ac:dyDescent="0.3">
      <c r="B21" s="116" t="s">
        <v>226</v>
      </c>
      <c r="C21" s="116"/>
      <c r="D21" s="115" t="s">
        <v>230</v>
      </c>
      <c r="E21" s="138">
        <v>0.5</v>
      </c>
      <c r="F21" s="86"/>
    </row>
    <row r="22" spans="2:10" x14ac:dyDescent="0.3">
      <c r="B22" s="1"/>
      <c r="C22" s="1"/>
      <c r="D22" s="116" t="s">
        <v>229</v>
      </c>
      <c r="E22" s="139">
        <v>0.8</v>
      </c>
      <c r="F22" s="89"/>
    </row>
    <row r="23" spans="2:10" x14ac:dyDescent="0.3">
      <c r="B23" s="1"/>
      <c r="C23" s="1"/>
      <c r="D23" s="117" t="s">
        <v>225</v>
      </c>
      <c r="E23" s="140">
        <v>1</v>
      </c>
      <c r="F23" s="88"/>
    </row>
    <row r="24" spans="2:10" x14ac:dyDescent="0.3">
      <c r="D24" s="87"/>
      <c r="E24" s="87"/>
      <c r="F24" s="87"/>
    </row>
  </sheetData>
  <mergeCells count="10">
    <mergeCell ref="B16:G16"/>
    <mergeCell ref="H16:J16"/>
    <mergeCell ref="B17:G17"/>
    <mergeCell ref="H17:J17"/>
    <mergeCell ref="B2:G2"/>
    <mergeCell ref="H2:J2"/>
    <mergeCell ref="G3:H3"/>
    <mergeCell ref="G4:H15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8"/>
  <sheetViews>
    <sheetView topLeftCell="A7" zoomScaleNormal="100" workbookViewId="0">
      <selection activeCell="L19" sqref="L19"/>
    </sheetView>
  </sheetViews>
  <sheetFormatPr defaultRowHeight="14.4" x14ac:dyDescent="0.3"/>
  <cols>
    <col min="2" max="2" width="48.5546875" customWidth="1"/>
    <col min="3" max="3" width="5.33203125" customWidth="1"/>
    <col min="4" max="4" width="48" customWidth="1"/>
    <col min="5" max="6" width="5.3320312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x14ac:dyDescent="0.3">
      <c r="B3" s="167" t="s">
        <v>10</v>
      </c>
      <c r="C3" s="290">
        <f>ROUND(AVERAGE(C4:C17)*100,0)</f>
        <v>30</v>
      </c>
      <c r="D3" s="174" t="s">
        <v>0</v>
      </c>
      <c r="E3" s="183" t="s">
        <v>282</v>
      </c>
      <c r="F3" s="168">
        <f>AVERAGE(F4:F17)</f>
        <v>0.35384615384615381</v>
      </c>
      <c r="G3" s="571" t="s">
        <v>8</v>
      </c>
      <c r="H3" s="572"/>
      <c r="I3" s="156" t="s">
        <v>4</v>
      </c>
      <c r="J3" s="157" t="s">
        <v>13</v>
      </c>
    </row>
    <row r="4" spans="2:10" ht="28.8" x14ac:dyDescent="0.3">
      <c r="B4" s="218" t="s">
        <v>295</v>
      </c>
      <c r="C4" s="164">
        <f>AVERAGE(F5,F6)</f>
        <v>0.25</v>
      </c>
      <c r="D4" s="215" t="s">
        <v>281</v>
      </c>
      <c r="E4" s="166"/>
      <c r="F4" s="171"/>
      <c r="G4" s="593" t="s">
        <v>221</v>
      </c>
      <c r="H4" s="594"/>
      <c r="I4" s="598" t="s">
        <v>232</v>
      </c>
      <c r="J4" s="583" t="s">
        <v>261</v>
      </c>
    </row>
    <row r="5" spans="2:10" ht="77.25" customHeight="1" x14ac:dyDescent="0.3">
      <c r="B5" s="218" t="s">
        <v>296</v>
      </c>
      <c r="C5" s="164">
        <f>F6</f>
        <v>0</v>
      </c>
      <c r="D5" s="217" t="str">
        <f>Решения!B16</f>
        <v>Единообразное планирование проектов (План-график, трудозатраты, фин план)</v>
      </c>
      <c r="E5" s="166" t="s">
        <v>283</v>
      </c>
      <c r="F5" s="164">
        <f>Решения!C16</f>
        <v>0.5</v>
      </c>
      <c r="G5" s="593"/>
      <c r="H5" s="594"/>
      <c r="I5" s="598"/>
      <c r="J5" s="583"/>
    </row>
    <row r="6" spans="2:10" ht="43.2" x14ac:dyDescent="0.3">
      <c r="B6" s="218" t="s">
        <v>297</v>
      </c>
      <c r="C6" s="164">
        <f>AVERAGE(F7,F8, F9)</f>
        <v>0.5</v>
      </c>
      <c r="D6" s="180" t="str">
        <f>Решения!B35</f>
        <v>Проектный документооборот (~MDR базовый)  (жизненный цикл основных проектных артефактов, указанных в ТЗ и договоре)</v>
      </c>
      <c r="E6" s="166" t="s">
        <v>285</v>
      </c>
      <c r="F6" s="164">
        <f>Решения!C35</f>
        <v>0</v>
      </c>
      <c r="G6" s="593"/>
      <c r="H6" s="594"/>
      <c r="I6" s="598"/>
      <c r="J6" s="583"/>
    </row>
    <row r="7" spans="2:10" ht="57.6" x14ac:dyDescent="0.3">
      <c r="B7" s="218" t="s">
        <v>298</v>
      </c>
      <c r="C7" s="164">
        <f>AVERAGE(F5,F6, F14, F15)</f>
        <v>0.32500000000000001</v>
      </c>
      <c r="D7" s="184" t="str">
        <f>Решения!B7</f>
        <v>Актуализация информации по проектам</v>
      </c>
      <c r="E7" s="166" t="s">
        <v>286</v>
      </c>
      <c r="F7" s="164">
        <f>Решения!C7</f>
        <v>0.5</v>
      </c>
      <c r="G7" s="593"/>
      <c r="H7" s="594"/>
      <c r="I7" s="598"/>
      <c r="J7" s="583"/>
    </row>
    <row r="8" spans="2:10" ht="28.8" x14ac:dyDescent="0.3">
      <c r="B8" s="218" t="s">
        <v>299</v>
      </c>
      <c r="C8" s="164">
        <f>AVERAGE(F12,F10, F11, F13)</f>
        <v>0.25</v>
      </c>
      <c r="D8" s="227" t="str">
        <f>Решения!B57</f>
        <v>Формирование отчетности по проектам</v>
      </c>
      <c r="E8" s="166" t="s">
        <v>286</v>
      </c>
      <c r="F8" s="164">
        <f>Решения!C57</f>
        <v>0.5</v>
      </c>
      <c r="G8" s="593"/>
      <c r="H8" s="594"/>
      <c r="I8" s="598"/>
      <c r="J8" s="583"/>
    </row>
    <row r="9" spans="2:10" ht="28.8" x14ac:dyDescent="0.3">
      <c r="B9" s="218" t="s">
        <v>377</v>
      </c>
      <c r="C9" s="221">
        <f>F16</f>
        <v>0.8</v>
      </c>
      <c r="D9" s="180" t="str">
        <f>Решения!B43</f>
        <v>Статус-отчеты по проекту. От Фазы Пресейла до Завершения договора</v>
      </c>
      <c r="E9" s="166" t="s">
        <v>286</v>
      </c>
      <c r="F9" s="164">
        <f>Решения!C43</f>
        <v>0.5</v>
      </c>
      <c r="G9" s="593"/>
      <c r="H9" s="594"/>
      <c r="I9" s="598"/>
      <c r="J9" s="583"/>
    </row>
    <row r="10" spans="2:10" ht="28.8" x14ac:dyDescent="0.3">
      <c r="B10" s="218" t="s">
        <v>378</v>
      </c>
      <c r="C10" s="222">
        <f>AVERAGE(F17)</f>
        <v>0</v>
      </c>
      <c r="D10" s="184" t="str">
        <f>Решения!B15</f>
        <v>Диспетчирование работ (поручения)</v>
      </c>
      <c r="E10" s="166" t="s">
        <v>292</v>
      </c>
      <c r="F10" s="164">
        <f>Решения!C15</f>
        <v>0.5</v>
      </c>
      <c r="G10" s="593"/>
      <c r="H10" s="594"/>
      <c r="I10" s="598"/>
      <c r="J10" s="583"/>
    </row>
    <row r="11" spans="2:10" x14ac:dyDescent="0.3">
      <c r="B11" s="226"/>
      <c r="C11" s="222"/>
      <c r="D11" s="180" t="str">
        <f>Решения!B24</f>
        <v>Канбан-доска</v>
      </c>
      <c r="E11" s="166" t="s">
        <v>292</v>
      </c>
      <c r="F11" s="164">
        <f>Решения!C24</f>
        <v>0</v>
      </c>
      <c r="G11" s="593"/>
      <c r="H11" s="594"/>
      <c r="I11" s="598"/>
      <c r="J11" s="583"/>
    </row>
    <row r="12" spans="2:10" x14ac:dyDescent="0.3">
      <c r="B12" s="226"/>
      <c r="C12" s="222"/>
      <c r="D12" s="180" t="str">
        <f>Решения!B23</f>
        <v>Интеграция с трекинг-системами</v>
      </c>
      <c r="E12" s="166" t="s">
        <v>292</v>
      </c>
      <c r="F12" s="164">
        <f>Решения!C23</f>
        <v>0.5</v>
      </c>
      <c r="G12" s="593"/>
      <c r="H12" s="594"/>
      <c r="I12" s="598"/>
      <c r="J12" s="583"/>
    </row>
    <row r="13" spans="2:10" x14ac:dyDescent="0.3">
      <c r="B13" s="169"/>
      <c r="C13" s="222"/>
      <c r="D13" s="180" t="str">
        <f>Решения!B2</f>
        <v>1С:Взаимодействие</v>
      </c>
      <c r="E13" s="166" t="s">
        <v>292</v>
      </c>
      <c r="F13" s="164">
        <f>Решения!C2</f>
        <v>0</v>
      </c>
      <c r="G13" s="593"/>
      <c r="H13" s="594"/>
      <c r="I13" s="598"/>
      <c r="J13" s="583"/>
    </row>
    <row r="14" spans="2:10" x14ac:dyDescent="0.3">
      <c r="B14" s="169"/>
      <c r="C14" s="223"/>
      <c r="D14" s="184" t="str">
        <f>Решения!B28</f>
        <v>Многомерные проекты</v>
      </c>
      <c r="E14" s="166" t="s">
        <v>294</v>
      </c>
      <c r="F14" s="164">
        <f>Решения!C28</f>
        <v>0.5</v>
      </c>
      <c r="G14" s="593"/>
      <c r="H14" s="594"/>
      <c r="I14" s="598"/>
      <c r="J14" s="583"/>
    </row>
    <row r="15" spans="2:10" ht="43.2" x14ac:dyDescent="0.3">
      <c r="B15" s="169"/>
      <c r="C15" s="223"/>
      <c r="D15" s="180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15" s="166" t="s">
        <v>294</v>
      </c>
      <c r="F15" s="164">
        <f>Решения!C27</f>
        <v>0.3</v>
      </c>
      <c r="G15" s="593"/>
      <c r="H15" s="594"/>
      <c r="I15" s="598"/>
      <c r="J15" s="583"/>
    </row>
    <row r="16" spans="2:10" ht="28.8" x14ac:dyDescent="0.3">
      <c r="B16" s="169"/>
      <c r="C16" s="223"/>
      <c r="D16" s="179" t="str">
        <f>Решения!B51</f>
        <v>Упр.учет фирмы в разрезе подразделений, направлений, проектов</v>
      </c>
      <c r="E16" s="209" t="s">
        <v>268</v>
      </c>
      <c r="F16" s="164">
        <f>Решения!C51</f>
        <v>0.8</v>
      </c>
      <c r="G16" s="593"/>
      <c r="H16" s="594"/>
      <c r="I16" s="598"/>
      <c r="J16" s="583"/>
    </row>
    <row r="17" spans="2:10" ht="29.4" thickBot="1" x14ac:dyDescent="0.35">
      <c r="B17" s="191"/>
      <c r="C17" s="192"/>
      <c r="D17" s="228" t="str">
        <f>Решения!B9</f>
        <v>Анализ обеспеченности и формирование фронта работ</v>
      </c>
      <c r="E17" s="225" t="s">
        <v>272</v>
      </c>
      <c r="F17" s="165">
        <f>Решения!C9</f>
        <v>0</v>
      </c>
      <c r="G17" s="593"/>
      <c r="H17" s="594"/>
      <c r="I17" s="599"/>
      <c r="J17" s="600"/>
    </row>
    <row r="18" spans="2:10" x14ac:dyDescent="0.3">
      <c r="B18" s="189" t="s">
        <v>9</v>
      </c>
      <c r="C18" s="143"/>
      <c r="D18" s="194" t="s">
        <v>1</v>
      </c>
      <c r="E18" s="186"/>
      <c r="F18" s="186"/>
      <c r="G18" s="595"/>
      <c r="H18" s="594"/>
      <c r="I18" s="182" t="s">
        <v>5</v>
      </c>
      <c r="J18" s="161" t="s">
        <v>14</v>
      </c>
    </row>
    <row r="19" spans="2:10" ht="57.6" x14ac:dyDescent="0.3">
      <c r="B19" s="187"/>
      <c r="C19" s="188"/>
      <c r="D19" s="19" t="s">
        <v>20</v>
      </c>
      <c r="E19" s="92"/>
      <c r="F19" s="92"/>
      <c r="G19" s="596"/>
      <c r="H19" s="597"/>
      <c r="I19" s="5" t="s">
        <v>18</v>
      </c>
      <c r="J19" s="163"/>
    </row>
    <row r="20" spans="2:10" x14ac:dyDescent="0.3">
      <c r="B20" s="573" t="s">
        <v>2</v>
      </c>
      <c r="C20" s="574"/>
      <c r="D20" s="574"/>
      <c r="E20" s="574"/>
      <c r="F20" s="574"/>
      <c r="G20" s="575"/>
      <c r="H20" s="576" t="s">
        <v>3</v>
      </c>
      <c r="I20" s="574"/>
      <c r="J20" s="577"/>
    </row>
    <row r="21" spans="2:10" ht="15" thickBot="1" x14ac:dyDescent="0.35">
      <c r="B21" s="535"/>
      <c r="C21" s="536"/>
      <c r="D21" s="536"/>
      <c r="E21" s="536"/>
      <c r="F21" s="536"/>
      <c r="G21" s="537"/>
      <c r="H21" s="538"/>
      <c r="I21" s="536"/>
      <c r="J21" s="539"/>
    </row>
    <row r="23" spans="2:10" x14ac:dyDescent="0.3">
      <c r="B23" s="1" t="s">
        <v>227</v>
      </c>
      <c r="C23" s="1"/>
      <c r="D23" s="1" t="s">
        <v>223</v>
      </c>
      <c r="E23" s="136">
        <v>0</v>
      </c>
    </row>
    <row r="24" spans="2:10" x14ac:dyDescent="0.3">
      <c r="B24" s="114" t="s">
        <v>228</v>
      </c>
      <c r="C24" s="114"/>
      <c r="D24" s="114" t="s">
        <v>224</v>
      </c>
      <c r="E24" s="137">
        <v>0.1</v>
      </c>
    </row>
    <row r="25" spans="2:10" x14ac:dyDescent="0.3">
      <c r="B25" s="116" t="s">
        <v>226</v>
      </c>
      <c r="C25" s="116"/>
      <c r="D25" s="115" t="s">
        <v>230</v>
      </c>
      <c r="E25" s="138">
        <v>0.5</v>
      </c>
      <c r="F25" s="86"/>
    </row>
    <row r="26" spans="2:10" x14ac:dyDescent="0.3">
      <c r="B26" s="1"/>
      <c r="C26" s="1"/>
      <c r="D26" s="116" t="s">
        <v>229</v>
      </c>
      <c r="E26" s="139">
        <v>0.8</v>
      </c>
      <c r="F26" s="89"/>
    </row>
    <row r="27" spans="2:10" x14ac:dyDescent="0.3">
      <c r="B27" s="1"/>
      <c r="C27" s="1"/>
      <c r="D27" s="117" t="s">
        <v>225</v>
      </c>
      <c r="E27" s="140">
        <v>1</v>
      </c>
      <c r="F27" s="88"/>
    </row>
    <row r="28" spans="2:10" x14ac:dyDescent="0.3">
      <c r="D28" s="117"/>
      <c r="E28" s="87"/>
      <c r="F28" s="87"/>
    </row>
  </sheetData>
  <mergeCells count="10">
    <mergeCell ref="B20:G20"/>
    <mergeCell ref="H20:J20"/>
    <mergeCell ref="B21:G21"/>
    <mergeCell ref="H21:J21"/>
    <mergeCell ref="B2:G2"/>
    <mergeCell ref="H2:J2"/>
    <mergeCell ref="G3:H3"/>
    <mergeCell ref="G4:H19"/>
    <mergeCell ref="I4:I17"/>
    <mergeCell ref="J4:J17"/>
  </mergeCells>
  <conditionalFormatting sqref="F8">
    <cfRule type="containsText" priority="1" operator="containsText" text="%">
      <formula>NOT(ISERROR(SEARCH("%",F8)))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0"/>
  <sheetViews>
    <sheetView zoomScaleNormal="100" workbookViewId="0">
      <selection activeCell="L19" sqref="L19"/>
    </sheetView>
  </sheetViews>
  <sheetFormatPr defaultRowHeight="14.4" x14ac:dyDescent="0.3"/>
  <cols>
    <col min="2" max="2" width="62.5546875" customWidth="1"/>
    <col min="3" max="3" width="5.33203125" customWidth="1"/>
    <col min="4" max="4" width="63.44140625" customWidth="1"/>
    <col min="5" max="5" width="5.33203125" customWidth="1"/>
    <col min="6" max="6" width="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x14ac:dyDescent="0.3">
      <c r="B3" s="167" t="s">
        <v>10</v>
      </c>
      <c r="C3" s="293">
        <f>ROUND(AVERAGE(C4:C17)*100,0)</f>
        <v>37</v>
      </c>
      <c r="D3" s="174" t="s">
        <v>0</v>
      </c>
      <c r="E3" s="183" t="s">
        <v>282</v>
      </c>
      <c r="F3" s="168">
        <f>AVERAGE(F4:F17)</f>
        <v>0.35384615384615381</v>
      </c>
      <c r="G3" s="571" t="s">
        <v>8</v>
      </c>
      <c r="H3" s="572"/>
      <c r="I3" s="156" t="s">
        <v>4</v>
      </c>
      <c r="J3" s="157" t="s">
        <v>13</v>
      </c>
    </row>
    <row r="4" spans="2:10" ht="28.8" x14ac:dyDescent="0.3">
      <c r="B4" s="218" t="s">
        <v>295</v>
      </c>
      <c r="C4" s="201">
        <f>AVERAGE(F5,F6)</f>
        <v>0.25</v>
      </c>
      <c r="D4" s="215" t="s">
        <v>281</v>
      </c>
      <c r="E4" s="166"/>
      <c r="F4" s="171"/>
      <c r="G4" s="593" t="s">
        <v>221</v>
      </c>
      <c r="H4" s="594"/>
      <c r="I4" s="598" t="s">
        <v>232</v>
      </c>
      <c r="J4" s="583" t="s">
        <v>261</v>
      </c>
    </row>
    <row r="5" spans="2:10" ht="57.6" x14ac:dyDescent="0.3">
      <c r="B5" s="218" t="s">
        <v>296</v>
      </c>
      <c r="C5" s="201">
        <f>F6</f>
        <v>0</v>
      </c>
      <c r="D5" s="217" t="str">
        <f>Решения!B16</f>
        <v>Единообразное планирование проектов (План-график, трудозатраты, фин план)</v>
      </c>
      <c r="E5" s="166" t="s">
        <v>283</v>
      </c>
      <c r="F5" s="164">
        <f>Решения!C16</f>
        <v>0.5</v>
      </c>
      <c r="G5" s="593"/>
      <c r="H5" s="594"/>
      <c r="I5" s="598"/>
      <c r="J5" s="583"/>
    </row>
    <row r="6" spans="2:10" ht="28.8" x14ac:dyDescent="0.3">
      <c r="B6" s="218" t="s">
        <v>297</v>
      </c>
      <c r="C6" s="201">
        <f>AVERAGE(F7,F8, F9)</f>
        <v>0.5</v>
      </c>
      <c r="D6" s="180" t="str">
        <f>Решения!B35</f>
        <v>Проектный документооборот (~MDR базовый)  (жизненный цикл основных проектных артефактов, указанных в ТЗ и договоре)</v>
      </c>
      <c r="E6" s="166" t="s">
        <v>285</v>
      </c>
      <c r="F6" s="164">
        <f>Решения!C35</f>
        <v>0</v>
      </c>
      <c r="G6" s="593"/>
      <c r="H6" s="594"/>
      <c r="I6" s="598"/>
      <c r="J6" s="583"/>
    </row>
    <row r="7" spans="2:10" ht="43.2" x14ac:dyDescent="0.3">
      <c r="B7" s="218" t="s">
        <v>298</v>
      </c>
      <c r="C7" s="201">
        <f>AVERAGE(F5,F6, F14, F15)</f>
        <v>0.32500000000000001</v>
      </c>
      <c r="D7" s="184" t="str">
        <f>Решения!B7</f>
        <v>Актуализация информации по проектам</v>
      </c>
      <c r="E7" s="166" t="s">
        <v>286</v>
      </c>
      <c r="F7" s="164">
        <f>Решения!C7</f>
        <v>0.5</v>
      </c>
      <c r="G7" s="593"/>
      <c r="H7" s="594"/>
      <c r="I7" s="598"/>
      <c r="J7" s="583"/>
    </row>
    <row r="8" spans="2:10" ht="28.8" x14ac:dyDescent="0.3">
      <c r="B8" s="218" t="s">
        <v>299</v>
      </c>
      <c r="C8" s="201">
        <f>AVERAGE(F12,F10, F11, F13)</f>
        <v>0.25</v>
      </c>
      <c r="D8" s="227" t="str">
        <f>Решения!B57</f>
        <v>Формирование отчетности по проектам</v>
      </c>
      <c r="E8" s="166" t="s">
        <v>286</v>
      </c>
      <c r="F8" s="164">
        <f>Решения!C57</f>
        <v>0.5</v>
      </c>
      <c r="G8" s="593"/>
      <c r="H8" s="594"/>
      <c r="I8" s="598"/>
      <c r="J8" s="583"/>
    </row>
    <row r="9" spans="2:10" ht="28.8" x14ac:dyDescent="0.3">
      <c r="B9" s="218" t="s">
        <v>377</v>
      </c>
      <c r="C9" s="308">
        <f>F16</f>
        <v>0.8</v>
      </c>
      <c r="D9" s="180" t="str">
        <f>Решения!B43</f>
        <v>Статус-отчеты по проекту. От Фазы Пресейла до Завершения договора</v>
      </c>
      <c r="E9" s="166" t="s">
        <v>286</v>
      </c>
      <c r="F9" s="164">
        <f>Решения!C43</f>
        <v>0.5</v>
      </c>
      <c r="G9" s="593"/>
      <c r="H9" s="594"/>
      <c r="I9" s="598"/>
      <c r="J9" s="583"/>
    </row>
    <row r="10" spans="2:10" x14ac:dyDescent="0.3">
      <c r="B10" s="218" t="s">
        <v>378</v>
      </c>
      <c r="C10" s="309">
        <f>AVERAGE(F17)</f>
        <v>0</v>
      </c>
      <c r="D10" s="184" t="str">
        <f>Решения!B15</f>
        <v>Диспетчирование работ (поручения)</v>
      </c>
      <c r="E10" s="166" t="s">
        <v>292</v>
      </c>
      <c r="F10" s="164">
        <f>Решения!C15</f>
        <v>0.5</v>
      </c>
      <c r="G10" s="593"/>
      <c r="H10" s="594"/>
      <c r="I10" s="598"/>
      <c r="J10" s="583"/>
    </row>
    <row r="11" spans="2:10" ht="28.8" x14ac:dyDescent="0.3">
      <c r="B11" s="218" t="s">
        <v>383</v>
      </c>
      <c r="C11" s="309">
        <f>AVERAGE(F19,F18)</f>
        <v>0.4</v>
      </c>
      <c r="D11" s="180" t="str">
        <f>Решения!B24</f>
        <v>Канбан-доска</v>
      </c>
      <c r="E11" s="166" t="s">
        <v>292</v>
      </c>
      <c r="F11" s="164">
        <f>Решения!C24</f>
        <v>0</v>
      </c>
      <c r="G11" s="593"/>
      <c r="H11" s="594"/>
      <c r="I11" s="598"/>
      <c r="J11" s="583"/>
    </row>
    <row r="12" spans="2:10" x14ac:dyDescent="0.3">
      <c r="B12" s="218" t="s">
        <v>384</v>
      </c>
      <c r="C12" s="309">
        <f>F19</f>
        <v>0.8</v>
      </c>
      <c r="D12" s="180" t="str">
        <f>Решения!B23</f>
        <v>Интеграция с трекинг-системами</v>
      </c>
      <c r="E12" s="166" t="s">
        <v>292</v>
      </c>
      <c r="F12" s="164">
        <f>Решения!C23</f>
        <v>0.5</v>
      </c>
      <c r="G12" s="593"/>
      <c r="H12" s="594"/>
      <c r="I12" s="598"/>
      <c r="J12" s="583"/>
    </row>
    <row r="13" spans="2:10" x14ac:dyDescent="0.3">
      <c r="B13" s="169"/>
      <c r="C13" s="309"/>
      <c r="D13" s="180" t="str">
        <f>Решения!B2</f>
        <v>1С:Взаимодействие</v>
      </c>
      <c r="E13" s="166" t="s">
        <v>292</v>
      </c>
      <c r="F13" s="164">
        <f>Решения!C2</f>
        <v>0</v>
      </c>
      <c r="G13" s="593"/>
      <c r="H13" s="594"/>
      <c r="I13" s="598"/>
      <c r="J13" s="583"/>
    </row>
    <row r="14" spans="2:10" x14ac:dyDescent="0.3">
      <c r="B14" s="169"/>
      <c r="C14" s="310"/>
      <c r="D14" s="184" t="str">
        <f>Решения!B28</f>
        <v>Многомерные проекты</v>
      </c>
      <c r="E14" s="166" t="s">
        <v>294</v>
      </c>
      <c r="F14" s="164">
        <f>Решения!C28</f>
        <v>0.5</v>
      </c>
      <c r="G14" s="593"/>
      <c r="H14" s="594"/>
      <c r="I14" s="598"/>
      <c r="J14" s="583"/>
    </row>
    <row r="15" spans="2:10" ht="28.8" x14ac:dyDescent="0.3">
      <c r="B15" s="169"/>
      <c r="C15" s="310"/>
      <c r="D15" s="180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15" s="166" t="s">
        <v>294</v>
      </c>
      <c r="F15" s="164">
        <f>Решения!C27</f>
        <v>0.3</v>
      </c>
      <c r="G15" s="593"/>
      <c r="H15" s="594"/>
      <c r="I15" s="598"/>
      <c r="J15" s="583"/>
    </row>
    <row r="16" spans="2:10" x14ac:dyDescent="0.3">
      <c r="B16" s="169"/>
      <c r="C16" s="310"/>
      <c r="D16" s="179" t="str">
        <f>Решения!B51</f>
        <v>Упр.учет фирмы в разрезе подразделений, направлений, проектов</v>
      </c>
      <c r="E16" s="209" t="s">
        <v>268</v>
      </c>
      <c r="F16" s="164">
        <f>Решения!C51</f>
        <v>0.8</v>
      </c>
      <c r="G16" s="593"/>
      <c r="H16" s="594"/>
      <c r="I16" s="598"/>
      <c r="J16" s="583"/>
    </row>
    <row r="17" spans="2:10" x14ac:dyDescent="0.3">
      <c r="B17" s="169"/>
      <c r="C17" s="310"/>
      <c r="D17" s="224" t="str">
        <f>Решения!B8</f>
        <v>Анализ обеспеченности (в т.ч. ТМЦ) и формирование фронта работ</v>
      </c>
      <c r="E17" s="209" t="s">
        <v>272</v>
      </c>
      <c r="F17" s="164">
        <f>Решения!C8</f>
        <v>0</v>
      </c>
      <c r="G17" s="593"/>
      <c r="H17" s="594"/>
      <c r="I17" s="599"/>
      <c r="J17" s="600"/>
    </row>
    <row r="18" spans="2:10" x14ac:dyDescent="0.3">
      <c r="B18" s="169"/>
      <c r="C18" s="310"/>
      <c r="D18" s="224" t="str">
        <f>Решения!B34</f>
        <v>Привязка спецификаций к работам проекта</v>
      </c>
      <c r="E18" s="209" t="s">
        <v>276</v>
      </c>
      <c r="F18" s="164">
        <f>Решения!C34</f>
        <v>0</v>
      </c>
      <c r="G18" s="593"/>
      <c r="H18" s="594"/>
      <c r="I18" s="118"/>
      <c r="J18" s="119"/>
    </row>
    <row r="19" spans="2:10" ht="15" thickBot="1" x14ac:dyDescent="0.35">
      <c r="B19" s="191"/>
      <c r="C19" s="311"/>
      <c r="D19" s="216" t="str">
        <f>Решения!B40</f>
        <v>Связь проектов, заказов поставщикам и факта поставки ТМЦ</v>
      </c>
      <c r="E19" s="225" t="s">
        <v>385</v>
      </c>
      <c r="F19" s="165">
        <f>Решения!C40</f>
        <v>0.8</v>
      </c>
      <c r="G19" s="593"/>
      <c r="H19" s="594"/>
      <c r="I19" s="118"/>
      <c r="J19" s="119"/>
    </row>
    <row r="20" spans="2:10" x14ac:dyDescent="0.3">
      <c r="B20" s="189" t="s">
        <v>9</v>
      </c>
      <c r="C20" s="143"/>
      <c r="D20" s="194" t="s">
        <v>1</v>
      </c>
      <c r="E20" s="186"/>
      <c r="F20" s="186"/>
      <c r="G20" s="595"/>
      <c r="H20" s="594"/>
      <c r="I20" s="182" t="s">
        <v>5</v>
      </c>
      <c r="J20" s="161" t="s">
        <v>14</v>
      </c>
    </row>
    <row r="21" spans="2:10" ht="57.6" x14ac:dyDescent="0.3">
      <c r="B21" s="187"/>
      <c r="C21" s="188"/>
      <c r="D21" s="19" t="s">
        <v>20</v>
      </c>
      <c r="E21" s="92"/>
      <c r="F21" s="92"/>
      <c r="G21" s="596"/>
      <c r="H21" s="597"/>
      <c r="I21" s="5" t="s">
        <v>18</v>
      </c>
      <c r="J21" s="163"/>
    </row>
    <row r="22" spans="2:10" x14ac:dyDescent="0.3">
      <c r="B22" s="573" t="s">
        <v>2</v>
      </c>
      <c r="C22" s="574"/>
      <c r="D22" s="574"/>
      <c r="E22" s="574"/>
      <c r="F22" s="574"/>
      <c r="G22" s="575"/>
      <c r="H22" s="576" t="s">
        <v>3</v>
      </c>
      <c r="I22" s="574"/>
      <c r="J22" s="577"/>
    </row>
    <row r="23" spans="2:10" ht="15" thickBot="1" x14ac:dyDescent="0.35">
      <c r="B23" s="535"/>
      <c r="C23" s="536"/>
      <c r="D23" s="536"/>
      <c r="E23" s="536"/>
      <c r="F23" s="536"/>
      <c r="G23" s="537"/>
      <c r="H23" s="538"/>
      <c r="I23" s="536"/>
      <c r="J23" s="539"/>
    </row>
    <row r="25" spans="2:10" x14ac:dyDescent="0.3">
      <c r="B25" s="1" t="s">
        <v>227</v>
      </c>
      <c r="C25" s="1"/>
      <c r="D25" s="1" t="s">
        <v>223</v>
      </c>
      <c r="E25" s="136">
        <v>0</v>
      </c>
    </row>
    <row r="26" spans="2:10" x14ac:dyDescent="0.3">
      <c r="B26" s="114" t="s">
        <v>228</v>
      </c>
      <c r="C26" s="114"/>
      <c r="D26" s="114" t="s">
        <v>224</v>
      </c>
      <c r="E26" s="137">
        <v>0.1</v>
      </c>
    </row>
    <row r="27" spans="2:10" x14ac:dyDescent="0.3">
      <c r="B27" s="116" t="s">
        <v>226</v>
      </c>
      <c r="C27" s="116"/>
      <c r="D27" s="115" t="s">
        <v>230</v>
      </c>
      <c r="E27" s="138">
        <v>0.5</v>
      </c>
      <c r="F27" s="86"/>
    </row>
    <row r="28" spans="2:10" x14ac:dyDescent="0.3">
      <c r="B28" s="1"/>
      <c r="C28" s="1"/>
      <c r="D28" s="116" t="s">
        <v>229</v>
      </c>
      <c r="E28" s="139">
        <v>0.8</v>
      </c>
      <c r="F28" s="89"/>
    </row>
    <row r="29" spans="2:10" x14ac:dyDescent="0.3">
      <c r="B29" s="1"/>
      <c r="C29" s="1"/>
      <c r="D29" s="117" t="s">
        <v>225</v>
      </c>
      <c r="E29" s="140">
        <v>1</v>
      </c>
      <c r="F29" s="88"/>
    </row>
    <row r="30" spans="2:10" x14ac:dyDescent="0.3">
      <c r="D30" s="117"/>
      <c r="E30" s="87"/>
      <c r="F30" s="87"/>
    </row>
  </sheetData>
  <mergeCells count="10">
    <mergeCell ref="B22:G22"/>
    <mergeCell ref="H22:J22"/>
    <mergeCell ref="B23:G23"/>
    <mergeCell ref="H23:J23"/>
    <mergeCell ref="B2:G2"/>
    <mergeCell ref="H2:J2"/>
    <mergeCell ref="G3:H3"/>
    <mergeCell ref="G4:H21"/>
    <mergeCell ref="I4:I17"/>
    <mergeCell ref="J4:J17"/>
  </mergeCells>
  <conditionalFormatting sqref="F8">
    <cfRule type="containsText" priority="1" operator="containsText" text="%">
      <formula>NOT(ISERROR(SEARCH("%",F8)))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Normal="100" workbookViewId="0">
      <selection activeCell="L19" sqref="L19"/>
    </sheetView>
  </sheetViews>
  <sheetFormatPr defaultRowHeight="14.4" x14ac:dyDescent="0.3"/>
  <cols>
    <col min="2" max="2" width="44.109375" customWidth="1"/>
    <col min="3" max="3" width="5.88671875" customWidth="1"/>
    <col min="4" max="4" width="47.88671875" customWidth="1"/>
    <col min="5" max="5" width="6.33203125" customWidth="1"/>
    <col min="6" max="6" width="5.5546875" customWidth="1"/>
    <col min="7" max="8" width="15.6640625" customWidth="1"/>
    <col min="9" max="10" width="30.6640625" customWidth="1"/>
  </cols>
  <sheetData>
    <row r="1" spans="1:10" ht="15" thickBot="1" x14ac:dyDescent="0.35">
      <c r="A1" s="1"/>
    </row>
    <row r="2" spans="1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1:10" ht="15" thickBot="1" x14ac:dyDescent="0.35">
      <c r="B3" s="312" t="s">
        <v>10</v>
      </c>
      <c r="C3" s="314">
        <f>ROUND(AVERAGE(C4,C6:C12)*100,0)</f>
        <v>30</v>
      </c>
      <c r="D3" s="235" t="s">
        <v>0</v>
      </c>
      <c r="E3" s="183" t="s">
        <v>282</v>
      </c>
      <c r="F3" s="168">
        <f>AVERAGE(F4:F15)</f>
        <v>0.25454545454545452</v>
      </c>
      <c r="G3" s="571" t="s">
        <v>8</v>
      </c>
      <c r="H3" s="572"/>
      <c r="I3" s="156" t="s">
        <v>4</v>
      </c>
      <c r="J3" s="157" t="s">
        <v>13</v>
      </c>
    </row>
    <row r="4" spans="1:10" ht="57.6" x14ac:dyDescent="0.3">
      <c r="B4" s="313" t="s">
        <v>341</v>
      </c>
      <c r="C4" s="315">
        <f>AVERAGE(F4, F5)</f>
        <v>0.25</v>
      </c>
      <c r="D4" s="243" t="str">
        <f>Решения!B21</f>
        <v>Интеграция с КИС</v>
      </c>
      <c r="E4" s="166" t="s">
        <v>248</v>
      </c>
      <c r="F4" s="164">
        <f>Решения!C21</f>
        <v>0</v>
      </c>
      <c r="G4" s="603" t="s">
        <v>31</v>
      </c>
      <c r="H4" s="604"/>
      <c r="I4" s="582" t="s">
        <v>336</v>
      </c>
      <c r="J4" s="583" t="s">
        <v>233</v>
      </c>
    </row>
    <row r="5" spans="1:10" ht="43.2" x14ac:dyDescent="0.3">
      <c r="B5" s="239" t="s">
        <v>342</v>
      </c>
      <c r="C5" s="306">
        <f>AVERAGE(C6, C7, C8, C9, C10)</f>
        <v>0.38500000000000001</v>
      </c>
      <c r="D5" s="198" t="str">
        <f>Решения!B41</f>
        <v>Синхронизация мониторинга производственной деятельности с планами по проектам, объемам и по ресурсам</v>
      </c>
      <c r="E5" s="166" t="s">
        <v>248</v>
      </c>
      <c r="F5" s="164">
        <f>Решения!C41</f>
        <v>0.5</v>
      </c>
      <c r="G5" s="603"/>
      <c r="H5" s="604"/>
      <c r="I5" s="582"/>
      <c r="J5" s="583"/>
    </row>
    <row r="6" spans="1:10" ht="28.8" x14ac:dyDescent="0.3">
      <c r="B6" s="239" t="s">
        <v>343</v>
      </c>
      <c r="C6" s="306">
        <f>AVERAGE(F6)</f>
        <v>0.5</v>
      </c>
      <c r="D6" s="198" t="str">
        <f>Решения!B11</f>
        <v>Балансировка объемов и минимизация ресурсных конфликтов</v>
      </c>
      <c r="E6" s="166" t="s">
        <v>349</v>
      </c>
      <c r="F6" s="164">
        <f>Решения!C11</f>
        <v>0.5</v>
      </c>
      <c r="G6" s="603"/>
      <c r="H6" s="604"/>
      <c r="I6" s="582"/>
      <c r="J6" s="583"/>
    </row>
    <row r="7" spans="1:10" ht="43.2" x14ac:dyDescent="0.3">
      <c r="B7" s="239" t="s">
        <v>344</v>
      </c>
      <c r="C7" s="306">
        <f>AVERAGE(F6)</f>
        <v>0.5</v>
      </c>
      <c r="D7" s="243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7" s="166" t="s">
        <v>350</v>
      </c>
      <c r="F7" s="164">
        <f>Решения!C27</f>
        <v>0.3</v>
      </c>
      <c r="G7" s="603"/>
      <c r="H7" s="604"/>
      <c r="I7" s="582"/>
      <c r="J7" s="583"/>
    </row>
    <row r="8" spans="1:10" ht="43.2" x14ac:dyDescent="0.3">
      <c r="B8" s="239" t="s">
        <v>345</v>
      </c>
      <c r="C8" s="306">
        <f>AVERAGE(F13)</f>
        <v>0.5</v>
      </c>
      <c r="D8" s="243" t="s">
        <v>368</v>
      </c>
      <c r="E8" s="166"/>
      <c r="F8" s="164"/>
      <c r="G8" s="603"/>
      <c r="H8" s="604"/>
      <c r="I8" s="582"/>
      <c r="J8" s="583"/>
    </row>
    <row r="9" spans="1:10" ht="43.2" x14ac:dyDescent="0.3">
      <c r="B9" s="239" t="s">
        <v>346</v>
      </c>
      <c r="C9" s="306">
        <f>AVERAGE(F7)</f>
        <v>0.3</v>
      </c>
      <c r="D9" s="243" t="str">
        <f>Решения!B38</f>
        <v>РСП: управление пакетами работ, за которые они назначены ответственными</v>
      </c>
      <c r="E9" s="166" t="s">
        <v>351</v>
      </c>
      <c r="F9" s="164">
        <f>Решения!C38</f>
        <v>0</v>
      </c>
      <c r="G9" s="603"/>
      <c r="H9" s="604"/>
      <c r="I9" s="582"/>
      <c r="J9" s="583"/>
    </row>
    <row r="10" spans="1:10" ht="28.8" x14ac:dyDescent="0.3">
      <c r="B10" s="239" t="s">
        <v>365</v>
      </c>
      <c r="C10" s="306">
        <f>AVERAGE(F10, F9,F11,F12)</f>
        <v>0.125</v>
      </c>
      <c r="D10" s="243" t="str">
        <f>Решения!B12</f>
        <v>Бронирование базовое</v>
      </c>
      <c r="E10" s="166" t="s">
        <v>351</v>
      </c>
      <c r="F10" s="164">
        <f>Решения!C12</f>
        <v>0</v>
      </c>
      <c r="G10" s="603"/>
      <c r="H10" s="604"/>
      <c r="I10" s="582"/>
      <c r="J10" s="583"/>
    </row>
    <row r="11" spans="1:10" ht="45" customHeight="1" x14ac:dyDescent="0.3">
      <c r="B11" s="239" t="s">
        <v>366</v>
      </c>
      <c r="C11" s="306">
        <f>AVERAGE(F14)</f>
        <v>0</v>
      </c>
      <c r="D11" s="243" t="str">
        <f>Решения!B26</f>
        <v>Контроль качества и применимость ресурсов (компетенции, квалификации)</v>
      </c>
      <c r="E11" s="166" t="s">
        <v>351</v>
      </c>
      <c r="F11" s="164">
        <f>Решения!C26</f>
        <v>0</v>
      </c>
      <c r="G11" s="603"/>
      <c r="H11" s="604"/>
      <c r="I11" s="608"/>
      <c r="J11" s="600"/>
    </row>
    <row r="12" spans="1:10" ht="45" customHeight="1" x14ac:dyDescent="0.3">
      <c r="B12" s="239" t="s">
        <v>367</v>
      </c>
      <c r="C12" s="306">
        <f>AVERAGE(F15:F16)</f>
        <v>0.25</v>
      </c>
      <c r="D12" s="198" t="str">
        <f>Решения!B14</f>
        <v>Влияние производительности ресурсов на трудоемкость и сроки</v>
      </c>
      <c r="E12" s="166" t="s">
        <v>351</v>
      </c>
      <c r="F12" s="164">
        <f>Решения!C14</f>
        <v>0.5</v>
      </c>
      <c r="G12" s="603"/>
      <c r="H12" s="604"/>
      <c r="I12" s="128"/>
      <c r="J12" s="119"/>
    </row>
    <row r="13" spans="1:10" ht="45" customHeight="1" x14ac:dyDescent="0.3">
      <c r="B13" s="239"/>
      <c r="C13" s="316"/>
      <c r="D13" s="198" t="str">
        <f>Решения!B46</f>
        <v>Темплан, включая планирование объемов актирования по контрактации (без самой контрактации)</v>
      </c>
      <c r="E13" s="166" t="s">
        <v>352</v>
      </c>
      <c r="F13" s="164">
        <f>Решения!C46</f>
        <v>0.5</v>
      </c>
      <c r="G13" s="603"/>
      <c r="H13" s="604"/>
      <c r="I13" s="128"/>
      <c r="J13" s="119"/>
    </row>
    <row r="14" spans="1:10" ht="45" customHeight="1" x14ac:dyDescent="0.3">
      <c r="B14" s="239"/>
      <c r="C14" s="316"/>
      <c r="D14" s="243" t="str">
        <f>Решения!B30</f>
        <v>Оперативный фронт работ (план производственных подраз): - подошли сроки, работы обеспечены, баласировки под мощность подразделений</v>
      </c>
      <c r="E14" s="166" t="s">
        <v>269</v>
      </c>
      <c r="F14" s="164">
        <f>Решения!C30</f>
        <v>0</v>
      </c>
      <c r="G14" s="603"/>
      <c r="H14" s="604"/>
      <c r="I14" s="128"/>
      <c r="J14" s="119"/>
    </row>
    <row r="15" spans="1:10" ht="45" customHeight="1" x14ac:dyDescent="0.3">
      <c r="B15" s="239"/>
      <c r="C15" s="316"/>
      <c r="D15" s="226" t="str">
        <f>Решения!B52</f>
        <v>Управление договорами</v>
      </c>
      <c r="E15" s="166" t="s">
        <v>247</v>
      </c>
      <c r="F15" s="164">
        <f>Решения!C52</f>
        <v>0.5</v>
      </c>
      <c r="G15" s="603"/>
      <c r="H15" s="604"/>
      <c r="I15" s="128"/>
      <c r="J15" s="119"/>
    </row>
    <row r="16" spans="1:10" ht="45" customHeight="1" thickBot="1" x14ac:dyDescent="0.35">
      <c r="B16" s="241"/>
      <c r="C16" s="317"/>
      <c r="D16" s="247" t="str">
        <f>Решения!B25</f>
        <v>Контроль актирования</v>
      </c>
      <c r="E16" s="178" t="s">
        <v>247</v>
      </c>
      <c r="F16" s="165">
        <f>Решения!C25</f>
        <v>0</v>
      </c>
      <c r="G16" s="603"/>
      <c r="H16" s="604"/>
      <c r="I16" s="128"/>
      <c r="J16" s="119"/>
    </row>
    <row r="17" spans="2:10" x14ac:dyDescent="0.3">
      <c r="B17" s="129" t="s">
        <v>9</v>
      </c>
      <c r="C17" s="152"/>
      <c r="D17" s="158" t="s">
        <v>1</v>
      </c>
      <c r="E17" s="159"/>
      <c r="F17" s="159"/>
      <c r="G17" s="605"/>
      <c r="H17" s="604"/>
      <c r="I17" s="182" t="s">
        <v>5</v>
      </c>
      <c r="J17" s="161" t="s">
        <v>14</v>
      </c>
    </row>
    <row r="18" spans="2:10" ht="28.8" x14ac:dyDescent="0.3">
      <c r="B18" s="234"/>
      <c r="C18" s="153"/>
      <c r="D18" s="5" t="s">
        <v>12</v>
      </c>
      <c r="E18" s="100"/>
      <c r="F18" s="100"/>
      <c r="G18" s="606"/>
      <c r="H18" s="607"/>
      <c r="I18" s="11"/>
      <c r="J18" s="163"/>
    </row>
    <row r="19" spans="2:10" x14ac:dyDescent="0.3">
      <c r="B19" s="573" t="s">
        <v>2</v>
      </c>
      <c r="C19" s="574"/>
      <c r="D19" s="574"/>
      <c r="E19" s="574"/>
      <c r="F19" s="574"/>
      <c r="G19" s="575"/>
      <c r="H19" s="576" t="s">
        <v>3</v>
      </c>
      <c r="I19" s="574"/>
      <c r="J19" s="577"/>
    </row>
    <row r="20" spans="2:10" ht="14.25" customHeight="1" thickBot="1" x14ac:dyDescent="0.35">
      <c r="B20" s="535"/>
      <c r="C20" s="536"/>
      <c r="D20" s="536"/>
      <c r="E20" s="536"/>
      <c r="F20" s="536"/>
      <c r="G20" s="537"/>
      <c r="H20" s="538"/>
      <c r="I20" s="536"/>
      <c r="J20" s="539"/>
    </row>
    <row r="22" spans="2:10" x14ac:dyDescent="0.3">
      <c r="B22" s="1" t="s">
        <v>227</v>
      </c>
      <c r="C22" s="1"/>
      <c r="D22" s="1" t="s">
        <v>223</v>
      </c>
      <c r="E22" s="136">
        <v>0</v>
      </c>
    </row>
    <row r="23" spans="2:10" x14ac:dyDescent="0.3">
      <c r="B23" s="114" t="s">
        <v>228</v>
      </c>
      <c r="C23" s="114"/>
      <c r="D23" s="114" t="s">
        <v>224</v>
      </c>
      <c r="E23" s="137">
        <v>0.1</v>
      </c>
    </row>
    <row r="24" spans="2:10" x14ac:dyDescent="0.3">
      <c r="B24" s="116" t="s">
        <v>226</v>
      </c>
      <c r="C24" s="116"/>
      <c r="D24" s="115" t="s">
        <v>230</v>
      </c>
      <c r="E24" s="138">
        <v>0.5</v>
      </c>
      <c r="F24" s="86"/>
    </row>
    <row r="25" spans="2:10" x14ac:dyDescent="0.3">
      <c r="B25" s="1"/>
      <c r="C25" s="1"/>
      <c r="D25" s="116" t="s">
        <v>229</v>
      </c>
      <c r="E25" s="139">
        <v>0.8</v>
      </c>
      <c r="F25" s="89"/>
    </row>
    <row r="26" spans="2:10" x14ac:dyDescent="0.3">
      <c r="B26" s="1"/>
      <c r="C26" s="1"/>
      <c r="D26" s="117" t="s">
        <v>225</v>
      </c>
      <c r="E26" s="140">
        <v>1</v>
      </c>
      <c r="F26" s="88"/>
    </row>
    <row r="27" spans="2:10" x14ac:dyDescent="0.3">
      <c r="D27" s="87"/>
      <c r="E27" s="87"/>
      <c r="F27" s="87"/>
    </row>
  </sheetData>
  <mergeCells count="10">
    <mergeCell ref="B19:G19"/>
    <mergeCell ref="H19:J19"/>
    <mergeCell ref="B20:G20"/>
    <mergeCell ref="H20:J20"/>
    <mergeCell ref="B2:G2"/>
    <mergeCell ref="H2:J2"/>
    <mergeCell ref="G3:H3"/>
    <mergeCell ref="G4:H18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Normal="100" workbookViewId="0">
      <selection activeCell="L19" sqref="L19"/>
    </sheetView>
  </sheetViews>
  <sheetFormatPr defaultRowHeight="14.4" x14ac:dyDescent="0.3"/>
  <cols>
    <col min="2" max="2" width="44.109375" customWidth="1"/>
    <col min="3" max="3" width="5.88671875" customWidth="1"/>
    <col min="4" max="4" width="47.88671875" customWidth="1"/>
    <col min="5" max="5" width="6.33203125" customWidth="1"/>
    <col min="6" max="6" width="5.5546875" customWidth="1"/>
    <col min="7" max="8" width="15.6640625" customWidth="1"/>
    <col min="9" max="10" width="30.6640625" customWidth="1"/>
  </cols>
  <sheetData>
    <row r="1" spans="1:10" ht="15" thickBot="1" x14ac:dyDescent="0.35">
      <c r="A1" s="1"/>
    </row>
    <row r="2" spans="1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1:10" ht="15" thickBot="1" x14ac:dyDescent="0.35">
      <c r="B3" s="312" t="s">
        <v>10</v>
      </c>
      <c r="C3" s="314">
        <f>ROUND(AVERAGE(C4,C6:C12)*100,0)</f>
        <v>30</v>
      </c>
      <c r="D3" s="235" t="s">
        <v>0</v>
      </c>
      <c r="E3" s="183" t="s">
        <v>282</v>
      </c>
      <c r="F3" s="168">
        <f>AVERAGE(F4:F15)</f>
        <v>0.25454545454545452</v>
      </c>
      <c r="G3" s="571" t="s">
        <v>8</v>
      </c>
      <c r="H3" s="572"/>
      <c r="I3" s="156" t="s">
        <v>4</v>
      </c>
      <c r="J3" s="157" t="s">
        <v>13</v>
      </c>
    </row>
    <row r="4" spans="1:10" ht="57.6" x14ac:dyDescent="0.3">
      <c r="B4" s="313" t="s">
        <v>341</v>
      </c>
      <c r="C4" s="315">
        <f>AVERAGE(F4, F5)</f>
        <v>0.25</v>
      </c>
      <c r="D4" s="243" t="str">
        <f>Решения!B21</f>
        <v>Интеграция с КИС</v>
      </c>
      <c r="E4" s="166" t="s">
        <v>248</v>
      </c>
      <c r="F4" s="164">
        <f>Решения!C21</f>
        <v>0</v>
      </c>
      <c r="G4" s="603" t="s">
        <v>31</v>
      </c>
      <c r="H4" s="604"/>
      <c r="I4" s="582" t="s">
        <v>336</v>
      </c>
      <c r="J4" s="583" t="s">
        <v>530</v>
      </c>
    </row>
    <row r="5" spans="1:10" ht="43.2" x14ac:dyDescent="0.3">
      <c r="B5" s="239" t="s">
        <v>342</v>
      </c>
      <c r="C5" s="306">
        <f>AVERAGE(C6, C7, C8, C9, C10)</f>
        <v>0.38500000000000001</v>
      </c>
      <c r="D5" s="198" t="str">
        <f>Решения!B41</f>
        <v>Синхронизация мониторинга производственной деятельности с планами по проектам, объемам и по ресурсам</v>
      </c>
      <c r="E5" s="166" t="s">
        <v>248</v>
      </c>
      <c r="F5" s="164">
        <f>Решения!C41</f>
        <v>0.5</v>
      </c>
      <c r="G5" s="603"/>
      <c r="H5" s="604"/>
      <c r="I5" s="582"/>
      <c r="J5" s="583"/>
    </row>
    <row r="6" spans="1:10" ht="28.8" x14ac:dyDescent="0.3">
      <c r="B6" s="239" t="s">
        <v>343</v>
      </c>
      <c r="C6" s="306">
        <f>AVERAGE(F6)</f>
        <v>0.5</v>
      </c>
      <c r="D6" s="198" t="str">
        <f>Решения!B11</f>
        <v>Балансировка объемов и минимизация ресурсных конфликтов</v>
      </c>
      <c r="E6" s="166" t="s">
        <v>349</v>
      </c>
      <c r="F6" s="164">
        <f>Решения!C11</f>
        <v>0.5</v>
      </c>
      <c r="G6" s="603"/>
      <c r="H6" s="604"/>
      <c r="I6" s="582"/>
      <c r="J6" s="583"/>
    </row>
    <row r="7" spans="1:10" ht="43.2" x14ac:dyDescent="0.3">
      <c r="B7" s="239" t="s">
        <v>344</v>
      </c>
      <c r="C7" s="306">
        <f>AVERAGE(F6)</f>
        <v>0.5</v>
      </c>
      <c r="D7" s="243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7" s="166" t="s">
        <v>350</v>
      </c>
      <c r="F7" s="164">
        <f>Решения!C27</f>
        <v>0.3</v>
      </c>
      <c r="G7" s="603"/>
      <c r="H7" s="604"/>
      <c r="I7" s="582"/>
      <c r="J7" s="583"/>
    </row>
    <row r="8" spans="1:10" ht="43.2" x14ac:dyDescent="0.3">
      <c r="B8" s="239" t="s">
        <v>345</v>
      </c>
      <c r="C8" s="306">
        <f>AVERAGE(F13)</f>
        <v>0.5</v>
      </c>
      <c r="D8" s="243" t="s">
        <v>368</v>
      </c>
      <c r="E8" s="166"/>
      <c r="F8" s="164"/>
      <c r="G8" s="603"/>
      <c r="H8" s="604"/>
      <c r="I8" s="582"/>
      <c r="J8" s="583"/>
    </row>
    <row r="9" spans="1:10" ht="43.2" x14ac:dyDescent="0.3">
      <c r="B9" s="239" t="s">
        <v>346</v>
      </c>
      <c r="C9" s="306">
        <f>AVERAGE(F7)</f>
        <v>0.3</v>
      </c>
      <c r="D9" s="243" t="str">
        <f>Решения!B38</f>
        <v>РСП: управление пакетами работ, за которые они назначены ответственными</v>
      </c>
      <c r="E9" s="166" t="s">
        <v>351</v>
      </c>
      <c r="F9" s="164">
        <f>Решения!C38</f>
        <v>0</v>
      </c>
      <c r="G9" s="603"/>
      <c r="H9" s="604"/>
      <c r="I9" s="582"/>
      <c r="J9" s="583"/>
    </row>
    <row r="10" spans="1:10" ht="28.8" x14ac:dyDescent="0.3">
      <c r="B10" s="239" t="s">
        <v>365</v>
      </c>
      <c r="C10" s="306">
        <f>AVERAGE(F10, F9,F11,F12)</f>
        <v>0.125</v>
      </c>
      <c r="D10" s="243" t="str">
        <f>Решения!B12</f>
        <v>Бронирование базовое</v>
      </c>
      <c r="E10" s="166" t="s">
        <v>351</v>
      </c>
      <c r="F10" s="164">
        <f>Решения!C12</f>
        <v>0</v>
      </c>
      <c r="G10" s="603"/>
      <c r="H10" s="604"/>
      <c r="I10" s="582"/>
      <c r="J10" s="583"/>
    </row>
    <row r="11" spans="1:10" ht="45" customHeight="1" x14ac:dyDescent="0.3">
      <c r="B11" s="239" t="s">
        <v>531</v>
      </c>
      <c r="C11" s="306">
        <f>AVERAGE(F14)</f>
        <v>0</v>
      </c>
      <c r="D11" s="243" t="str">
        <f>Решения!B26</f>
        <v>Контроль качества и применимость ресурсов (компетенции, квалификации)</v>
      </c>
      <c r="E11" s="166" t="s">
        <v>351</v>
      </c>
      <c r="F11" s="164">
        <f>Решения!C26</f>
        <v>0</v>
      </c>
      <c r="G11" s="603"/>
      <c r="H11" s="604"/>
      <c r="I11" s="608"/>
      <c r="J11" s="600"/>
    </row>
    <row r="12" spans="1:10" ht="45" customHeight="1" x14ac:dyDescent="0.3">
      <c r="B12" s="239" t="s">
        <v>367</v>
      </c>
      <c r="C12" s="306">
        <f>AVERAGE(F15:F16)</f>
        <v>0.25</v>
      </c>
      <c r="D12" s="198" t="str">
        <f>Решения!B14</f>
        <v>Влияние производительности ресурсов на трудоемкость и сроки</v>
      </c>
      <c r="E12" s="166" t="s">
        <v>351</v>
      </c>
      <c r="F12" s="164">
        <f>Решения!C14</f>
        <v>0.5</v>
      </c>
      <c r="G12" s="603"/>
      <c r="H12" s="604"/>
      <c r="I12" s="128"/>
      <c r="J12" s="119"/>
    </row>
    <row r="13" spans="1:10" ht="45" customHeight="1" x14ac:dyDescent="0.3">
      <c r="B13" s="239"/>
      <c r="C13" s="316"/>
      <c r="D13" s="198" t="str">
        <f>Решения!B46</f>
        <v>Темплан, включая планирование объемов актирования по контрактации (без самой контрактации)</v>
      </c>
      <c r="E13" s="166" t="s">
        <v>352</v>
      </c>
      <c r="F13" s="164">
        <f>Решения!C46</f>
        <v>0.5</v>
      </c>
      <c r="G13" s="603"/>
      <c r="H13" s="604"/>
      <c r="I13" s="128"/>
      <c r="J13" s="119"/>
    </row>
    <row r="14" spans="1:10" ht="45" customHeight="1" x14ac:dyDescent="0.3">
      <c r="B14" s="239"/>
      <c r="C14" s="316"/>
      <c r="D14" s="243" t="str">
        <f>Решения!B30</f>
        <v>Оперативный фронт работ (план производственных подраз): - подошли сроки, работы обеспечены, баласировки под мощность подразделений</v>
      </c>
      <c r="E14" s="166" t="s">
        <v>269</v>
      </c>
      <c r="F14" s="164">
        <f>Решения!C30</f>
        <v>0</v>
      </c>
      <c r="G14" s="603"/>
      <c r="H14" s="604"/>
      <c r="I14" s="128"/>
      <c r="J14" s="119"/>
    </row>
    <row r="15" spans="1:10" ht="45" customHeight="1" x14ac:dyDescent="0.3">
      <c r="B15" s="239"/>
      <c r="C15" s="316"/>
      <c r="D15" s="226" t="str">
        <f>Решения!B52</f>
        <v>Управление договорами</v>
      </c>
      <c r="E15" s="166" t="s">
        <v>247</v>
      </c>
      <c r="F15" s="164">
        <f>Решения!C52</f>
        <v>0.5</v>
      </c>
      <c r="G15" s="603"/>
      <c r="H15" s="604"/>
      <c r="I15" s="128"/>
      <c r="J15" s="119"/>
    </row>
    <row r="16" spans="1:10" ht="45" customHeight="1" thickBot="1" x14ac:dyDescent="0.35">
      <c r="B16" s="241"/>
      <c r="C16" s="317"/>
      <c r="D16" s="247" t="str">
        <f>Решения!B25</f>
        <v>Контроль актирования</v>
      </c>
      <c r="E16" s="178" t="s">
        <v>247</v>
      </c>
      <c r="F16" s="165">
        <f>Решения!C25</f>
        <v>0</v>
      </c>
      <c r="G16" s="603"/>
      <c r="H16" s="604"/>
      <c r="I16" s="128"/>
      <c r="J16" s="119"/>
    </row>
    <row r="17" spans="2:10" x14ac:dyDescent="0.3">
      <c r="B17" s="129" t="s">
        <v>9</v>
      </c>
      <c r="C17" s="152"/>
      <c r="D17" s="158" t="s">
        <v>1</v>
      </c>
      <c r="E17" s="159"/>
      <c r="F17" s="159"/>
      <c r="G17" s="605"/>
      <c r="H17" s="604"/>
      <c r="I17" s="182" t="s">
        <v>5</v>
      </c>
      <c r="J17" s="161" t="s">
        <v>14</v>
      </c>
    </row>
    <row r="18" spans="2:10" ht="28.8" x14ac:dyDescent="0.3">
      <c r="B18" s="234"/>
      <c r="C18" s="153"/>
      <c r="D18" s="5" t="s">
        <v>12</v>
      </c>
      <c r="E18" s="100"/>
      <c r="F18" s="100"/>
      <c r="G18" s="606"/>
      <c r="H18" s="607"/>
      <c r="I18" s="11"/>
      <c r="J18" s="163"/>
    </row>
    <row r="19" spans="2:10" x14ac:dyDescent="0.3">
      <c r="B19" s="573" t="s">
        <v>2</v>
      </c>
      <c r="C19" s="574"/>
      <c r="D19" s="574"/>
      <c r="E19" s="574"/>
      <c r="F19" s="574"/>
      <c r="G19" s="575"/>
      <c r="H19" s="576" t="s">
        <v>3</v>
      </c>
      <c r="I19" s="574"/>
      <c r="J19" s="577"/>
    </row>
    <row r="20" spans="2:10" ht="14.25" customHeight="1" thickBot="1" x14ac:dyDescent="0.35">
      <c r="B20" s="535"/>
      <c r="C20" s="536"/>
      <c r="D20" s="536"/>
      <c r="E20" s="536"/>
      <c r="F20" s="536"/>
      <c r="G20" s="537"/>
      <c r="H20" s="538"/>
      <c r="I20" s="536"/>
      <c r="J20" s="539"/>
    </row>
    <row r="22" spans="2:10" x14ac:dyDescent="0.3">
      <c r="B22" s="1" t="s">
        <v>227</v>
      </c>
      <c r="C22" s="1"/>
      <c r="D22" s="1" t="s">
        <v>223</v>
      </c>
      <c r="E22" s="136">
        <v>0</v>
      </c>
    </row>
    <row r="23" spans="2:10" x14ac:dyDescent="0.3">
      <c r="B23" s="114" t="s">
        <v>228</v>
      </c>
      <c r="C23" s="114"/>
      <c r="D23" s="114" t="s">
        <v>224</v>
      </c>
      <c r="E23" s="137">
        <v>0.1</v>
      </c>
    </row>
    <row r="24" spans="2:10" x14ac:dyDescent="0.3">
      <c r="B24" s="116" t="s">
        <v>226</v>
      </c>
      <c r="C24" s="116"/>
      <c r="D24" s="115" t="s">
        <v>230</v>
      </c>
      <c r="E24" s="138">
        <v>0.5</v>
      </c>
      <c r="F24" s="86"/>
    </row>
    <row r="25" spans="2:10" x14ac:dyDescent="0.3">
      <c r="B25" s="1"/>
      <c r="C25" s="1"/>
      <c r="D25" s="116" t="s">
        <v>229</v>
      </c>
      <c r="E25" s="139">
        <v>0.8</v>
      </c>
      <c r="F25" s="89"/>
    </row>
    <row r="26" spans="2:10" x14ac:dyDescent="0.3">
      <c r="B26" s="1"/>
      <c r="C26" s="1"/>
      <c r="D26" s="117" t="s">
        <v>225</v>
      </c>
      <c r="E26" s="140">
        <v>1</v>
      </c>
      <c r="F26" s="88"/>
    </row>
    <row r="27" spans="2:10" x14ac:dyDescent="0.3">
      <c r="D27" s="87"/>
      <c r="E27" s="87"/>
      <c r="F27" s="87"/>
    </row>
  </sheetData>
  <mergeCells count="10">
    <mergeCell ref="B19:G19"/>
    <mergeCell ref="H19:J19"/>
    <mergeCell ref="B20:G20"/>
    <mergeCell ref="H20:J20"/>
    <mergeCell ref="B2:G2"/>
    <mergeCell ref="H2:J2"/>
    <mergeCell ref="G3:H3"/>
    <mergeCell ref="G4:H18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1"/>
  <sheetViews>
    <sheetView zoomScaleNormal="100" workbookViewId="0">
      <selection activeCell="L19" sqref="L19"/>
    </sheetView>
  </sheetViews>
  <sheetFormatPr defaultRowHeight="14.4" x14ac:dyDescent="0.3"/>
  <cols>
    <col min="2" max="2" width="40.5546875" customWidth="1"/>
    <col min="3" max="3" width="5.44140625" customWidth="1"/>
    <col min="4" max="4" width="37.44140625" customWidth="1"/>
    <col min="5" max="5" width="5.88671875" customWidth="1"/>
    <col min="6" max="6" width="6.4414062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x14ac:dyDescent="0.3">
      <c r="B3" s="232" t="s">
        <v>10</v>
      </c>
      <c r="C3" s="290">
        <f>ROUND(AVERAGE(C4:C11)*100,0)</f>
        <v>55</v>
      </c>
      <c r="D3" s="232" t="s">
        <v>0</v>
      </c>
      <c r="E3" s="251"/>
      <c r="F3" s="168">
        <f>AVERAGE(F4:F11)</f>
        <v>0.47499999999999998</v>
      </c>
      <c r="G3" s="571" t="s">
        <v>8</v>
      </c>
      <c r="H3" s="572"/>
      <c r="I3" s="156" t="s">
        <v>4</v>
      </c>
      <c r="J3" s="157" t="s">
        <v>13</v>
      </c>
    </row>
    <row r="4" spans="2:10" ht="57.6" x14ac:dyDescent="0.3">
      <c r="B4" s="179" t="s">
        <v>391</v>
      </c>
      <c r="C4" s="222">
        <f>AVERAGE(F4)</f>
        <v>0.8</v>
      </c>
      <c r="D4" s="179" t="str">
        <f>Решения!B51</f>
        <v>Упр.учет фирмы в разрезе подразделений, направлений, проектов</v>
      </c>
      <c r="E4" s="249" t="s">
        <v>248</v>
      </c>
      <c r="F4" s="252">
        <f>Решения!C51</f>
        <v>0.8</v>
      </c>
      <c r="G4" s="593" t="s">
        <v>35</v>
      </c>
      <c r="H4" s="594"/>
      <c r="I4" s="609" t="s">
        <v>372</v>
      </c>
      <c r="J4" s="583" t="s">
        <v>34</v>
      </c>
    </row>
    <row r="5" spans="2:10" x14ac:dyDescent="0.3">
      <c r="B5" s="179" t="s">
        <v>246</v>
      </c>
      <c r="C5" s="222">
        <f>AVERAGE(F5,F7)</f>
        <v>0.5</v>
      </c>
      <c r="D5" s="184" t="str">
        <f>Решения!B11</f>
        <v>Балансировка объемов и минимизация ресурсных конфликтов</v>
      </c>
      <c r="E5" s="249" t="s">
        <v>267</v>
      </c>
      <c r="F5" s="253">
        <f>Решения!C11</f>
        <v>0.5</v>
      </c>
      <c r="G5" s="593"/>
      <c r="H5" s="594"/>
      <c r="I5" s="609"/>
      <c r="J5" s="583"/>
    </row>
    <row r="6" spans="2:10" ht="57.6" x14ac:dyDescent="0.3">
      <c r="B6" s="179" t="s">
        <v>392</v>
      </c>
      <c r="C6" s="222">
        <f>AVERAGE(F6:F10)</f>
        <v>0.4</v>
      </c>
      <c r="D6" s="217" t="str">
        <f>Решения!B5</f>
        <v>Актуализация и балансировка фин.планов</v>
      </c>
      <c r="E6" s="249" t="s">
        <v>269</v>
      </c>
      <c r="F6" s="253">
        <f>Решения!C5</f>
        <v>0.5</v>
      </c>
      <c r="G6" s="593"/>
      <c r="H6" s="594"/>
      <c r="I6" s="609"/>
      <c r="J6" s="583"/>
    </row>
    <row r="7" spans="2:10" ht="28.8" x14ac:dyDescent="0.3">
      <c r="B7" s="179" t="s">
        <v>393</v>
      </c>
      <c r="C7" s="222">
        <f>AVERAGE(F11)</f>
        <v>0.5</v>
      </c>
      <c r="D7" s="217" t="str">
        <f>Решения!B55</f>
        <v>Управление сводными планами</v>
      </c>
      <c r="E7" s="249" t="s">
        <v>394</v>
      </c>
      <c r="F7" s="253">
        <f>Решения!C55</f>
        <v>0.5</v>
      </c>
      <c r="G7" s="593"/>
      <c r="H7" s="594"/>
      <c r="I7" s="609"/>
      <c r="J7" s="583"/>
    </row>
    <row r="8" spans="2:10" ht="28.8" x14ac:dyDescent="0.3">
      <c r="B8" s="180"/>
      <c r="C8" s="171"/>
      <c r="D8" s="217" t="str">
        <f>Решения!B10</f>
        <v>Балансировка и минимизация кассовых разрывов</v>
      </c>
      <c r="E8" s="249" t="s">
        <v>269</v>
      </c>
      <c r="F8" s="253">
        <f>Решения!C10</f>
        <v>0.5</v>
      </c>
      <c r="G8" s="593"/>
      <c r="H8" s="594"/>
      <c r="I8" s="609"/>
      <c r="J8" s="583"/>
    </row>
    <row r="9" spans="2:10" ht="60" customHeight="1" x14ac:dyDescent="0.3">
      <c r="B9" s="245"/>
      <c r="C9" s="223"/>
      <c r="D9" s="224" t="str">
        <f>Решения!B22</f>
        <v>Интеграция с системой управления проектами</v>
      </c>
      <c r="E9" s="249" t="s">
        <v>269</v>
      </c>
      <c r="F9" s="254">
        <f>Решения!C22</f>
        <v>0</v>
      </c>
      <c r="G9" s="593"/>
      <c r="H9" s="594"/>
      <c r="I9" s="610"/>
      <c r="J9" s="583"/>
    </row>
    <row r="10" spans="2:10" ht="60" customHeight="1" x14ac:dyDescent="0.3">
      <c r="B10" s="318"/>
      <c r="C10" s="319"/>
      <c r="D10" s="320" t="str">
        <f>Решения!B23</f>
        <v>Интеграция с трекинг-системами</v>
      </c>
      <c r="E10" s="249" t="s">
        <v>269</v>
      </c>
      <c r="F10" s="321">
        <f>Решения!C23</f>
        <v>0.5</v>
      </c>
      <c r="G10" s="593"/>
      <c r="H10" s="594"/>
      <c r="I10" s="141"/>
      <c r="J10" s="119"/>
    </row>
    <row r="11" spans="2:10" ht="15" thickBot="1" x14ac:dyDescent="0.35">
      <c r="B11" s="220"/>
      <c r="C11" s="192"/>
      <c r="D11" s="228" t="str">
        <f>Решения!B52</f>
        <v>Управление договорами</v>
      </c>
      <c r="E11" s="255" t="s">
        <v>247</v>
      </c>
      <c r="F11" s="256">
        <f>Решения!C52</f>
        <v>0.5</v>
      </c>
      <c r="G11" s="593"/>
      <c r="H11" s="594"/>
      <c r="I11" s="141"/>
      <c r="J11" s="15"/>
    </row>
    <row r="12" spans="2:10" x14ac:dyDescent="0.3">
      <c r="B12" s="189" t="s">
        <v>9</v>
      </c>
      <c r="C12" s="143"/>
      <c r="D12" s="194" t="s">
        <v>1</v>
      </c>
      <c r="E12" s="186"/>
      <c r="F12" s="186"/>
      <c r="G12" s="595"/>
      <c r="H12" s="594"/>
      <c r="I12" s="160" t="s">
        <v>5</v>
      </c>
      <c r="J12" s="161" t="s">
        <v>14</v>
      </c>
    </row>
    <row r="13" spans="2:10" ht="60" customHeight="1" x14ac:dyDescent="0.3">
      <c r="B13" s="18" t="s">
        <v>37</v>
      </c>
      <c r="C13" s="108"/>
      <c r="D13" s="19" t="s">
        <v>12</v>
      </c>
      <c r="E13" s="92"/>
      <c r="F13" s="92"/>
      <c r="G13" s="596"/>
      <c r="H13" s="597"/>
      <c r="I13" s="5" t="s">
        <v>36</v>
      </c>
      <c r="J13" s="163"/>
    </row>
    <row r="14" spans="2:10" x14ac:dyDescent="0.3">
      <c r="B14" s="573" t="s">
        <v>2</v>
      </c>
      <c r="C14" s="574"/>
      <c r="D14" s="574"/>
      <c r="E14" s="574"/>
      <c r="F14" s="574"/>
      <c r="G14" s="575"/>
      <c r="H14" s="576" t="s">
        <v>3</v>
      </c>
      <c r="I14" s="574"/>
      <c r="J14" s="577"/>
    </row>
    <row r="15" spans="2:10" ht="10.5" customHeight="1" thickBot="1" x14ac:dyDescent="0.35">
      <c r="B15" s="535"/>
      <c r="C15" s="536"/>
      <c r="D15" s="536"/>
      <c r="E15" s="536"/>
      <c r="F15" s="536"/>
      <c r="G15" s="537"/>
      <c r="H15" s="538"/>
      <c r="I15" s="536"/>
      <c r="J15" s="539"/>
    </row>
    <row r="17" spans="2:8" x14ac:dyDescent="0.3">
      <c r="B17" s="1" t="s">
        <v>227</v>
      </c>
      <c r="C17" s="1"/>
      <c r="D17" s="1" t="s">
        <v>223</v>
      </c>
      <c r="E17" s="136">
        <v>0</v>
      </c>
    </row>
    <row r="18" spans="2:8" x14ac:dyDescent="0.3">
      <c r="B18" s="114" t="s">
        <v>228</v>
      </c>
      <c r="C18" s="114"/>
      <c r="D18" s="114" t="s">
        <v>224</v>
      </c>
      <c r="E18" s="137">
        <v>0.1</v>
      </c>
      <c r="F18" s="86"/>
      <c r="H18" s="86"/>
    </row>
    <row r="19" spans="2:8" x14ac:dyDescent="0.3">
      <c r="B19" s="116" t="s">
        <v>226</v>
      </c>
      <c r="C19" s="116"/>
      <c r="D19" s="115" t="s">
        <v>230</v>
      </c>
      <c r="E19" s="138">
        <v>0.5</v>
      </c>
      <c r="F19" s="88"/>
      <c r="H19" s="89"/>
    </row>
    <row r="20" spans="2:8" x14ac:dyDescent="0.3">
      <c r="B20" s="1"/>
      <c r="C20" s="1"/>
      <c r="D20" s="116" t="s">
        <v>229</v>
      </c>
      <c r="E20" s="139">
        <v>0.8</v>
      </c>
      <c r="H20" s="88"/>
    </row>
    <row r="21" spans="2:8" x14ac:dyDescent="0.3">
      <c r="B21" s="1"/>
      <c r="C21" s="1"/>
      <c r="D21" s="117" t="s">
        <v>225</v>
      </c>
      <c r="E21" s="140">
        <v>1</v>
      </c>
      <c r="H21" s="87"/>
    </row>
  </sheetData>
  <mergeCells count="10">
    <mergeCell ref="B15:G15"/>
    <mergeCell ref="H15:J15"/>
    <mergeCell ref="B2:G2"/>
    <mergeCell ref="H2:J2"/>
    <mergeCell ref="G3:H3"/>
    <mergeCell ref="B14:G14"/>
    <mergeCell ref="H14:J14"/>
    <mergeCell ref="G4:H13"/>
    <mergeCell ref="I4:I9"/>
    <mergeCell ref="J4:J9"/>
  </mergeCells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7"/>
  <sheetViews>
    <sheetView zoomScaleNormal="100" workbookViewId="0">
      <selection activeCell="L19" sqref="L19"/>
    </sheetView>
  </sheetViews>
  <sheetFormatPr defaultRowHeight="14.4" x14ac:dyDescent="0.3"/>
  <cols>
    <col min="2" max="2" width="40.5546875" customWidth="1"/>
    <col min="3" max="3" width="6.5546875" customWidth="1"/>
    <col min="4" max="4" width="37.44140625" customWidth="1"/>
    <col min="5" max="5" width="5.5546875" customWidth="1"/>
    <col min="6" max="6" width="5.33203125" customWidth="1"/>
    <col min="7" max="8" width="15.6640625" customWidth="1"/>
    <col min="9" max="9" width="27.44140625" customWidth="1"/>
    <col min="10" max="10" width="16.66406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ht="28.8" x14ac:dyDescent="0.3">
      <c r="B3" s="232" t="s">
        <v>10</v>
      </c>
      <c r="C3" s="291">
        <f>ROUND(AVERAGE(C4:C7)*100,0)</f>
        <v>38</v>
      </c>
      <c r="D3" s="235" t="s">
        <v>0</v>
      </c>
      <c r="E3" s="251"/>
      <c r="F3" s="258">
        <f>AVERAGE(F4:F7)</f>
        <v>0.375</v>
      </c>
      <c r="G3" s="571" t="s">
        <v>8</v>
      </c>
      <c r="H3" s="572"/>
      <c r="I3" s="156" t="s">
        <v>4</v>
      </c>
      <c r="J3" s="157" t="s">
        <v>13</v>
      </c>
    </row>
    <row r="4" spans="2:10" ht="28.8" x14ac:dyDescent="0.3">
      <c r="B4" s="218" t="s">
        <v>395</v>
      </c>
      <c r="C4" s="254">
        <f>AVERAGE(F4, F5)</f>
        <v>0.5</v>
      </c>
      <c r="D4" s="198" t="str">
        <f>Решения!B11</f>
        <v>Балансировка объемов и минимизация ресурсных конфликтов</v>
      </c>
      <c r="E4" s="166" t="s">
        <v>248</v>
      </c>
      <c r="F4" s="253">
        <f>Решения!C11</f>
        <v>0.5</v>
      </c>
      <c r="G4" s="593" t="s">
        <v>35</v>
      </c>
      <c r="H4" s="594"/>
      <c r="I4" s="598" t="s">
        <v>373</v>
      </c>
      <c r="J4" s="583" t="s">
        <v>251</v>
      </c>
    </row>
    <row r="5" spans="2:10" ht="57.6" x14ac:dyDescent="0.3">
      <c r="B5" s="218" t="s">
        <v>396</v>
      </c>
      <c r="C5" s="254">
        <f>AVERAGE(F5)</f>
        <v>0.5</v>
      </c>
      <c r="D5" s="198" t="str">
        <f>Решения!B55</f>
        <v>Управление сводными планами</v>
      </c>
      <c r="E5" s="166" t="s">
        <v>331</v>
      </c>
      <c r="F5" s="253">
        <f>Решения!C55</f>
        <v>0.5</v>
      </c>
      <c r="G5" s="593"/>
      <c r="H5" s="594"/>
      <c r="I5" s="598"/>
      <c r="J5" s="583"/>
    </row>
    <row r="6" spans="2:10" ht="43.2" x14ac:dyDescent="0.3">
      <c r="B6" s="218" t="s">
        <v>397</v>
      </c>
      <c r="C6" s="254">
        <f>AVERAGE(F6)</f>
        <v>0</v>
      </c>
      <c r="D6" s="215" t="str">
        <f>Решения!B22</f>
        <v>Интеграция с системой управления проектами</v>
      </c>
      <c r="E6" s="166" t="s">
        <v>269</v>
      </c>
      <c r="F6" s="254">
        <f>Решения!C22</f>
        <v>0</v>
      </c>
      <c r="G6" s="593"/>
      <c r="H6" s="594"/>
      <c r="I6" s="598"/>
      <c r="J6" s="583"/>
    </row>
    <row r="7" spans="2:10" ht="43.8" thickBot="1" x14ac:dyDescent="0.35">
      <c r="B7" s="218" t="s">
        <v>506</v>
      </c>
      <c r="C7" s="256">
        <f>AVERAGE(F7)</f>
        <v>0.5</v>
      </c>
      <c r="D7" s="215" t="str">
        <f>Решения!B23</f>
        <v>Интеграция с трекинг-системами</v>
      </c>
      <c r="E7" s="178" t="s">
        <v>247</v>
      </c>
      <c r="F7" s="256">
        <f>Решения!C23</f>
        <v>0.5</v>
      </c>
      <c r="G7" s="593"/>
      <c r="H7" s="594"/>
      <c r="I7" s="598"/>
      <c r="J7" s="583"/>
    </row>
    <row r="8" spans="2:10" ht="28.8" x14ac:dyDescent="0.3">
      <c r="B8" s="189" t="s">
        <v>9</v>
      </c>
      <c r="C8" s="143"/>
      <c r="D8" s="194" t="s">
        <v>1</v>
      </c>
      <c r="E8" s="186"/>
      <c r="F8" s="186"/>
      <c r="G8" s="595"/>
      <c r="H8" s="594"/>
      <c r="I8" s="160" t="s">
        <v>5</v>
      </c>
      <c r="J8" s="161" t="s">
        <v>14</v>
      </c>
    </row>
    <row r="9" spans="2:10" ht="60" customHeight="1" x14ac:dyDescent="0.3">
      <c r="B9" s="18" t="s">
        <v>37</v>
      </c>
      <c r="C9" s="108"/>
      <c r="D9" s="19"/>
      <c r="E9" s="92"/>
      <c r="F9" s="92"/>
      <c r="G9" s="596"/>
      <c r="H9" s="597"/>
      <c r="I9" s="5" t="s">
        <v>36</v>
      </c>
      <c r="J9" s="163"/>
    </row>
    <row r="10" spans="2:10" x14ac:dyDescent="0.3">
      <c r="B10" s="573" t="s">
        <v>2</v>
      </c>
      <c r="C10" s="574"/>
      <c r="D10" s="574"/>
      <c r="E10" s="574"/>
      <c r="F10" s="574"/>
      <c r="G10" s="575"/>
      <c r="H10" s="576" t="s">
        <v>3</v>
      </c>
      <c r="I10" s="574"/>
      <c r="J10" s="577"/>
    </row>
    <row r="11" spans="2:10" ht="10.5" customHeight="1" thickBot="1" x14ac:dyDescent="0.35">
      <c r="B11" s="535"/>
      <c r="C11" s="536"/>
      <c r="D11" s="536"/>
      <c r="E11" s="536"/>
      <c r="F11" s="536"/>
      <c r="G11" s="537"/>
      <c r="H11" s="538"/>
      <c r="I11" s="536"/>
      <c r="J11" s="539"/>
    </row>
    <row r="13" spans="2:10" x14ac:dyDescent="0.3">
      <c r="B13" s="1" t="s">
        <v>227</v>
      </c>
      <c r="C13" s="1"/>
      <c r="D13" s="1" t="s">
        <v>223</v>
      </c>
      <c r="E13" s="136">
        <v>0</v>
      </c>
      <c r="I13" s="95"/>
    </row>
    <row r="14" spans="2:10" x14ac:dyDescent="0.3">
      <c r="B14" s="114" t="s">
        <v>228</v>
      </c>
      <c r="C14" s="114"/>
      <c r="D14" s="114" t="s">
        <v>224</v>
      </c>
      <c r="E14" s="137">
        <v>0.1</v>
      </c>
      <c r="F14" s="86"/>
      <c r="G14" s="86"/>
      <c r="H14" s="86"/>
      <c r="I14" s="97"/>
    </row>
    <row r="15" spans="2:10" x14ac:dyDescent="0.3">
      <c r="B15" s="116" t="s">
        <v>226</v>
      </c>
      <c r="C15" s="116"/>
      <c r="D15" s="115" t="s">
        <v>230</v>
      </c>
      <c r="E15" s="138">
        <v>0.5</v>
      </c>
      <c r="F15" s="88"/>
      <c r="G15" s="89"/>
      <c r="H15" s="89"/>
      <c r="I15" s="98"/>
    </row>
    <row r="16" spans="2:10" x14ac:dyDescent="0.3">
      <c r="B16" s="1"/>
      <c r="C16" s="1"/>
      <c r="D16" s="116" t="s">
        <v>229</v>
      </c>
      <c r="E16" s="139">
        <v>0.8</v>
      </c>
      <c r="G16" s="88"/>
      <c r="H16" s="88"/>
      <c r="I16" s="99"/>
    </row>
    <row r="17" spans="2:9" x14ac:dyDescent="0.3">
      <c r="B17" s="1"/>
      <c r="C17" s="1"/>
      <c r="D17" s="117" t="s">
        <v>225</v>
      </c>
      <c r="E17" s="140">
        <v>1</v>
      </c>
      <c r="G17" s="87"/>
      <c r="H17" s="87"/>
      <c r="I17" s="96"/>
    </row>
  </sheetData>
  <mergeCells count="10">
    <mergeCell ref="B11:G11"/>
    <mergeCell ref="H11:J11"/>
    <mergeCell ref="B2:G2"/>
    <mergeCell ref="H2:J2"/>
    <mergeCell ref="G3:H3"/>
    <mergeCell ref="B10:G10"/>
    <mergeCell ref="H10:J10"/>
    <mergeCell ref="G4:H9"/>
    <mergeCell ref="I4:I7"/>
    <mergeCell ref="J4:J7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6"/>
  <sheetViews>
    <sheetView zoomScale="130" zoomScaleNormal="130" workbookViewId="0">
      <selection activeCell="L19" sqref="L19"/>
    </sheetView>
  </sheetViews>
  <sheetFormatPr defaultRowHeight="14.4" x14ac:dyDescent="0.3"/>
  <cols>
    <col min="2" max="2" width="30.6640625" customWidth="1"/>
    <col min="3" max="3" width="5.33203125" customWidth="1"/>
    <col min="4" max="4" width="27" customWidth="1"/>
    <col min="5" max="5" width="6.6640625" customWidth="1"/>
    <col min="6" max="6" width="5.109375" customWidth="1"/>
    <col min="7" max="7" width="13.109375" customWidth="1"/>
    <col min="8" max="8" width="12.109375" customWidth="1"/>
    <col min="9" max="9" width="30.6640625" customWidth="1"/>
    <col min="10" max="10" width="13.8867187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ht="34.5" customHeight="1" x14ac:dyDescent="0.3">
      <c r="B3" s="232" t="s">
        <v>10</v>
      </c>
      <c r="C3" s="290">
        <f>ROUND(AVERAGE(C4:C6)*100,0)</f>
        <v>50</v>
      </c>
      <c r="D3" s="235" t="s">
        <v>0</v>
      </c>
      <c r="E3" s="251"/>
      <c r="F3" s="168">
        <f>AVERAGE(F4:F6)</f>
        <v>0.5</v>
      </c>
      <c r="G3" s="571" t="s">
        <v>8</v>
      </c>
      <c r="H3" s="572"/>
      <c r="I3" s="156" t="s">
        <v>4</v>
      </c>
      <c r="J3" s="157" t="s">
        <v>13</v>
      </c>
    </row>
    <row r="4" spans="2:10" ht="57.6" x14ac:dyDescent="0.3">
      <c r="B4" s="218" t="s">
        <v>398</v>
      </c>
      <c r="C4" s="164">
        <f>AVERAGE(F4)</f>
        <v>0.5</v>
      </c>
      <c r="D4" s="198" t="str">
        <f>Решения!B55</f>
        <v>Управление сводными планами</v>
      </c>
      <c r="E4" s="166" t="s">
        <v>401</v>
      </c>
      <c r="F4" s="260">
        <f>Решения!C55</f>
        <v>0.5</v>
      </c>
      <c r="G4" s="554" t="s">
        <v>39</v>
      </c>
      <c r="H4" s="578"/>
      <c r="I4" s="598" t="s">
        <v>335</v>
      </c>
      <c r="J4" s="583" t="s">
        <v>45</v>
      </c>
    </row>
    <row r="5" spans="2:10" ht="43.2" x14ac:dyDescent="0.3">
      <c r="B5" s="218" t="s">
        <v>399</v>
      </c>
      <c r="C5" s="164">
        <f t="shared" ref="C5" si="0">AVERAGE(F5)</f>
        <v>0.5</v>
      </c>
      <c r="D5" s="180" t="str">
        <f>Решения!B13</f>
        <v>Бюджеты для финансирования возможностей</v>
      </c>
      <c r="E5" s="166" t="s">
        <v>267</v>
      </c>
      <c r="F5" s="261">
        <f>Решения!C13</f>
        <v>0.5</v>
      </c>
      <c r="G5" s="554"/>
      <c r="H5" s="578"/>
      <c r="I5" s="598"/>
      <c r="J5" s="583"/>
    </row>
    <row r="6" spans="2:10" ht="29.4" thickBot="1" x14ac:dyDescent="0.35">
      <c r="B6" s="219" t="s">
        <v>400</v>
      </c>
      <c r="C6" s="165">
        <f>AVERAGE(F4)</f>
        <v>0.5</v>
      </c>
      <c r="D6" s="262"/>
      <c r="E6" s="263"/>
      <c r="F6" s="264"/>
      <c r="G6" s="554"/>
      <c r="H6" s="578"/>
      <c r="I6" s="599"/>
      <c r="J6" s="600"/>
    </row>
    <row r="7" spans="2:10" ht="43.2" x14ac:dyDescent="0.3">
      <c r="B7" s="259" t="s">
        <v>9</v>
      </c>
      <c r="C7" s="259"/>
      <c r="D7" s="259" t="s">
        <v>1</v>
      </c>
      <c r="E7" s="259"/>
      <c r="F7" s="259"/>
      <c r="G7" s="579"/>
      <c r="H7" s="578"/>
      <c r="I7" s="182" t="s">
        <v>5</v>
      </c>
      <c r="J7" s="161" t="s">
        <v>14</v>
      </c>
    </row>
    <row r="8" spans="2:10" ht="57.6" x14ac:dyDescent="0.3">
      <c r="B8" s="234"/>
      <c r="C8" s="153"/>
      <c r="D8" s="5" t="s">
        <v>12</v>
      </c>
      <c r="E8" s="100"/>
      <c r="F8" s="100"/>
      <c r="G8" s="580"/>
      <c r="H8" s="581"/>
      <c r="I8" s="5" t="s">
        <v>43</v>
      </c>
      <c r="J8" s="163"/>
    </row>
    <row r="9" spans="2:10" x14ac:dyDescent="0.3">
      <c r="B9" s="573" t="s">
        <v>2</v>
      </c>
      <c r="C9" s="574"/>
      <c r="D9" s="574"/>
      <c r="E9" s="574"/>
      <c r="F9" s="574"/>
      <c r="G9" s="575"/>
      <c r="H9" s="576" t="s">
        <v>3</v>
      </c>
      <c r="I9" s="574"/>
      <c r="J9" s="577"/>
    </row>
    <row r="10" spans="2:10" ht="14.25" customHeight="1" thickBot="1" x14ac:dyDescent="0.35">
      <c r="B10" s="535"/>
      <c r="C10" s="536"/>
      <c r="D10" s="536"/>
      <c r="E10" s="536"/>
      <c r="F10" s="536"/>
      <c r="G10" s="537"/>
      <c r="H10" s="538"/>
      <c r="I10" s="536"/>
      <c r="J10" s="539"/>
    </row>
    <row r="12" spans="2:10" x14ac:dyDescent="0.3">
      <c r="B12" s="1" t="s">
        <v>227</v>
      </c>
      <c r="C12" s="1"/>
      <c r="D12" s="1" t="s">
        <v>223</v>
      </c>
      <c r="E12" s="136">
        <v>0</v>
      </c>
      <c r="I12" s="95"/>
    </row>
    <row r="13" spans="2:10" x14ac:dyDescent="0.3">
      <c r="B13" s="114" t="s">
        <v>228</v>
      </c>
      <c r="C13" s="114"/>
      <c r="D13" s="114" t="s">
        <v>224</v>
      </c>
      <c r="E13" s="137">
        <v>0.1</v>
      </c>
      <c r="F13" s="86"/>
      <c r="G13" s="86"/>
      <c r="H13" s="86"/>
      <c r="I13" s="97"/>
    </row>
    <row r="14" spans="2:10" x14ac:dyDescent="0.3">
      <c r="B14" s="116" t="s">
        <v>226</v>
      </c>
      <c r="C14" s="116"/>
      <c r="D14" s="115" t="s">
        <v>230</v>
      </c>
      <c r="E14" s="138">
        <v>0.5</v>
      </c>
      <c r="F14" s="88"/>
      <c r="G14" s="89"/>
      <c r="H14" s="89"/>
      <c r="I14" s="98"/>
    </row>
    <row r="15" spans="2:10" x14ac:dyDescent="0.3">
      <c r="B15" s="1"/>
      <c r="C15" s="1"/>
      <c r="D15" s="116" t="s">
        <v>229</v>
      </c>
      <c r="E15" s="139">
        <v>0.8</v>
      </c>
      <c r="G15" s="88"/>
      <c r="H15" s="88"/>
      <c r="I15" s="99"/>
    </row>
    <row r="16" spans="2:10" x14ac:dyDescent="0.3">
      <c r="B16" s="1"/>
      <c r="C16" s="1"/>
      <c r="D16" s="117" t="s">
        <v>225</v>
      </c>
      <c r="E16" s="140">
        <v>1</v>
      </c>
      <c r="G16" s="87"/>
      <c r="H16" s="87"/>
      <c r="I16" s="96"/>
    </row>
  </sheetData>
  <mergeCells count="10">
    <mergeCell ref="B10:G10"/>
    <mergeCell ref="H10:J10"/>
    <mergeCell ref="B2:G2"/>
    <mergeCell ref="H2:J2"/>
    <mergeCell ref="G3:H3"/>
    <mergeCell ref="B9:G9"/>
    <mergeCell ref="H9:J9"/>
    <mergeCell ref="G4:H8"/>
    <mergeCell ref="I4:I6"/>
    <mergeCell ref="J4:J6"/>
  </mergeCells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7"/>
  <sheetViews>
    <sheetView zoomScale="130" zoomScaleNormal="130" workbookViewId="0">
      <selection activeCell="L19" sqref="L19"/>
    </sheetView>
  </sheetViews>
  <sheetFormatPr defaultRowHeight="14.4" x14ac:dyDescent="0.3"/>
  <cols>
    <col min="2" max="2" width="30.6640625" customWidth="1"/>
    <col min="3" max="3" width="5.6640625" customWidth="1"/>
    <col min="4" max="4" width="27" customWidth="1"/>
    <col min="5" max="5" width="5.109375" customWidth="1"/>
    <col min="6" max="6" width="5.88671875" customWidth="1"/>
    <col min="7" max="8" width="15.6640625" customWidth="1"/>
    <col min="9" max="9" width="25.109375" customWidth="1"/>
    <col min="10" max="10" width="16.441406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ht="28.8" x14ac:dyDescent="0.3">
      <c r="B3" s="232" t="s">
        <v>10</v>
      </c>
      <c r="C3" s="292">
        <f>ROUND(AVERAGE(C4:C7)*100,0)</f>
        <v>55</v>
      </c>
      <c r="D3" s="235" t="s">
        <v>0</v>
      </c>
      <c r="E3" s="251"/>
      <c r="F3" s="265">
        <f>AVERAGE(F4:F7)</f>
        <v>0.57499999999999996</v>
      </c>
      <c r="G3" s="571" t="s">
        <v>8</v>
      </c>
      <c r="H3" s="572"/>
      <c r="I3" s="156" t="s">
        <v>4</v>
      </c>
      <c r="J3" s="157" t="s">
        <v>13</v>
      </c>
    </row>
    <row r="4" spans="2:10" ht="78.75" customHeight="1" x14ac:dyDescent="0.3">
      <c r="B4" s="218" t="s">
        <v>391</v>
      </c>
      <c r="C4" s="222">
        <f>AVERAGE(F4:F6)</f>
        <v>0.6</v>
      </c>
      <c r="D4" s="179" t="str">
        <f>Решения!B51</f>
        <v>Упр.учет фирмы в разрезе подразделений, направлений, проектов</v>
      </c>
      <c r="E4" s="130" t="s">
        <v>248</v>
      </c>
      <c r="F4" s="267">
        <f>Решения!C51</f>
        <v>0.8</v>
      </c>
      <c r="G4" s="593" t="s">
        <v>35</v>
      </c>
      <c r="H4" s="594"/>
      <c r="I4" s="598" t="s">
        <v>374</v>
      </c>
      <c r="J4" s="583" t="s">
        <v>34</v>
      </c>
    </row>
    <row r="5" spans="2:10" ht="28.8" x14ac:dyDescent="0.3">
      <c r="B5" s="218" t="s">
        <v>402</v>
      </c>
      <c r="C5" s="222">
        <f>AVERAGE(F7)</f>
        <v>0.5</v>
      </c>
      <c r="D5" s="217" t="str">
        <f>Решения!B5</f>
        <v>Актуализация и балансировка фин.планов</v>
      </c>
      <c r="E5" s="130" t="s">
        <v>248</v>
      </c>
      <c r="F5" s="260">
        <f>Решения!C5</f>
        <v>0.5</v>
      </c>
      <c r="G5" s="593"/>
      <c r="H5" s="594"/>
      <c r="I5" s="598"/>
      <c r="J5" s="583"/>
    </row>
    <row r="6" spans="2:10" ht="43.2" x14ac:dyDescent="0.3">
      <c r="B6" s="322"/>
      <c r="C6" s="323"/>
      <c r="D6" s="324" t="str">
        <f>Решения!B10</f>
        <v>Балансировка и минимизация кассовых разрывов</v>
      </c>
      <c r="E6" s="130" t="s">
        <v>248</v>
      </c>
      <c r="F6" s="325">
        <f>Решения!C10</f>
        <v>0.5</v>
      </c>
      <c r="G6" s="593"/>
      <c r="H6" s="594"/>
      <c r="I6" s="598"/>
      <c r="J6" s="583"/>
    </row>
    <row r="7" spans="2:10" ht="29.4" thickBot="1" x14ac:dyDescent="0.35">
      <c r="B7" s="219"/>
      <c r="C7" s="192"/>
      <c r="D7" s="216" t="str">
        <f>Решения!B33</f>
        <v>Подробные планы загрузки сотрудников</v>
      </c>
      <c r="E7" s="263" t="s">
        <v>267</v>
      </c>
      <c r="F7" s="268">
        <f>Решения!C33</f>
        <v>0.5</v>
      </c>
      <c r="G7" s="593"/>
      <c r="H7" s="594"/>
      <c r="I7" s="599"/>
      <c r="J7" s="600"/>
    </row>
    <row r="8" spans="2:10" ht="28.8" x14ac:dyDescent="0.3">
      <c r="B8" s="189" t="s">
        <v>9</v>
      </c>
      <c r="C8" s="143"/>
      <c r="D8" s="194"/>
      <c r="E8" s="186"/>
      <c r="F8" s="186"/>
      <c r="G8" s="595"/>
      <c r="H8" s="594"/>
      <c r="I8" s="160" t="s">
        <v>5</v>
      </c>
      <c r="J8" s="161" t="s">
        <v>14</v>
      </c>
    </row>
    <row r="9" spans="2:10" ht="60" customHeight="1" x14ac:dyDescent="0.3">
      <c r="B9" s="18" t="s">
        <v>38</v>
      </c>
      <c r="C9" s="108"/>
      <c r="D9" s="19" t="s">
        <v>12</v>
      </c>
      <c r="E9" s="92"/>
      <c r="F9" s="92"/>
      <c r="G9" s="596"/>
      <c r="H9" s="597"/>
      <c r="I9" s="5" t="s">
        <v>41</v>
      </c>
      <c r="J9" s="163"/>
    </row>
    <row r="10" spans="2:10" x14ac:dyDescent="0.3">
      <c r="B10" s="573" t="s">
        <v>2</v>
      </c>
      <c r="C10" s="574"/>
      <c r="D10" s="574"/>
      <c r="E10" s="574"/>
      <c r="F10" s="574"/>
      <c r="G10" s="575"/>
      <c r="H10" s="576" t="s">
        <v>3</v>
      </c>
      <c r="I10" s="574"/>
      <c r="J10" s="577"/>
    </row>
    <row r="11" spans="2:10" ht="13.5" customHeight="1" thickBot="1" x14ac:dyDescent="0.35">
      <c r="B11" s="535"/>
      <c r="C11" s="536"/>
      <c r="D11" s="536"/>
      <c r="E11" s="536"/>
      <c r="F11" s="536"/>
      <c r="G11" s="537"/>
      <c r="H11" s="538"/>
      <c r="I11" s="536"/>
      <c r="J11" s="539"/>
    </row>
    <row r="13" spans="2:10" x14ac:dyDescent="0.3">
      <c r="B13" s="1" t="s">
        <v>227</v>
      </c>
      <c r="C13" s="1"/>
      <c r="D13" s="1" t="s">
        <v>223</v>
      </c>
      <c r="E13" s="136">
        <v>0</v>
      </c>
      <c r="I13" s="95"/>
    </row>
    <row r="14" spans="2:10" x14ac:dyDescent="0.3">
      <c r="B14" s="114" t="s">
        <v>228</v>
      </c>
      <c r="C14" s="114"/>
      <c r="D14" s="114" t="s">
        <v>224</v>
      </c>
      <c r="E14" s="137">
        <v>0.1</v>
      </c>
      <c r="F14" s="86"/>
      <c r="G14" s="86"/>
      <c r="H14" s="86"/>
      <c r="I14" s="97"/>
    </row>
    <row r="15" spans="2:10" x14ac:dyDescent="0.3">
      <c r="B15" s="116" t="s">
        <v>226</v>
      </c>
      <c r="C15" s="116"/>
      <c r="D15" s="115" t="s">
        <v>230</v>
      </c>
      <c r="E15" s="138">
        <v>0.5</v>
      </c>
      <c r="F15" s="88"/>
      <c r="G15" s="89"/>
      <c r="H15" s="89"/>
      <c r="I15" s="98"/>
    </row>
    <row r="16" spans="2:10" x14ac:dyDescent="0.3">
      <c r="B16" s="1"/>
      <c r="C16" s="1"/>
      <c r="D16" s="116" t="s">
        <v>229</v>
      </c>
      <c r="E16" s="139">
        <v>0.8</v>
      </c>
      <c r="G16" s="88"/>
      <c r="H16" s="88"/>
      <c r="I16" s="99"/>
    </row>
    <row r="17" spans="2:9" x14ac:dyDescent="0.3">
      <c r="B17" s="1"/>
      <c r="C17" s="1"/>
      <c r="D17" s="117" t="s">
        <v>225</v>
      </c>
      <c r="E17" s="140">
        <v>1</v>
      </c>
      <c r="G17" s="87"/>
      <c r="H17" s="87"/>
      <c r="I17" s="96"/>
    </row>
  </sheetData>
  <mergeCells count="10">
    <mergeCell ref="B11:G11"/>
    <mergeCell ref="H11:J11"/>
    <mergeCell ref="B2:G2"/>
    <mergeCell ref="H2:J2"/>
    <mergeCell ref="G3:H3"/>
    <mergeCell ref="G4:H9"/>
    <mergeCell ref="B10:G10"/>
    <mergeCell ref="H10:J10"/>
    <mergeCell ref="I4:I7"/>
    <mergeCell ref="J4:J7"/>
  </mergeCells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1"/>
  <sheetViews>
    <sheetView zoomScale="115" zoomScaleNormal="115" workbookViewId="0">
      <selection activeCell="L19" sqref="L19"/>
    </sheetView>
  </sheetViews>
  <sheetFormatPr defaultRowHeight="14.4" x14ac:dyDescent="0.3"/>
  <cols>
    <col min="1" max="1" width="6" customWidth="1"/>
    <col min="2" max="2" width="52.109375" customWidth="1"/>
    <col min="3" max="3" width="5.44140625" customWidth="1"/>
    <col min="4" max="4" width="46" customWidth="1"/>
    <col min="5" max="5" width="6.109375" customWidth="1"/>
    <col min="6" max="6" width="6.33203125" customWidth="1"/>
    <col min="7" max="7" width="15.6640625" customWidth="1"/>
    <col min="8" max="8" width="13.33203125" customWidth="1"/>
    <col min="9" max="9" width="17" customWidth="1"/>
    <col min="10" max="10" width="21.5546875" customWidth="1"/>
  </cols>
  <sheetData>
    <row r="1" spans="2:10" ht="13.95" customHeight="1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ht="28.8" x14ac:dyDescent="0.3">
      <c r="B3" s="232" t="s">
        <v>10</v>
      </c>
      <c r="C3" s="290">
        <f>ROUND(AVERAGE(C4:C11)*100,0)</f>
        <v>33</v>
      </c>
      <c r="D3" s="235" t="s">
        <v>0</v>
      </c>
      <c r="E3" s="251"/>
      <c r="F3" s="168">
        <f>AVERAGE(F4:F11)</f>
        <v>0.25</v>
      </c>
      <c r="G3" s="571" t="s">
        <v>8</v>
      </c>
      <c r="H3" s="572"/>
      <c r="I3" s="156" t="s">
        <v>4</v>
      </c>
      <c r="J3" s="157" t="s">
        <v>13</v>
      </c>
    </row>
    <row r="4" spans="2:10" ht="43.2" x14ac:dyDescent="0.3">
      <c r="B4" s="239" t="s">
        <v>341</v>
      </c>
      <c r="C4" s="164">
        <f>AVERAGE(F4:F5, F8)</f>
        <v>0</v>
      </c>
      <c r="D4" s="215" t="str">
        <f>Решения!B21</f>
        <v>Интеграция с КИС</v>
      </c>
      <c r="E4" s="166" t="s">
        <v>248</v>
      </c>
      <c r="F4" s="261">
        <f>Решения!C21</f>
        <v>0</v>
      </c>
      <c r="G4" s="603" t="s">
        <v>31</v>
      </c>
      <c r="H4" s="604"/>
      <c r="I4" s="611" t="s">
        <v>40</v>
      </c>
      <c r="J4" s="583" t="s">
        <v>44</v>
      </c>
    </row>
    <row r="5" spans="2:10" x14ac:dyDescent="0.3">
      <c r="B5" s="239" t="s">
        <v>342</v>
      </c>
      <c r="C5" s="171"/>
      <c r="D5" s="215" t="str">
        <f>Решения!B22</f>
        <v>Интеграция с системой управления проектами</v>
      </c>
      <c r="E5" s="166" t="s">
        <v>248</v>
      </c>
      <c r="F5" s="261">
        <f>Решения!C22</f>
        <v>0</v>
      </c>
      <c r="G5" s="603"/>
      <c r="H5" s="604"/>
      <c r="I5" s="611"/>
      <c r="J5" s="583"/>
    </row>
    <row r="6" spans="2:10" ht="43.2" x14ac:dyDescent="0.3">
      <c r="B6" s="239" t="s">
        <v>343</v>
      </c>
      <c r="C6" s="164">
        <f>AVERAGE(F6)</f>
        <v>0.5</v>
      </c>
      <c r="D6" s="198" t="str">
        <f>Решения!B41</f>
        <v>Синхронизация мониторинга производственной деятельности с планами по проектам, объемам и по ресурсам</v>
      </c>
      <c r="E6" s="166" t="s">
        <v>407</v>
      </c>
      <c r="F6" s="260">
        <f>Решения!C41</f>
        <v>0.5</v>
      </c>
      <c r="G6" s="603"/>
      <c r="H6" s="604"/>
      <c r="I6" s="611"/>
      <c r="J6" s="583"/>
    </row>
    <row r="7" spans="2:10" ht="28.8" x14ac:dyDescent="0.3">
      <c r="B7" s="239" t="s">
        <v>404</v>
      </c>
      <c r="C7" s="164">
        <f>AVERAGE(F7)</f>
        <v>0.5</v>
      </c>
      <c r="D7" s="198" t="str">
        <f>Решения!B11</f>
        <v>Балансировка объемов и минимизация ресурсных конфликтов</v>
      </c>
      <c r="E7" s="166" t="s">
        <v>408</v>
      </c>
      <c r="F7" s="260">
        <f>Решения!C11</f>
        <v>0.5</v>
      </c>
      <c r="G7" s="603"/>
      <c r="H7" s="604"/>
      <c r="I7" s="611"/>
      <c r="J7" s="583"/>
    </row>
    <row r="8" spans="2:10" ht="28.8" x14ac:dyDescent="0.3">
      <c r="B8" s="239" t="s">
        <v>345</v>
      </c>
      <c r="C8" s="164">
        <f>AVERAGE(F11)</f>
        <v>0</v>
      </c>
      <c r="D8" s="215" t="str">
        <f>Решения!B49</f>
        <v>Трехуровневое ресурсное планирование с прогнозами</v>
      </c>
      <c r="E8" s="166" t="s">
        <v>248</v>
      </c>
      <c r="F8" s="261">
        <f>Решения!C49</f>
        <v>0</v>
      </c>
      <c r="G8" s="603"/>
      <c r="H8" s="604"/>
      <c r="I8" s="611"/>
      <c r="J8" s="583"/>
    </row>
    <row r="9" spans="2:10" ht="28.8" x14ac:dyDescent="0.3">
      <c r="B9" s="239" t="s">
        <v>405</v>
      </c>
      <c r="C9" s="164">
        <f>AVERAGE(F10)</f>
        <v>0.5</v>
      </c>
      <c r="D9" s="215" t="str">
        <f>Решения!B53</f>
        <v>Управление портфелями и программами</v>
      </c>
      <c r="E9" s="166" t="s">
        <v>247</v>
      </c>
      <c r="F9" s="261">
        <f>Решения!C53</f>
        <v>0.5</v>
      </c>
      <c r="G9" s="603"/>
      <c r="H9" s="604"/>
      <c r="I9" s="611"/>
      <c r="J9" s="583"/>
    </row>
    <row r="10" spans="2:10" ht="28.8" x14ac:dyDescent="0.3">
      <c r="B10" s="239" t="s">
        <v>406</v>
      </c>
      <c r="C10" s="164">
        <f>AVERAGE(F9)</f>
        <v>0.5</v>
      </c>
      <c r="D10" s="215" t="str">
        <f>Решения!B52</f>
        <v>Управление договорами</v>
      </c>
      <c r="E10" s="166" t="s">
        <v>269</v>
      </c>
      <c r="F10" s="261">
        <f>Решения!C52</f>
        <v>0.5</v>
      </c>
      <c r="G10" s="603"/>
      <c r="H10" s="604"/>
      <c r="I10" s="611"/>
      <c r="J10" s="583"/>
    </row>
    <row r="11" spans="2:10" ht="15" thickBot="1" x14ac:dyDescent="0.35">
      <c r="B11" s="241"/>
      <c r="C11" s="242"/>
      <c r="D11" s="244" t="str">
        <f>Решения!B45</f>
        <v>Темплан, включая планирование контрактации</v>
      </c>
      <c r="E11" s="178" t="s">
        <v>352</v>
      </c>
      <c r="F11" s="269">
        <f>Решения!C45</f>
        <v>0</v>
      </c>
      <c r="G11" s="603"/>
      <c r="H11" s="604"/>
      <c r="I11" s="612"/>
      <c r="J11" s="600"/>
    </row>
    <row r="12" spans="2:10" ht="28.8" x14ac:dyDescent="0.3">
      <c r="B12" s="129" t="s">
        <v>9</v>
      </c>
      <c r="C12" s="152"/>
      <c r="D12" s="158" t="s">
        <v>1</v>
      </c>
      <c r="E12" s="159"/>
      <c r="F12" s="159"/>
      <c r="G12" s="605"/>
      <c r="H12" s="604"/>
      <c r="I12" s="182" t="s">
        <v>5</v>
      </c>
      <c r="J12" s="161" t="s">
        <v>14</v>
      </c>
    </row>
    <row r="13" spans="2:10" ht="72" x14ac:dyDescent="0.3">
      <c r="B13" s="234"/>
      <c r="C13" s="153"/>
      <c r="D13" s="5" t="s">
        <v>12</v>
      </c>
      <c r="E13" s="100"/>
      <c r="F13" s="100"/>
      <c r="G13" s="606"/>
      <c r="H13" s="607"/>
      <c r="I13" s="11" t="s">
        <v>42</v>
      </c>
      <c r="J13" s="163"/>
    </row>
    <row r="14" spans="2:10" x14ac:dyDescent="0.3">
      <c r="B14" s="573" t="s">
        <v>2</v>
      </c>
      <c r="C14" s="574"/>
      <c r="D14" s="574"/>
      <c r="E14" s="574"/>
      <c r="F14" s="574"/>
      <c r="G14" s="575"/>
      <c r="H14" s="576" t="s">
        <v>3</v>
      </c>
      <c r="I14" s="574"/>
      <c r="J14" s="577"/>
    </row>
    <row r="15" spans="2:10" ht="18.75" customHeight="1" thickBot="1" x14ac:dyDescent="0.35">
      <c r="B15" s="535"/>
      <c r="C15" s="536"/>
      <c r="D15" s="536"/>
      <c r="E15" s="536"/>
      <c r="F15" s="536"/>
      <c r="G15" s="537"/>
      <c r="H15" s="538"/>
      <c r="I15" s="536"/>
      <c r="J15" s="539"/>
    </row>
    <row r="17" spans="2:9" x14ac:dyDescent="0.3">
      <c r="B17" s="1" t="s">
        <v>227</v>
      </c>
      <c r="C17" s="1"/>
      <c r="D17" s="1" t="s">
        <v>223</v>
      </c>
      <c r="E17" s="136">
        <v>0</v>
      </c>
      <c r="I17" s="95"/>
    </row>
    <row r="18" spans="2:9" x14ac:dyDescent="0.3">
      <c r="B18" s="114" t="s">
        <v>228</v>
      </c>
      <c r="C18" s="114"/>
      <c r="D18" s="114" t="s">
        <v>224</v>
      </c>
      <c r="E18" s="137">
        <v>0.1</v>
      </c>
      <c r="F18" s="86"/>
      <c r="G18" s="86"/>
      <c r="H18" s="86"/>
      <c r="I18" s="97"/>
    </row>
    <row r="19" spans="2:9" x14ac:dyDescent="0.3">
      <c r="B19" s="116" t="s">
        <v>226</v>
      </c>
      <c r="C19" s="116"/>
      <c r="D19" s="115" t="s">
        <v>230</v>
      </c>
      <c r="E19" s="138">
        <v>0.5</v>
      </c>
      <c r="F19" s="88"/>
      <c r="G19" s="89"/>
      <c r="H19" s="89"/>
      <c r="I19" s="98"/>
    </row>
    <row r="20" spans="2:9" x14ac:dyDescent="0.3">
      <c r="B20" s="1"/>
      <c r="C20" s="1"/>
      <c r="D20" s="116" t="s">
        <v>229</v>
      </c>
      <c r="E20" s="139">
        <v>0.8</v>
      </c>
      <c r="G20" s="88"/>
      <c r="H20" s="88"/>
      <c r="I20" s="99"/>
    </row>
    <row r="21" spans="2:9" x14ac:dyDescent="0.3">
      <c r="B21" s="1"/>
      <c r="C21" s="1"/>
      <c r="D21" s="117" t="s">
        <v>225</v>
      </c>
      <c r="E21" s="140">
        <v>1</v>
      </c>
      <c r="G21" s="87"/>
      <c r="H21" s="87"/>
      <c r="I21" s="96"/>
    </row>
  </sheetData>
  <mergeCells count="10">
    <mergeCell ref="B15:G15"/>
    <mergeCell ref="H15:J15"/>
    <mergeCell ref="B2:G2"/>
    <mergeCell ref="H2:J2"/>
    <mergeCell ref="G3:H3"/>
    <mergeCell ref="B14:G14"/>
    <mergeCell ref="H14:J14"/>
    <mergeCell ref="G4:H13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2"/>
  <sheetViews>
    <sheetView zoomScale="115" zoomScaleNormal="115" workbookViewId="0">
      <selection activeCell="L19" sqref="L19"/>
    </sheetView>
  </sheetViews>
  <sheetFormatPr defaultRowHeight="14.4" x14ac:dyDescent="0.3"/>
  <cols>
    <col min="1" max="1" width="6" customWidth="1"/>
    <col min="2" max="2" width="52.109375" customWidth="1"/>
    <col min="3" max="3" width="5.44140625" customWidth="1"/>
    <col min="4" max="4" width="46" customWidth="1"/>
    <col min="5" max="5" width="6.109375" customWidth="1"/>
    <col min="6" max="6" width="6.33203125" customWidth="1"/>
    <col min="7" max="7" width="15.6640625" customWidth="1"/>
    <col min="8" max="8" width="13.33203125" customWidth="1"/>
    <col min="9" max="9" width="17" customWidth="1"/>
    <col min="10" max="10" width="21.5546875" customWidth="1"/>
  </cols>
  <sheetData>
    <row r="1" spans="2:10" ht="13.95" customHeight="1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ht="28.8" x14ac:dyDescent="0.3">
      <c r="B3" s="167" t="s">
        <v>10</v>
      </c>
      <c r="C3" s="290">
        <f>ROUND(AVERAGE(C4:C12)*100,0)</f>
        <v>21</v>
      </c>
      <c r="D3" s="174" t="s">
        <v>0</v>
      </c>
      <c r="E3" s="251"/>
      <c r="F3" s="168">
        <f>AVERAGE(F4:F12)</f>
        <v>0.16666666666666666</v>
      </c>
      <c r="G3" s="571" t="s">
        <v>8</v>
      </c>
      <c r="H3" s="572"/>
      <c r="I3" s="156" t="s">
        <v>4</v>
      </c>
      <c r="J3" s="157" t="s">
        <v>13</v>
      </c>
    </row>
    <row r="4" spans="2:10" ht="43.2" x14ac:dyDescent="0.3">
      <c r="B4" s="270" t="s">
        <v>341</v>
      </c>
      <c r="C4" s="164">
        <f>AVERAGE(F4:F5, F8)</f>
        <v>0</v>
      </c>
      <c r="D4" s="177" t="str">
        <f>Решения!B21</f>
        <v>Интеграция с КИС</v>
      </c>
      <c r="E4" s="166" t="s">
        <v>248</v>
      </c>
      <c r="F4" s="261">
        <f>Решения!C21</f>
        <v>0</v>
      </c>
      <c r="G4" s="603" t="s">
        <v>31</v>
      </c>
      <c r="H4" s="604"/>
      <c r="I4" s="611" t="s">
        <v>40</v>
      </c>
      <c r="J4" s="583" t="s">
        <v>44</v>
      </c>
    </row>
    <row r="5" spans="2:10" x14ac:dyDescent="0.3">
      <c r="B5" s="270" t="s">
        <v>342</v>
      </c>
      <c r="C5" s="171"/>
      <c r="D5" s="177" t="str">
        <f>Решения!B22</f>
        <v>Интеграция с системой управления проектами</v>
      </c>
      <c r="E5" s="166" t="s">
        <v>248</v>
      </c>
      <c r="F5" s="261">
        <f>Решения!C22</f>
        <v>0</v>
      </c>
      <c r="G5" s="603"/>
      <c r="H5" s="604"/>
      <c r="I5" s="611"/>
      <c r="J5" s="583"/>
    </row>
    <row r="6" spans="2:10" ht="43.2" x14ac:dyDescent="0.3">
      <c r="B6" s="270" t="s">
        <v>343</v>
      </c>
      <c r="C6" s="164">
        <f>AVERAGE(F6)</f>
        <v>0.5</v>
      </c>
      <c r="D6" s="213" t="str">
        <f>Решения!B41</f>
        <v>Синхронизация мониторинга производственной деятельности с планами по проектам, объемам и по ресурсам</v>
      </c>
      <c r="E6" s="166" t="s">
        <v>407</v>
      </c>
      <c r="F6" s="260">
        <f>Решения!C41</f>
        <v>0.5</v>
      </c>
      <c r="G6" s="603"/>
      <c r="H6" s="604"/>
      <c r="I6" s="611"/>
      <c r="J6" s="583"/>
    </row>
    <row r="7" spans="2:10" ht="28.8" x14ac:dyDescent="0.3">
      <c r="B7" s="270" t="s">
        <v>404</v>
      </c>
      <c r="C7" s="164">
        <f>AVERAGE(F7)</f>
        <v>0.5</v>
      </c>
      <c r="D7" s="213" t="str">
        <f>Решения!B11</f>
        <v>Балансировка объемов и минимизация ресурсных конфликтов</v>
      </c>
      <c r="E7" s="166" t="s">
        <v>408</v>
      </c>
      <c r="F7" s="260">
        <f>Решения!C11</f>
        <v>0.5</v>
      </c>
      <c r="G7" s="603"/>
      <c r="H7" s="604"/>
      <c r="I7" s="611"/>
      <c r="J7" s="583"/>
    </row>
    <row r="8" spans="2:10" ht="28.8" x14ac:dyDescent="0.3">
      <c r="B8" s="270" t="s">
        <v>345</v>
      </c>
      <c r="C8" s="164">
        <f>AVERAGE(F11)</f>
        <v>0</v>
      </c>
      <c r="D8" s="177" t="str">
        <f>Решения!B49</f>
        <v>Трехуровневое ресурсное планирование с прогнозами</v>
      </c>
      <c r="E8" s="166" t="s">
        <v>248</v>
      </c>
      <c r="F8" s="261">
        <f>Решения!C49</f>
        <v>0</v>
      </c>
      <c r="G8" s="603"/>
      <c r="H8" s="604"/>
      <c r="I8" s="611"/>
      <c r="J8" s="583"/>
    </row>
    <row r="9" spans="2:10" ht="28.8" x14ac:dyDescent="0.3">
      <c r="B9" s="270" t="s">
        <v>405</v>
      </c>
      <c r="C9" s="164">
        <f>AVERAGE(F10)</f>
        <v>0.5</v>
      </c>
      <c r="D9" s="177" t="str">
        <f>Решения!B53</f>
        <v>Управление портфелями и программами</v>
      </c>
      <c r="E9" s="166" t="s">
        <v>247</v>
      </c>
      <c r="F9" s="261">
        <f>Решения!C49</f>
        <v>0</v>
      </c>
      <c r="G9" s="603"/>
      <c r="H9" s="604"/>
      <c r="I9" s="611"/>
      <c r="J9" s="583"/>
    </row>
    <row r="10" spans="2:10" ht="28.8" x14ac:dyDescent="0.3">
      <c r="B10" s="270" t="s">
        <v>406</v>
      </c>
      <c r="C10" s="164">
        <f>AVERAGE(F9)</f>
        <v>0</v>
      </c>
      <c r="D10" s="177" t="str">
        <f>Решения!B52</f>
        <v>Управление договорами</v>
      </c>
      <c r="E10" s="166" t="s">
        <v>269</v>
      </c>
      <c r="F10" s="261">
        <f>Решения!C52</f>
        <v>0.5</v>
      </c>
      <c r="G10" s="603"/>
      <c r="H10" s="604"/>
      <c r="I10" s="611"/>
      <c r="J10" s="583"/>
    </row>
    <row r="11" spans="2:10" ht="28.8" x14ac:dyDescent="0.3">
      <c r="B11" s="270" t="s">
        <v>412</v>
      </c>
      <c r="C11" s="164">
        <f>AVERAGE(F12)</f>
        <v>0</v>
      </c>
      <c r="D11" s="272" t="str">
        <f>Решения!B45</f>
        <v>Темплан, включая планирование контрактации</v>
      </c>
      <c r="E11" s="166" t="s">
        <v>352</v>
      </c>
      <c r="F11" s="261">
        <f>Решения!C45</f>
        <v>0</v>
      </c>
      <c r="G11" s="603"/>
      <c r="H11" s="604"/>
      <c r="I11" s="612"/>
      <c r="J11" s="600"/>
    </row>
    <row r="12" spans="2:10" ht="29.4" thickBot="1" x14ac:dyDescent="0.35">
      <c r="B12" s="271"/>
      <c r="C12" s="242"/>
      <c r="D12" s="273" t="str">
        <f>Решения!B8</f>
        <v>Анализ обеспеченности (в т.ч. ТМЦ) и формирование фронта работ</v>
      </c>
      <c r="E12" s="178" t="s">
        <v>270</v>
      </c>
      <c r="F12" s="269">
        <f>Решения!C8</f>
        <v>0</v>
      </c>
      <c r="G12" s="603"/>
      <c r="H12" s="604"/>
      <c r="I12" s="146"/>
      <c r="J12" s="119"/>
    </row>
    <row r="13" spans="2:10" ht="28.8" x14ac:dyDescent="0.3">
      <c r="B13" s="129" t="s">
        <v>9</v>
      </c>
      <c r="C13" s="152"/>
      <c r="D13" s="158" t="s">
        <v>1</v>
      </c>
      <c r="E13" s="159"/>
      <c r="F13" s="159"/>
      <c r="G13" s="605"/>
      <c r="H13" s="604"/>
      <c r="I13" s="182" t="s">
        <v>5</v>
      </c>
      <c r="J13" s="161" t="s">
        <v>14</v>
      </c>
    </row>
    <row r="14" spans="2:10" ht="72" x14ac:dyDescent="0.3">
      <c r="B14" s="234"/>
      <c r="C14" s="153"/>
      <c r="D14" s="5" t="s">
        <v>12</v>
      </c>
      <c r="E14" s="100"/>
      <c r="F14" s="100"/>
      <c r="G14" s="606"/>
      <c r="H14" s="607"/>
      <c r="I14" s="11" t="s">
        <v>42</v>
      </c>
      <c r="J14" s="163"/>
    </row>
    <row r="15" spans="2:10" x14ac:dyDescent="0.3">
      <c r="B15" s="573" t="s">
        <v>2</v>
      </c>
      <c r="C15" s="574"/>
      <c r="D15" s="574"/>
      <c r="E15" s="574"/>
      <c r="F15" s="574"/>
      <c r="G15" s="575"/>
      <c r="H15" s="576" t="s">
        <v>3</v>
      </c>
      <c r="I15" s="574"/>
      <c r="J15" s="577"/>
    </row>
    <row r="16" spans="2:10" ht="18.75" customHeight="1" thickBot="1" x14ac:dyDescent="0.35">
      <c r="B16" s="535"/>
      <c r="C16" s="536"/>
      <c r="D16" s="536"/>
      <c r="E16" s="536"/>
      <c r="F16" s="536"/>
      <c r="G16" s="537"/>
      <c r="H16" s="538"/>
      <c r="I16" s="536"/>
      <c r="J16" s="539"/>
    </row>
    <row r="18" spans="2:9" x14ac:dyDescent="0.3">
      <c r="B18" s="1" t="s">
        <v>227</v>
      </c>
      <c r="C18" s="1"/>
      <c r="D18" s="1" t="s">
        <v>223</v>
      </c>
      <c r="E18" s="136">
        <v>0</v>
      </c>
      <c r="I18" s="95"/>
    </row>
    <row r="19" spans="2:9" x14ac:dyDescent="0.3">
      <c r="B19" s="114" t="s">
        <v>228</v>
      </c>
      <c r="C19" s="114"/>
      <c r="D19" s="114" t="s">
        <v>224</v>
      </c>
      <c r="E19" s="137">
        <v>0.1</v>
      </c>
      <c r="F19" s="86"/>
      <c r="G19" s="86"/>
      <c r="H19" s="86"/>
      <c r="I19" s="97"/>
    </row>
    <row r="20" spans="2:9" x14ac:dyDescent="0.3">
      <c r="B20" s="116" t="s">
        <v>226</v>
      </c>
      <c r="C20" s="116"/>
      <c r="D20" s="115" t="s">
        <v>230</v>
      </c>
      <c r="E20" s="138">
        <v>0.5</v>
      </c>
      <c r="F20" s="88"/>
      <c r="G20" s="89"/>
      <c r="H20" s="89"/>
      <c r="I20" s="98"/>
    </row>
    <row r="21" spans="2:9" x14ac:dyDescent="0.3">
      <c r="B21" s="1"/>
      <c r="C21" s="1"/>
      <c r="D21" s="116" t="s">
        <v>229</v>
      </c>
      <c r="E21" s="139">
        <v>0.8</v>
      </c>
      <c r="G21" s="88"/>
      <c r="H21" s="88"/>
      <c r="I21" s="99"/>
    </row>
    <row r="22" spans="2:9" x14ac:dyDescent="0.3">
      <c r="B22" s="1"/>
      <c r="C22" s="1"/>
      <c r="D22" s="117" t="s">
        <v>225</v>
      </c>
      <c r="E22" s="140">
        <v>1</v>
      </c>
      <c r="G22" s="87"/>
      <c r="H22" s="87"/>
      <c r="I22" s="96"/>
    </row>
  </sheetData>
  <mergeCells count="10">
    <mergeCell ref="B15:G15"/>
    <mergeCell ref="H15:J15"/>
    <mergeCell ref="B16:G16"/>
    <mergeCell ref="H16:J16"/>
    <mergeCell ref="B2:G2"/>
    <mergeCell ref="H2:J2"/>
    <mergeCell ref="G3:H3"/>
    <mergeCell ref="G4:H14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7"/>
  <sheetViews>
    <sheetView zoomScale="130" zoomScaleNormal="130" workbookViewId="0">
      <selection activeCell="L19" sqref="L19"/>
    </sheetView>
  </sheetViews>
  <sheetFormatPr defaultRowHeight="14.4" x14ac:dyDescent="0.3"/>
  <cols>
    <col min="2" max="2" width="40.5546875" customWidth="1"/>
    <col min="3" max="3" width="6.5546875" customWidth="1"/>
    <col min="4" max="4" width="37.44140625" customWidth="1"/>
    <col min="5" max="5" width="5.5546875" customWidth="1"/>
    <col min="6" max="6" width="5.33203125" customWidth="1"/>
    <col min="7" max="8" width="15.6640625" customWidth="1"/>
    <col min="9" max="9" width="27.44140625" customWidth="1"/>
    <col min="10" max="10" width="16.66406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ht="28.8" x14ac:dyDescent="0.3">
      <c r="B3" s="232" t="s">
        <v>10</v>
      </c>
      <c r="C3" s="291">
        <f>ROUND(AVERAGE(C4:C7)*100,0)</f>
        <v>38</v>
      </c>
      <c r="D3" s="235" t="s">
        <v>0</v>
      </c>
      <c r="E3" s="251"/>
      <c r="F3" s="258">
        <f>AVERAGE(F4:F7)</f>
        <v>0.375</v>
      </c>
      <c r="G3" s="571" t="s">
        <v>8</v>
      </c>
      <c r="H3" s="572"/>
      <c r="I3" s="156" t="s">
        <v>4</v>
      </c>
      <c r="J3" s="157" t="s">
        <v>13</v>
      </c>
    </row>
    <row r="4" spans="2:10" ht="28.8" x14ac:dyDescent="0.3">
      <c r="B4" s="218" t="s">
        <v>395</v>
      </c>
      <c r="C4" s="254">
        <f>AVERAGE(F4, F5)</f>
        <v>0.5</v>
      </c>
      <c r="D4" s="198" t="str">
        <f>Решения!B11</f>
        <v>Балансировка объемов и минимизация ресурсных конфликтов</v>
      </c>
      <c r="E4" s="166" t="s">
        <v>248</v>
      </c>
      <c r="F4" s="253">
        <f>Решения!C11</f>
        <v>0.5</v>
      </c>
      <c r="G4" s="593" t="s">
        <v>35</v>
      </c>
      <c r="H4" s="594"/>
      <c r="I4" s="598" t="s">
        <v>373</v>
      </c>
      <c r="J4" s="583" t="s">
        <v>253</v>
      </c>
    </row>
    <row r="5" spans="2:10" ht="57.6" x14ac:dyDescent="0.3">
      <c r="B5" s="218" t="s">
        <v>396</v>
      </c>
      <c r="C5" s="254">
        <f>AVERAGE(F5)</f>
        <v>0.5</v>
      </c>
      <c r="D5" s="198" t="str">
        <f>Решения!B55</f>
        <v>Управление сводными планами</v>
      </c>
      <c r="E5" s="166" t="s">
        <v>331</v>
      </c>
      <c r="F5" s="253">
        <f>Решения!C55</f>
        <v>0.5</v>
      </c>
      <c r="G5" s="593"/>
      <c r="H5" s="594"/>
      <c r="I5" s="598"/>
      <c r="J5" s="583"/>
    </row>
    <row r="6" spans="2:10" ht="43.2" x14ac:dyDescent="0.3">
      <c r="B6" s="218" t="s">
        <v>397</v>
      </c>
      <c r="C6" s="254">
        <f>AVERAGE(F6)</f>
        <v>0</v>
      </c>
      <c r="D6" s="215" t="str">
        <f>Решения!B22</f>
        <v>Интеграция с системой управления проектами</v>
      </c>
      <c r="E6" s="166" t="s">
        <v>269</v>
      </c>
      <c r="F6" s="254">
        <f>Решения!C22</f>
        <v>0</v>
      </c>
      <c r="G6" s="593"/>
      <c r="H6" s="594"/>
      <c r="I6" s="598"/>
      <c r="J6" s="583"/>
    </row>
    <row r="7" spans="2:10" ht="43.8" thickBot="1" x14ac:dyDescent="0.35">
      <c r="B7" s="219" t="s">
        <v>426</v>
      </c>
      <c r="C7" s="256">
        <f>AVERAGE(F7)</f>
        <v>0.5</v>
      </c>
      <c r="D7" s="236" t="str">
        <f>Решения!B23</f>
        <v>Интеграция с трекинг-системами</v>
      </c>
      <c r="E7" s="178" t="s">
        <v>247</v>
      </c>
      <c r="F7" s="256">
        <f>Решения!C23</f>
        <v>0.5</v>
      </c>
      <c r="G7" s="593"/>
      <c r="H7" s="594"/>
      <c r="I7" s="598"/>
      <c r="J7" s="583"/>
    </row>
    <row r="8" spans="2:10" ht="28.8" x14ac:dyDescent="0.3">
      <c r="B8" s="189" t="s">
        <v>9</v>
      </c>
      <c r="C8" s="143"/>
      <c r="D8" s="194" t="s">
        <v>1</v>
      </c>
      <c r="E8" s="186"/>
      <c r="F8" s="186"/>
      <c r="G8" s="595"/>
      <c r="H8" s="594"/>
      <c r="I8" s="160" t="s">
        <v>5</v>
      </c>
      <c r="J8" s="161" t="s">
        <v>14</v>
      </c>
    </row>
    <row r="9" spans="2:10" ht="60" customHeight="1" x14ac:dyDescent="0.3">
      <c r="B9" s="18" t="s">
        <v>37</v>
      </c>
      <c r="C9" s="108"/>
      <c r="D9" s="19" t="s">
        <v>12</v>
      </c>
      <c r="E9" s="92"/>
      <c r="F9" s="92"/>
      <c r="G9" s="596"/>
      <c r="H9" s="597"/>
      <c r="I9" s="5" t="s">
        <v>36</v>
      </c>
      <c r="J9" s="163"/>
    </row>
    <row r="10" spans="2:10" x14ac:dyDescent="0.3">
      <c r="B10" s="573" t="s">
        <v>2</v>
      </c>
      <c r="C10" s="574"/>
      <c r="D10" s="574"/>
      <c r="E10" s="574"/>
      <c r="F10" s="574"/>
      <c r="G10" s="575"/>
      <c r="H10" s="576" t="s">
        <v>3</v>
      </c>
      <c r="I10" s="574"/>
      <c r="J10" s="577"/>
    </row>
    <row r="11" spans="2:10" ht="10.5" customHeight="1" thickBot="1" x14ac:dyDescent="0.35">
      <c r="B11" s="535"/>
      <c r="C11" s="536"/>
      <c r="D11" s="536"/>
      <c r="E11" s="536"/>
      <c r="F11" s="536"/>
      <c r="G11" s="537"/>
      <c r="H11" s="538"/>
      <c r="I11" s="536"/>
      <c r="J11" s="539"/>
    </row>
    <row r="13" spans="2:10" x14ac:dyDescent="0.3">
      <c r="B13" s="1" t="s">
        <v>227</v>
      </c>
      <c r="C13" s="1"/>
      <c r="D13" s="1" t="s">
        <v>223</v>
      </c>
      <c r="E13" s="136">
        <v>0</v>
      </c>
      <c r="I13" s="95"/>
    </row>
    <row r="14" spans="2:10" x14ac:dyDescent="0.3">
      <c r="B14" s="114" t="s">
        <v>228</v>
      </c>
      <c r="C14" s="114"/>
      <c r="D14" s="114" t="s">
        <v>224</v>
      </c>
      <c r="E14" s="137">
        <v>0.1</v>
      </c>
      <c r="F14" s="86"/>
      <c r="G14" s="86"/>
      <c r="H14" s="86"/>
      <c r="I14" s="97"/>
    </row>
    <row r="15" spans="2:10" x14ac:dyDescent="0.3">
      <c r="B15" s="116" t="s">
        <v>226</v>
      </c>
      <c r="C15" s="116"/>
      <c r="D15" s="115" t="s">
        <v>230</v>
      </c>
      <c r="E15" s="138">
        <v>0.5</v>
      </c>
      <c r="F15" s="88"/>
      <c r="G15" s="89"/>
      <c r="H15" s="89"/>
      <c r="I15" s="98"/>
    </row>
    <row r="16" spans="2:10" x14ac:dyDescent="0.3">
      <c r="B16" s="1"/>
      <c r="C16" s="1"/>
      <c r="D16" s="116" t="s">
        <v>229</v>
      </c>
      <c r="E16" s="139">
        <v>0.8</v>
      </c>
      <c r="G16" s="88"/>
      <c r="H16" s="88"/>
      <c r="I16" s="99"/>
    </row>
    <row r="17" spans="2:9" x14ac:dyDescent="0.3">
      <c r="B17" s="1"/>
      <c r="C17" s="1"/>
      <c r="D17" s="117" t="s">
        <v>225</v>
      </c>
      <c r="E17" s="140">
        <v>1</v>
      </c>
      <c r="G17" s="87"/>
      <c r="H17" s="87"/>
      <c r="I17" s="96"/>
    </row>
  </sheetData>
  <mergeCells count="10">
    <mergeCell ref="B10:G10"/>
    <mergeCell ref="H10:J10"/>
    <mergeCell ref="B11:G11"/>
    <mergeCell ref="H11:J11"/>
    <mergeCell ref="B2:G2"/>
    <mergeCell ref="H2:J2"/>
    <mergeCell ref="G3:H3"/>
    <mergeCell ref="G4:H9"/>
    <mergeCell ref="I4:I7"/>
    <mergeCell ref="J4:J7"/>
  </mergeCells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4"/>
  <sheetViews>
    <sheetView zoomScale="115" zoomScaleNormal="115" workbookViewId="0">
      <selection activeCell="L19" sqref="L19"/>
    </sheetView>
  </sheetViews>
  <sheetFormatPr defaultRowHeight="14.4" x14ac:dyDescent="0.3"/>
  <cols>
    <col min="1" max="1" width="6" customWidth="1"/>
    <col min="2" max="2" width="52.109375" customWidth="1"/>
    <col min="3" max="3" width="5.44140625" customWidth="1"/>
    <col min="4" max="4" width="46" customWidth="1"/>
    <col min="5" max="5" width="6.109375" customWidth="1"/>
    <col min="6" max="6" width="6.33203125" customWidth="1"/>
    <col min="7" max="7" width="15.6640625" customWidth="1"/>
    <col min="8" max="8" width="13.33203125" customWidth="1"/>
    <col min="9" max="9" width="17" customWidth="1"/>
    <col min="10" max="10" width="21.5546875" customWidth="1"/>
  </cols>
  <sheetData>
    <row r="1" spans="2:10" ht="13.95" customHeight="1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ht="28.8" x14ac:dyDescent="0.3">
      <c r="B3" s="232" t="s">
        <v>10</v>
      </c>
      <c r="C3" s="290">
        <f>ROUND(AVERAGE(C4:C14)*100,0)</f>
        <v>28</v>
      </c>
      <c r="D3" s="235" t="s">
        <v>0</v>
      </c>
      <c r="E3" s="251"/>
      <c r="F3" s="168">
        <f>AVERAGE(F4:F14)</f>
        <v>0.25454545454545452</v>
      </c>
      <c r="G3" s="571" t="s">
        <v>8</v>
      </c>
      <c r="H3" s="572"/>
      <c r="I3" s="156" t="s">
        <v>4</v>
      </c>
      <c r="J3" s="157" t="s">
        <v>13</v>
      </c>
    </row>
    <row r="4" spans="2:10" ht="43.2" x14ac:dyDescent="0.3">
      <c r="B4" s="239" t="s">
        <v>341</v>
      </c>
      <c r="C4" s="164">
        <f>AVERAGE(F4:F5, F8)</f>
        <v>9.9999999999999992E-2</v>
      </c>
      <c r="D4" s="215" t="str">
        <f>Решения!B21</f>
        <v>Интеграция с КИС</v>
      </c>
      <c r="E4" s="166" t="s">
        <v>248</v>
      </c>
      <c r="F4" s="261">
        <f>Решения!C21</f>
        <v>0</v>
      </c>
      <c r="G4" s="603" t="s">
        <v>31</v>
      </c>
      <c r="H4" s="604"/>
      <c r="I4" s="611" t="s">
        <v>40</v>
      </c>
      <c r="J4" s="583" t="s">
        <v>44</v>
      </c>
    </row>
    <row r="5" spans="2:10" ht="43.2" x14ac:dyDescent="0.3">
      <c r="B5" s="239" t="s">
        <v>342</v>
      </c>
      <c r="C5" s="171"/>
      <c r="D5" s="215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5" s="166" t="s">
        <v>416</v>
      </c>
      <c r="F5" s="261">
        <f>Решения!C27</f>
        <v>0.3</v>
      </c>
      <c r="G5" s="603"/>
      <c r="H5" s="604"/>
      <c r="I5" s="611"/>
      <c r="J5" s="583"/>
    </row>
    <row r="6" spans="2:10" ht="43.2" x14ac:dyDescent="0.3">
      <c r="B6" s="239" t="s">
        <v>343</v>
      </c>
      <c r="C6" s="164">
        <f>AVERAGE(F6)</f>
        <v>0.5</v>
      </c>
      <c r="D6" s="198" t="str">
        <f>Решения!B41</f>
        <v>Синхронизация мониторинга производственной деятельности с планами по проектам, объемам и по ресурсам</v>
      </c>
      <c r="E6" s="166" t="s">
        <v>407</v>
      </c>
      <c r="F6" s="260">
        <f>Решения!C41</f>
        <v>0.5</v>
      </c>
      <c r="G6" s="603"/>
      <c r="H6" s="604"/>
      <c r="I6" s="611"/>
      <c r="J6" s="583"/>
    </row>
    <row r="7" spans="2:10" ht="28.8" x14ac:dyDescent="0.3">
      <c r="B7" s="239" t="s">
        <v>404</v>
      </c>
      <c r="C7" s="164">
        <f>AVERAGE(F7)</f>
        <v>0.5</v>
      </c>
      <c r="D7" s="198" t="str">
        <f>Решения!B11</f>
        <v>Балансировка объемов и минимизация ресурсных конфликтов</v>
      </c>
      <c r="E7" s="166" t="s">
        <v>408</v>
      </c>
      <c r="F7" s="260">
        <f>Решения!C11</f>
        <v>0.5</v>
      </c>
      <c r="G7" s="603"/>
      <c r="H7" s="604"/>
      <c r="I7" s="611"/>
      <c r="J7" s="583"/>
    </row>
    <row r="8" spans="2:10" ht="28.8" x14ac:dyDescent="0.3">
      <c r="B8" s="239" t="s">
        <v>345</v>
      </c>
      <c r="C8" s="164">
        <f>AVERAGE(F11)</f>
        <v>0</v>
      </c>
      <c r="D8" s="215" t="str">
        <f>Решения!B49</f>
        <v>Трехуровневое ресурсное планирование с прогнозами</v>
      </c>
      <c r="E8" s="166" t="s">
        <v>248</v>
      </c>
      <c r="F8" s="261">
        <f>Решения!C49</f>
        <v>0</v>
      </c>
      <c r="G8" s="603"/>
      <c r="H8" s="604"/>
      <c r="I8" s="611"/>
      <c r="J8" s="583"/>
    </row>
    <row r="9" spans="2:10" ht="28.8" x14ac:dyDescent="0.3">
      <c r="B9" s="239" t="s">
        <v>346</v>
      </c>
      <c r="C9" s="164">
        <f>AVERAGE(F5, F12)</f>
        <v>0.4</v>
      </c>
      <c r="D9" s="215" t="str">
        <f>Решения!B53</f>
        <v>Управление портфелями и программами</v>
      </c>
      <c r="E9" s="166" t="s">
        <v>247</v>
      </c>
      <c r="F9" s="261">
        <f>Решения!C53</f>
        <v>0.5</v>
      </c>
      <c r="G9" s="603"/>
      <c r="H9" s="604"/>
      <c r="I9" s="611"/>
      <c r="J9" s="583"/>
    </row>
    <row r="10" spans="2:10" ht="28.8" x14ac:dyDescent="0.3">
      <c r="B10" s="239" t="s">
        <v>415</v>
      </c>
      <c r="C10" s="164">
        <f>AVERAGE(F13:F14)</f>
        <v>0.25</v>
      </c>
      <c r="D10" s="215" t="str">
        <f>Решения!B48</f>
        <v>Тиражирование технологий управления на все проекты</v>
      </c>
      <c r="E10" s="166" t="s">
        <v>269</v>
      </c>
      <c r="F10" s="261">
        <f>Решения!C48</f>
        <v>0</v>
      </c>
      <c r="G10" s="603"/>
      <c r="H10" s="604"/>
      <c r="I10" s="611"/>
      <c r="J10" s="583"/>
    </row>
    <row r="11" spans="2:10" ht="28.8" x14ac:dyDescent="0.3">
      <c r="B11" s="239" t="s">
        <v>419</v>
      </c>
      <c r="C11" s="164">
        <f>AVERAGE(F10)</f>
        <v>0</v>
      </c>
      <c r="D11" s="215" t="str">
        <f>Решения!B45</f>
        <v>Темплан, включая планирование контрактации</v>
      </c>
      <c r="E11" s="166" t="s">
        <v>352</v>
      </c>
      <c r="F11" s="261">
        <f>Решения!C45</f>
        <v>0</v>
      </c>
      <c r="G11" s="603"/>
      <c r="H11" s="604"/>
      <c r="I11" s="612"/>
      <c r="J11" s="600"/>
    </row>
    <row r="12" spans="2:10" ht="28.8" x14ac:dyDescent="0.3">
      <c r="B12" s="239" t="s">
        <v>406</v>
      </c>
      <c r="C12" s="164">
        <f>AVERAGE(F9)</f>
        <v>0.5</v>
      </c>
      <c r="D12" s="243" t="str">
        <f>Решения!B36</f>
        <v>Проектный калькулятор</v>
      </c>
      <c r="E12" s="166" t="s">
        <v>416</v>
      </c>
      <c r="F12" s="261">
        <f>Решения!C36</f>
        <v>0.5</v>
      </c>
      <c r="G12" s="603"/>
      <c r="H12" s="604"/>
      <c r="I12" s="146"/>
      <c r="J12" s="119"/>
    </row>
    <row r="13" spans="2:10" ht="28.8" x14ac:dyDescent="0.3">
      <c r="B13" s="239"/>
      <c r="C13" s="248"/>
      <c r="D13" s="243" t="str">
        <f>Решения!B26</f>
        <v>Контроль качества и применимость ресурсов (компетенции, квалификации)</v>
      </c>
      <c r="E13" s="166" t="s">
        <v>418</v>
      </c>
      <c r="F13" s="261">
        <f>Решения!C26</f>
        <v>0</v>
      </c>
      <c r="G13" s="603"/>
      <c r="H13" s="604"/>
      <c r="I13" s="146"/>
      <c r="J13" s="119"/>
    </row>
    <row r="14" spans="2:10" ht="29.4" thickBot="1" x14ac:dyDescent="0.35">
      <c r="B14" s="241"/>
      <c r="C14" s="242"/>
      <c r="D14" s="233" t="str">
        <f>Решения!B14</f>
        <v>Влияние производительности ресурсов на трудоемкость и сроки</v>
      </c>
      <c r="E14" s="178" t="s">
        <v>418</v>
      </c>
      <c r="F14" s="268">
        <f>Решения!C14</f>
        <v>0.5</v>
      </c>
      <c r="G14" s="603"/>
      <c r="H14" s="604"/>
      <c r="I14" s="146"/>
      <c r="J14" s="119"/>
    </row>
    <row r="15" spans="2:10" ht="28.8" x14ac:dyDescent="0.3">
      <c r="B15" s="129" t="s">
        <v>9</v>
      </c>
      <c r="C15" s="152"/>
      <c r="D15" s="158" t="s">
        <v>1</v>
      </c>
      <c r="E15" s="159"/>
      <c r="F15" s="159"/>
      <c r="G15" s="605"/>
      <c r="H15" s="604"/>
      <c r="I15" s="182" t="s">
        <v>5</v>
      </c>
      <c r="J15" s="161" t="s">
        <v>14</v>
      </c>
    </row>
    <row r="16" spans="2:10" ht="72" x14ac:dyDescent="0.3">
      <c r="B16" s="234"/>
      <c r="C16" s="153"/>
      <c r="D16" s="5" t="s">
        <v>12</v>
      </c>
      <c r="E16" s="100"/>
      <c r="F16" s="100"/>
      <c r="G16" s="606"/>
      <c r="H16" s="607"/>
      <c r="I16" s="11" t="s">
        <v>42</v>
      </c>
      <c r="J16" s="163"/>
    </row>
    <row r="17" spans="2:10" x14ac:dyDescent="0.3">
      <c r="B17" s="573" t="s">
        <v>2</v>
      </c>
      <c r="C17" s="574"/>
      <c r="D17" s="574"/>
      <c r="E17" s="574"/>
      <c r="F17" s="574"/>
      <c r="G17" s="575"/>
      <c r="H17" s="576" t="s">
        <v>3</v>
      </c>
      <c r="I17" s="574"/>
      <c r="J17" s="577"/>
    </row>
    <row r="18" spans="2:10" ht="18.75" customHeight="1" thickBot="1" x14ac:dyDescent="0.35">
      <c r="B18" s="535"/>
      <c r="C18" s="536"/>
      <c r="D18" s="536"/>
      <c r="E18" s="536"/>
      <c r="F18" s="536"/>
      <c r="G18" s="537"/>
      <c r="H18" s="538"/>
      <c r="I18" s="536"/>
      <c r="J18" s="539"/>
    </row>
    <row r="20" spans="2:10" x14ac:dyDescent="0.3">
      <c r="B20" s="1" t="s">
        <v>227</v>
      </c>
      <c r="C20" s="1"/>
      <c r="D20" s="1" t="s">
        <v>223</v>
      </c>
      <c r="E20" s="136">
        <v>0</v>
      </c>
      <c r="I20" s="95"/>
    </row>
    <row r="21" spans="2:10" x14ac:dyDescent="0.3">
      <c r="B21" s="114" t="s">
        <v>228</v>
      </c>
      <c r="C21" s="114"/>
      <c r="D21" s="114" t="s">
        <v>224</v>
      </c>
      <c r="E21" s="137">
        <v>0.1</v>
      </c>
      <c r="F21" s="86"/>
      <c r="G21" s="86"/>
      <c r="H21" s="86"/>
      <c r="I21" s="97"/>
    </row>
    <row r="22" spans="2:10" x14ac:dyDescent="0.3">
      <c r="B22" s="116" t="s">
        <v>226</v>
      </c>
      <c r="C22" s="116"/>
      <c r="D22" s="115" t="s">
        <v>230</v>
      </c>
      <c r="E22" s="138">
        <v>0.5</v>
      </c>
      <c r="F22" s="88"/>
      <c r="G22" s="89"/>
      <c r="H22" s="89"/>
      <c r="I22" s="98"/>
    </row>
    <row r="23" spans="2:10" x14ac:dyDescent="0.3">
      <c r="B23" s="1"/>
      <c r="C23" s="1"/>
      <c r="D23" s="116" t="s">
        <v>229</v>
      </c>
      <c r="E23" s="139">
        <v>0.8</v>
      </c>
      <c r="G23" s="88"/>
      <c r="H23" s="88"/>
      <c r="I23" s="99"/>
    </row>
    <row r="24" spans="2:10" x14ac:dyDescent="0.3">
      <c r="B24" s="1"/>
      <c r="C24" s="1"/>
      <c r="D24" s="117" t="s">
        <v>225</v>
      </c>
      <c r="E24" s="140">
        <v>1</v>
      </c>
      <c r="G24" s="87"/>
      <c r="H24" s="87"/>
      <c r="I24" s="96"/>
    </row>
  </sheetData>
  <mergeCells count="10">
    <mergeCell ref="B17:G17"/>
    <mergeCell ref="H17:J17"/>
    <mergeCell ref="B18:G18"/>
    <mergeCell ref="H18:J18"/>
    <mergeCell ref="B2:G2"/>
    <mergeCell ref="H2:J2"/>
    <mergeCell ref="G3:H3"/>
    <mergeCell ref="G4:H16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2"/>
  <sheetViews>
    <sheetView zoomScale="115" zoomScaleNormal="115" workbookViewId="0">
      <selection activeCell="L19" sqref="L19"/>
    </sheetView>
  </sheetViews>
  <sheetFormatPr defaultRowHeight="14.4" x14ac:dyDescent="0.3"/>
  <cols>
    <col min="2" max="2" width="40.5546875" customWidth="1"/>
    <col min="3" max="3" width="6.109375" customWidth="1"/>
    <col min="4" max="4" width="51.6640625" customWidth="1"/>
    <col min="5" max="6" width="6.5546875" customWidth="1"/>
    <col min="7" max="8" width="15.6640625" customWidth="1"/>
    <col min="9" max="9" width="27.44140625" customWidth="1"/>
    <col min="10" max="10" width="1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ht="28.8" x14ac:dyDescent="0.3">
      <c r="B3" s="232" t="s">
        <v>10</v>
      </c>
      <c r="C3" s="290">
        <f>ROUND(AVERAGE(C4:C12)*100,0)</f>
        <v>18</v>
      </c>
      <c r="D3" s="235" t="s">
        <v>0</v>
      </c>
      <c r="E3" s="251"/>
      <c r="F3" s="168">
        <f>AVERAGE(F4:F12)</f>
        <v>0.22222222222222221</v>
      </c>
      <c r="G3" s="571" t="s">
        <v>8</v>
      </c>
      <c r="H3" s="572"/>
      <c r="I3" s="156" t="s">
        <v>4</v>
      </c>
      <c r="J3" s="157" t="s">
        <v>13</v>
      </c>
    </row>
    <row r="4" spans="2:10" ht="57.6" x14ac:dyDescent="0.3">
      <c r="B4" s="218" t="s">
        <v>341</v>
      </c>
      <c r="C4" s="164">
        <f>AVERAGE(F4:F5)</f>
        <v>0.25</v>
      </c>
      <c r="D4" s="215" t="s">
        <v>348</v>
      </c>
      <c r="E4" s="166" t="s">
        <v>248</v>
      </c>
      <c r="F4" s="261">
        <v>0</v>
      </c>
      <c r="G4" s="593" t="s">
        <v>254</v>
      </c>
      <c r="H4" s="594"/>
      <c r="I4" s="609" t="s">
        <v>372</v>
      </c>
      <c r="J4" s="583" t="s">
        <v>260</v>
      </c>
    </row>
    <row r="5" spans="2:10" ht="43.2" x14ac:dyDescent="0.3">
      <c r="B5" s="218" t="s">
        <v>421</v>
      </c>
      <c r="C5" s="164">
        <f>AVERAGE(F6:F7)</f>
        <v>0.5</v>
      </c>
      <c r="D5" s="198" t="s">
        <v>358</v>
      </c>
      <c r="E5" s="166" t="s">
        <v>248</v>
      </c>
      <c r="F5" s="260">
        <v>0.5</v>
      </c>
      <c r="G5" s="593"/>
      <c r="H5" s="594"/>
      <c r="I5" s="609"/>
      <c r="J5" s="583"/>
    </row>
    <row r="6" spans="2:10" ht="28.8" x14ac:dyDescent="0.3">
      <c r="B6" s="218" t="s">
        <v>422</v>
      </c>
      <c r="C6" s="164">
        <f>AVERAGE(F8:F10)</f>
        <v>0.16666666666666666</v>
      </c>
      <c r="D6" s="198" t="s">
        <v>271</v>
      </c>
      <c r="E6" s="166" t="s">
        <v>267</v>
      </c>
      <c r="F6" s="260">
        <v>0.5</v>
      </c>
      <c r="G6" s="593"/>
      <c r="H6" s="594"/>
      <c r="I6" s="609"/>
      <c r="J6" s="583"/>
    </row>
    <row r="7" spans="2:10" ht="28.8" x14ac:dyDescent="0.3">
      <c r="B7" s="218" t="s">
        <v>423</v>
      </c>
      <c r="C7" s="164">
        <f>AVERAGE(F11)</f>
        <v>0</v>
      </c>
      <c r="D7" s="198" t="s">
        <v>413</v>
      </c>
      <c r="E7" s="166" t="s">
        <v>267</v>
      </c>
      <c r="F7" s="260">
        <v>0.5</v>
      </c>
      <c r="G7" s="593"/>
      <c r="H7" s="594"/>
      <c r="I7" s="609"/>
      <c r="J7" s="583"/>
    </row>
    <row r="8" spans="2:10" ht="43.2" x14ac:dyDescent="0.3">
      <c r="B8" s="218" t="s">
        <v>427</v>
      </c>
      <c r="C8" s="164">
        <f>AVERAGE(F12)</f>
        <v>0</v>
      </c>
      <c r="D8" s="224" t="s">
        <v>362</v>
      </c>
      <c r="E8" s="166" t="s">
        <v>269</v>
      </c>
      <c r="F8" s="261">
        <v>0</v>
      </c>
      <c r="G8" s="593"/>
      <c r="H8" s="594"/>
      <c r="I8" s="610"/>
      <c r="J8" s="600"/>
    </row>
    <row r="9" spans="2:10" ht="28.8" x14ac:dyDescent="0.3">
      <c r="B9" s="218"/>
      <c r="C9" s="223"/>
      <c r="D9" s="198" t="s">
        <v>363</v>
      </c>
      <c r="E9" s="166" t="s">
        <v>269</v>
      </c>
      <c r="F9" s="260">
        <v>0.5</v>
      </c>
      <c r="G9" s="193"/>
      <c r="H9" s="135"/>
      <c r="I9" s="141"/>
      <c r="J9" s="119"/>
    </row>
    <row r="10" spans="2:10" x14ac:dyDescent="0.3">
      <c r="B10" s="218"/>
      <c r="C10" s="223"/>
      <c r="D10" s="224" t="s">
        <v>424</v>
      </c>
      <c r="E10" s="166" t="s">
        <v>269</v>
      </c>
      <c r="F10" s="261">
        <v>0</v>
      </c>
      <c r="G10" s="193"/>
      <c r="H10" s="135"/>
      <c r="I10" s="141"/>
      <c r="J10" s="119"/>
    </row>
    <row r="11" spans="2:10" x14ac:dyDescent="0.3">
      <c r="B11" s="218"/>
      <c r="C11" s="223"/>
      <c r="D11" s="224" t="s">
        <v>425</v>
      </c>
      <c r="E11" s="166" t="s">
        <v>247</v>
      </c>
      <c r="F11" s="261">
        <v>0</v>
      </c>
      <c r="G11" s="193"/>
      <c r="H11" s="135"/>
      <c r="I11" s="141"/>
      <c r="J11" s="119"/>
    </row>
    <row r="12" spans="2:10" ht="15" thickBot="1" x14ac:dyDescent="0.35">
      <c r="B12" s="219"/>
      <c r="C12" s="192"/>
      <c r="D12" s="228" t="s">
        <v>414</v>
      </c>
      <c r="E12" s="178" t="s">
        <v>270</v>
      </c>
      <c r="F12" s="269">
        <v>0</v>
      </c>
      <c r="G12" s="193"/>
      <c r="H12" s="135"/>
      <c r="I12" s="141"/>
      <c r="J12" s="119"/>
    </row>
    <row r="13" spans="2:10" ht="28.8" x14ac:dyDescent="0.3">
      <c r="B13" s="189" t="s">
        <v>9</v>
      </c>
      <c r="C13" s="143"/>
      <c r="D13" s="194" t="s">
        <v>1</v>
      </c>
      <c r="E13" s="186"/>
      <c r="F13" s="186"/>
      <c r="G13" s="142"/>
      <c r="H13" s="143"/>
      <c r="I13" s="160" t="s">
        <v>5</v>
      </c>
      <c r="J13" s="161" t="s">
        <v>14</v>
      </c>
    </row>
    <row r="14" spans="2:10" ht="60" customHeight="1" x14ac:dyDescent="0.3">
      <c r="B14" s="18" t="s">
        <v>37</v>
      </c>
      <c r="C14" s="108"/>
      <c r="D14" s="19" t="s">
        <v>12</v>
      </c>
      <c r="E14" s="92"/>
      <c r="F14" s="92"/>
      <c r="G14" s="144"/>
      <c r="H14" s="108"/>
      <c r="I14" s="5" t="s">
        <v>36</v>
      </c>
      <c r="J14" s="163"/>
    </row>
    <row r="15" spans="2:10" x14ac:dyDescent="0.3">
      <c r="B15" s="573" t="s">
        <v>2</v>
      </c>
      <c r="C15" s="574"/>
      <c r="D15" s="574"/>
      <c r="E15" s="574"/>
      <c r="F15" s="574"/>
      <c r="G15" s="575"/>
      <c r="H15" s="576" t="s">
        <v>3</v>
      </c>
      <c r="I15" s="574"/>
      <c r="J15" s="577"/>
    </row>
    <row r="16" spans="2:10" ht="10.5" customHeight="1" thickBot="1" x14ac:dyDescent="0.35">
      <c r="B16" s="535"/>
      <c r="C16" s="536"/>
      <c r="D16" s="536"/>
      <c r="E16" s="536"/>
      <c r="F16" s="536"/>
      <c r="G16" s="537"/>
      <c r="H16" s="538"/>
      <c r="I16" s="536"/>
      <c r="J16" s="539"/>
    </row>
    <row r="18" spans="2:7" x14ac:dyDescent="0.3">
      <c r="B18" s="1" t="s">
        <v>227</v>
      </c>
      <c r="C18" s="1"/>
      <c r="D18" s="1" t="s">
        <v>223</v>
      </c>
      <c r="E18" s="136">
        <v>0</v>
      </c>
      <c r="F18" s="103"/>
      <c r="G18" s="95"/>
    </row>
    <row r="19" spans="2:7" x14ac:dyDescent="0.3">
      <c r="B19" s="114" t="s">
        <v>228</v>
      </c>
      <c r="C19" s="114"/>
      <c r="D19" s="114" t="s">
        <v>224</v>
      </c>
      <c r="E19" s="137">
        <v>0.1</v>
      </c>
      <c r="F19" s="104"/>
      <c r="G19" s="97"/>
    </row>
    <row r="20" spans="2:7" x14ac:dyDescent="0.3">
      <c r="B20" s="116" t="s">
        <v>226</v>
      </c>
      <c r="C20" s="116"/>
      <c r="D20" s="115" t="s">
        <v>230</v>
      </c>
      <c r="E20" s="138">
        <v>0.5</v>
      </c>
      <c r="F20" s="105"/>
      <c r="G20" s="98"/>
    </row>
    <row r="21" spans="2:7" x14ac:dyDescent="0.3">
      <c r="B21" s="1"/>
      <c r="C21" s="1"/>
      <c r="D21" s="116" t="s">
        <v>229</v>
      </c>
      <c r="E21" s="139">
        <v>0.8</v>
      </c>
      <c r="F21" s="102"/>
      <c r="G21" s="99"/>
    </row>
    <row r="22" spans="2:7" x14ac:dyDescent="0.3">
      <c r="B22" s="1"/>
      <c r="C22" s="1"/>
      <c r="D22" s="117" t="s">
        <v>225</v>
      </c>
      <c r="E22" s="140">
        <v>1</v>
      </c>
      <c r="F22" s="106"/>
      <c r="G22" s="96"/>
    </row>
  </sheetData>
  <mergeCells count="10">
    <mergeCell ref="B16:G16"/>
    <mergeCell ref="H16:J16"/>
    <mergeCell ref="B2:G2"/>
    <mergeCell ref="H2:J2"/>
    <mergeCell ref="G3:H3"/>
    <mergeCell ref="B15:G15"/>
    <mergeCell ref="H15:J15"/>
    <mergeCell ref="G4:H8"/>
    <mergeCell ref="I4:I8"/>
    <mergeCell ref="J4:J8"/>
  </mergeCells>
  <pageMargins left="0.7" right="0.7" top="0.75" bottom="0.75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8"/>
  <sheetViews>
    <sheetView zoomScaleNormal="100" workbookViewId="0">
      <selection activeCell="D5" sqref="D5"/>
    </sheetView>
  </sheetViews>
  <sheetFormatPr defaultRowHeight="14.4" x14ac:dyDescent="0.3"/>
  <cols>
    <col min="2" max="2" width="48.5546875" customWidth="1"/>
    <col min="3" max="3" width="5.33203125" customWidth="1"/>
    <col min="4" max="4" width="48" customWidth="1"/>
    <col min="5" max="5" width="6.44140625" customWidth="1"/>
    <col min="6" max="6" width="5.3320312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x14ac:dyDescent="0.3">
      <c r="B3" s="232" t="s">
        <v>10</v>
      </c>
      <c r="C3" s="290">
        <f>ROUND(AVERAGE(C4:C17)*100,0)</f>
        <v>28</v>
      </c>
      <c r="D3" s="235" t="s">
        <v>0</v>
      </c>
      <c r="E3" s="251" t="s">
        <v>282</v>
      </c>
      <c r="F3" s="168">
        <f>AVERAGE(F4:F17)</f>
        <v>0.25384615384615383</v>
      </c>
      <c r="G3" s="571" t="s">
        <v>8</v>
      </c>
      <c r="H3" s="572"/>
      <c r="I3" s="156" t="s">
        <v>4</v>
      </c>
      <c r="J3" s="157" t="s">
        <v>13</v>
      </c>
    </row>
    <row r="4" spans="2:10" ht="28.8" x14ac:dyDescent="0.3">
      <c r="B4" s="218" t="s">
        <v>386</v>
      </c>
      <c r="C4" s="164">
        <f>AVERAGE(F5,F6)</f>
        <v>0.25</v>
      </c>
      <c r="D4" s="215" t="s">
        <v>281</v>
      </c>
      <c r="E4" s="166"/>
      <c r="F4" s="171"/>
      <c r="G4" s="593" t="s">
        <v>221</v>
      </c>
      <c r="H4" s="594"/>
      <c r="I4" s="598" t="s">
        <v>232</v>
      </c>
      <c r="J4" s="583" t="s">
        <v>390</v>
      </c>
    </row>
    <row r="5" spans="2:10" ht="77.25" customHeight="1" x14ac:dyDescent="0.3">
      <c r="B5" s="218" t="s">
        <v>296</v>
      </c>
      <c r="C5" s="164">
        <f>F6</f>
        <v>0</v>
      </c>
      <c r="D5" s="184" t="s">
        <v>379</v>
      </c>
      <c r="E5" s="166" t="s">
        <v>283</v>
      </c>
      <c r="F5" s="164">
        <v>0.5</v>
      </c>
      <c r="G5" s="593"/>
      <c r="H5" s="594"/>
      <c r="I5" s="598"/>
      <c r="J5" s="583"/>
    </row>
    <row r="6" spans="2:10" ht="28.8" x14ac:dyDescent="0.3">
      <c r="B6" s="218" t="s">
        <v>297</v>
      </c>
      <c r="C6" s="164">
        <f>AVERAGE(F7,F8, F9)</f>
        <v>0.33333333333333331</v>
      </c>
      <c r="D6" s="180" t="s">
        <v>387</v>
      </c>
      <c r="E6" s="166" t="s">
        <v>285</v>
      </c>
      <c r="F6" s="164">
        <v>0</v>
      </c>
      <c r="G6" s="593"/>
      <c r="H6" s="594"/>
      <c r="I6" s="598"/>
      <c r="J6" s="583"/>
    </row>
    <row r="7" spans="2:10" ht="57.6" x14ac:dyDescent="0.3">
      <c r="B7" s="218" t="s">
        <v>298</v>
      </c>
      <c r="C7" s="164">
        <f>AVERAGE(F5,F6, F14, F15)</f>
        <v>0.25</v>
      </c>
      <c r="D7" s="184" t="s">
        <v>381</v>
      </c>
      <c r="E7" s="166" t="s">
        <v>286</v>
      </c>
      <c r="F7" s="164">
        <v>0.5</v>
      </c>
      <c r="G7" s="593"/>
      <c r="H7" s="594"/>
      <c r="I7" s="598"/>
      <c r="J7" s="583"/>
    </row>
    <row r="8" spans="2:10" ht="28.8" x14ac:dyDescent="0.3">
      <c r="B8" s="218" t="s">
        <v>299</v>
      </c>
      <c r="C8" s="164">
        <f>AVERAGE(F12,F10, F11, F13)</f>
        <v>0.125</v>
      </c>
      <c r="D8" s="184" t="s">
        <v>382</v>
      </c>
      <c r="E8" s="166" t="s">
        <v>286</v>
      </c>
      <c r="F8" s="164">
        <v>0.5</v>
      </c>
      <c r="G8" s="593"/>
      <c r="H8" s="594"/>
      <c r="I8" s="598"/>
      <c r="J8" s="583"/>
    </row>
    <row r="9" spans="2:10" ht="28.8" x14ac:dyDescent="0.3">
      <c r="B9" s="218" t="s">
        <v>377</v>
      </c>
      <c r="C9" s="164">
        <f>F16</f>
        <v>0.8</v>
      </c>
      <c r="D9" s="180" t="s">
        <v>287</v>
      </c>
      <c r="E9" s="166" t="s">
        <v>286</v>
      </c>
      <c r="F9" s="164">
        <v>0</v>
      </c>
      <c r="G9" s="593"/>
      <c r="H9" s="594"/>
      <c r="I9" s="598"/>
      <c r="J9" s="583"/>
    </row>
    <row r="10" spans="2:10" ht="28.8" x14ac:dyDescent="0.3">
      <c r="B10" s="218" t="s">
        <v>378</v>
      </c>
      <c r="C10" s="164">
        <f>AVERAGE(F17)</f>
        <v>0</v>
      </c>
      <c r="D10" s="184" t="s">
        <v>288</v>
      </c>
      <c r="E10" s="166" t="s">
        <v>292</v>
      </c>
      <c r="F10" s="164">
        <v>0.5</v>
      </c>
      <c r="G10" s="593"/>
      <c r="H10" s="594"/>
      <c r="I10" s="598"/>
      <c r="J10" s="583"/>
    </row>
    <row r="11" spans="2:10" ht="28.8" x14ac:dyDescent="0.3">
      <c r="B11" s="218" t="s">
        <v>388</v>
      </c>
      <c r="C11" s="164">
        <f>F14</f>
        <v>0.5</v>
      </c>
      <c r="D11" s="180" t="s">
        <v>289</v>
      </c>
      <c r="E11" s="166" t="s">
        <v>292</v>
      </c>
      <c r="F11" s="164">
        <v>0</v>
      </c>
      <c r="G11" s="593"/>
      <c r="H11" s="594"/>
      <c r="I11" s="598"/>
      <c r="J11" s="583"/>
    </row>
    <row r="12" spans="2:10" x14ac:dyDescent="0.3">
      <c r="B12" s="226"/>
      <c r="C12" s="222"/>
      <c r="D12" s="180" t="s">
        <v>290</v>
      </c>
      <c r="E12" s="166" t="s">
        <v>292</v>
      </c>
      <c r="F12" s="164">
        <v>0</v>
      </c>
      <c r="G12" s="593"/>
      <c r="H12" s="594"/>
      <c r="I12" s="598"/>
      <c r="J12" s="583"/>
    </row>
    <row r="13" spans="2:10" x14ac:dyDescent="0.3">
      <c r="B13" s="218"/>
      <c r="C13" s="222"/>
      <c r="D13" s="180" t="s">
        <v>291</v>
      </c>
      <c r="E13" s="166" t="s">
        <v>292</v>
      </c>
      <c r="F13" s="164">
        <v>0</v>
      </c>
      <c r="G13" s="593"/>
      <c r="H13" s="594"/>
      <c r="I13" s="598"/>
      <c r="J13" s="583"/>
    </row>
    <row r="14" spans="2:10" x14ac:dyDescent="0.3">
      <c r="B14" s="218"/>
      <c r="C14" s="223"/>
      <c r="D14" s="184" t="s">
        <v>293</v>
      </c>
      <c r="E14" s="166" t="s">
        <v>389</v>
      </c>
      <c r="F14" s="164">
        <v>0.5</v>
      </c>
      <c r="G14" s="593"/>
      <c r="H14" s="594"/>
      <c r="I14" s="598"/>
      <c r="J14" s="583"/>
    </row>
    <row r="15" spans="2:10" ht="28.8" x14ac:dyDescent="0.3">
      <c r="B15" s="218"/>
      <c r="C15" s="223"/>
      <c r="D15" s="180" t="s">
        <v>250</v>
      </c>
      <c r="E15" s="166" t="s">
        <v>294</v>
      </c>
      <c r="F15" s="164">
        <v>0</v>
      </c>
      <c r="G15" s="593"/>
      <c r="H15" s="594"/>
      <c r="I15" s="598"/>
      <c r="J15" s="583"/>
    </row>
    <row r="16" spans="2:10" x14ac:dyDescent="0.3">
      <c r="B16" s="218"/>
      <c r="C16" s="223"/>
      <c r="D16" s="179" t="s">
        <v>249</v>
      </c>
      <c r="E16" s="209" t="s">
        <v>268</v>
      </c>
      <c r="F16" s="164">
        <v>0.8</v>
      </c>
      <c r="G16" s="593"/>
      <c r="H16" s="594"/>
      <c r="I16" s="598"/>
      <c r="J16" s="583"/>
    </row>
    <row r="17" spans="2:10" ht="29.4" thickBot="1" x14ac:dyDescent="0.35">
      <c r="B17" s="219"/>
      <c r="C17" s="192"/>
      <c r="D17" s="228" t="s">
        <v>273</v>
      </c>
      <c r="E17" s="225" t="s">
        <v>272</v>
      </c>
      <c r="F17" s="165">
        <v>0</v>
      </c>
      <c r="G17" s="593"/>
      <c r="H17" s="594"/>
      <c r="I17" s="599"/>
      <c r="J17" s="600"/>
    </row>
    <row r="18" spans="2:10" x14ac:dyDescent="0.3">
      <c r="B18" s="189" t="s">
        <v>9</v>
      </c>
      <c r="C18" s="143"/>
      <c r="D18" s="194" t="s">
        <v>1</v>
      </c>
      <c r="E18" s="186"/>
      <c r="F18" s="186"/>
      <c r="G18" s="595"/>
      <c r="H18" s="594"/>
      <c r="I18" s="182" t="s">
        <v>5</v>
      </c>
      <c r="J18" s="161" t="s">
        <v>14</v>
      </c>
    </row>
    <row r="19" spans="2:10" ht="57.6" x14ac:dyDescent="0.3">
      <c r="B19" s="187"/>
      <c r="C19" s="188"/>
      <c r="D19" s="19" t="s">
        <v>20</v>
      </c>
      <c r="E19" s="92"/>
      <c r="F19" s="92"/>
      <c r="G19" s="596"/>
      <c r="H19" s="597"/>
      <c r="I19" s="5" t="s">
        <v>18</v>
      </c>
      <c r="J19" s="163"/>
    </row>
    <row r="20" spans="2:10" x14ac:dyDescent="0.3">
      <c r="B20" s="573" t="s">
        <v>2</v>
      </c>
      <c r="C20" s="574"/>
      <c r="D20" s="574"/>
      <c r="E20" s="574"/>
      <c r="F20" s="574"/>
      <c r="G20" s="575"/>
      <c r="H20" s="576" t="s">
        <v>3</v>
      </c>
      <c r="I20" s="574"/>
      <c r="J20" s="577"/>
    </row>
    <row r="21" spans="2:10" ht="15" thickBot="1" x14ac:dyDescent="0.35">
      <c r="B21" s="535"/>
      <c r="C21" s="536"/>
      <c r="D21" s="536"/>
      <c r="E21" s="536"/>
      <c r="F21" s="536"/>
      <c r="G21" s="537"/>
      <c r="H21" s="538"/>
      <c r="I21" s="536"/>
      <c r="J21" s="539"/>
    </row>
    <row r="23" spans="2:10" x14ac:dyDescent="0.3">
      <c r="B23" s="1" t="s">
        <v>227</v>
      </c>
      <c r="C23" s="1"/>
      <c r="D23" s="1" t="s">
        <v>223</v>
      </c>
      <c r="E23" s="136">
        <v>0</v>
      </c>
    </row>
    <row r="24" spans="2:10" x14ac:dyDescent="0.3">
      <c r="B24" s="114" t="s">
        <v>228</v>
      </c>
      <c r="C24" s="114"/>
      <c r="D24" s="114" t="s">
        <v>224</v>
      </c>
      <c r="E24" s="137">
        <v>0.1</v>
      </c>
    </row>
    <row r="25" spans="2:10" x14ac:dyDescent="0.3">
      <c r="B25" s="116" t="s">
        <v>226</v>
      </c>
      <c r="C25" s="116"/>
      <c r="D25" s="115" t="s">
        <v>230</v>
      </c>
      <c r="E25" s="138">
        <v>0.5</v>
      </c>
      <c r="F25" s="86"/>
    </row>
    <row r="26" spans="2:10" x14ac:dyDescent="0.3">
      <c r="B26" s="1"/>
      <c r="C26" s="1"/>
      <c r="D26" s="116" t="s">
        <v>229</v>
      </c>
      <c r="E26" s="139">
        <v>0.8</v>
      </c>
      <c r="F26" s="89"/>
    </row>
    <row r="27" spans="2:10" x14ac:dyDescent="0.3">
      <c r="B27" s="1"/>
      <c r="C27" s="1"/>
      <c r="D27" s="117" t="s">
        <v>225</v>
      </c>
      <c r="E27" s="140">
        <v>1</v>
      </c>
      <c r="F27" s="88"/>
    </row>
    <row r="28" spans="2:10" x14ac:dyDescent="0.3">
      <c r="D28" s="117"/>
      <c r="E28" s="87"/>
      <c r="F28" s="87"/>
    </row>
  </sheetData>
  <mergeCells count="10">
    <mergeCell ref="B20:G20"/>
    <mergeCell ref="H20:J20"/>
    <mergeCell ref="B21:G21"/>
    <mergeCell ref="H21:J21"/>
    <mergeCell ref="B2:G2"/>
    <mergeCell ref="H2:J2"/>
    <mergeCell ref="G3:H3"/>
    <mergeCell ref="G4:H19"/>
    <mergeCell ref="I4:I17"/>
    <mergeCell ref="J4:J17"/>
  </mergeCells>
  <pageMargins left="0.7" right="0.7" top="0.75" bottom="0.75" header="0.3" footer="0.3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4"/>
  <sheetViews>
    <sheetView zoomScale="115" zoomScaleNormal="115" workbookViewId="0">
      <selection activeCell="D5" sqref="D5"/>
    </sheetView>
  </sheetViews>
  <sheetFormatPr defaultRowHeight="14.4" x14ac:dyDescent="0.3"/>
  <cols>
    <col min="1" max="1" width="6" customWidth="1"/>
    <col min="2" max="2" width="52.109375" customWidth="1"/>
    <col min="3" max="3" width="5.44140625" customWidth="1"/>
    <col min="4" max="4" width="46" customWidth="1"/>
    <col min="5" max="5" width="6.109375" customWidth="1"/>
    <col min="6" max="6" width="6.33203125" customWidth="1"/>
    <col min="7" max="7" width="15.6640625" customWidth="1"/>
    <col min="8" max="8" width="13.33203125" customWidth="1"/>
    <col min="9" max="9" width="17" customWidth="1"/>
    <col min="10" max="10" width="21.5546875" customWidth="1"/>
  </cols>
  <sheetData>
    <row r="1" spans="2:10" ht="13.95" customHeight="1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ht="28.8" x14ac:dyDescent="0.3">
      <c r="B3" s="232" t="s">
        <v>10</v>
      </c>
      <c r="C3" s="290">
        <f>ROUND(AVERAGE(C4:C14)*100,0)</f>
        <v>22</v>
      </c>
      <c r="D3" s="235" t="s">
        <v>0</v>
      </c>
      <c r="E3" s="251"/>
      <c r="F3" s="168">
        <f>AVERAGE(F4:F14)</f>
        <v>0.18181818181818182</v>
      </c>
      <c r="G3" s="571" t="s">
        <v>8</v>
      </c>
      <c r="H3" s="572"/>
      <c r="I3" s="156" t="s">
        <v>4</v>
      </c>
      <c r="J3" s="157" t="s">
        <v>13</v>
      </c>
    </row>
    <row r="4" spans="2:10" ht="43.2" x14ac:dyDescent="0.3">
      <c r="B4" s="239" t="s">
        <v>341</v>
      </c>
      <c r="C4" s="164">
        <f>AVERAGE(F4:F5, F8)</f>
        <v>0</v>
      </c>
      <c r="D4" s="215" t="s">
        <v>348</v>
      </c>
      <c r="E4" s="166" t="s">
        <v>248</v>
      </c>
      <c r="F4" s="261">
        <v>0</v>
      </c>
      <c r="G4" s="603" t="s">
        <v>428</v>
      </c>
      <c r="H4" s="604"/>
      <c r="I4" s="611" t="s">
        <v>40</v>
      </c>
      <c r="J4" s="583" t="s">
        <v>219</v>
      </c>
    </row>
    <row r="5" spans="2:10" ht="43.2" x14ac:dyDescent="0.3">
      <c r="B5" s="239" t="s">
        <v>342</v>
      </c>
      <c r="C5" s="171"/>
      <c r="D5" s="215" t="s">
        <v>360</v>
      </c>
      <c r="E5" s="166" t="s">
        <v>416</v>
      </c>
      <c r="F5" s="261">
        <v>0</v>
      </c>
      <c r="G5" s="603"/>
      <c r="H5" s="604"/>
      <c r="I5" s="611"/>
      <c r="J5" s="583"/>
    </row>
    <row r="6" spans="2:10" ht="43.2" x14ac:dyDescent="0.3">
      <c r="B6" s="239" t="s">
        <v>343</v>
      </c>
      <c r="C6" s="164">
        <f>AVERAGE(F6)</f>
        <v>0.5</v>
      </c>
      <c r="D6" s="198" t="s">
        <v>358</v>
      </c>
      <c r="E6" s="166" t="s">
        <v>407</v>
      </c>
      <c r="F6" s="260">
        <v>0.5</v>
      </c>
      <c r="G6" s="603"/>
      <c r="H6" s="604"/>
      <c r="I6" s="611"/>
      <c r="J6" s="583"/>
    </row>
    <row r="7" spans="2:10" x14ac:dyDescent="0.3">
      <c r="B7" s="239" t="s">
        <v>404</v>
      </c>
      <c r="C7" s="164">
        <f>AVERAGE(F7)</f>
        <v>0.5</v>
      </c>
      <c r="D7" s="198" t="s">
        <v>359</v>
      </c>
      <c r="E7" s="166" t="s">
        <v>408</v>
      </c>
      <c r="F7" s="260">
        <v>0.5</v>
      </c>
      <c r="G7" s="603"/>
      <c r="H7" s="604"/>
      <c r="I7" s="611"/>
      <c r="J7" s="583"/>
    </row>
    <row r="8" spans="2:10" ht="28.8" x14ac:dyDescent="0.3">
      <c r="B8" s="239" t="s">
        <v>345</v>
      </c>
      <c r="C8" s="164">
        <f>AVERAGE(F11)</f>
        <v>0.5</v>
      </c>
      <c r="D8" s="215" t="s">
        <v>361</v>
      </c>
      <c r="E8" s="166" t="s">
        <v>248</v>
      </c>
      <c r="F8" s="261">
        <v>0</v>
      </c>
      <c r="G8" s="603"/>
      <c r="H8" s="604"/>
      <c r="I8" s="611"/>
      <c r="J8" s="583"/>
    </row>
    <row r="9" spans="2:10" ht="28.8" x14ac:dyDescent="0.3">
      <c r="B9" s="239" t="s">
        <v>346</v>
      </c>
      <c r="C9" s="164">
        <f>AVERAGE(F5, F12)</f>
        <v>0</v>
      </c>
      <c r="D9" s="215" t="s">
        <v>410</v>
      </c>
      <c r="E9" s="166" t="s">
        <v>247</v>
      </c>
      <c r="F9" s="261">
        <v>0</v>
      </c>
      <c r="G9" s="603"/>
      <c r="H9" s="604"/>
      <c r="I9" s="611"/>
      <c r="J9" s="583"/>
    </row>
    <row r="10" spans="2:10" ht="28.8" x14ac:dyDescent="0.3">
      <c r="B10" s="239" t="s">
        <v>415</v>
      </c>
      <c r="C10" s="164">
        <f>AVERAGE(F13:F14)</f>
        <v>0.25</v>
      </c>
      <c r="D10" s="215" t="s">
        <v>420</v>
      </c>
      <c r="E10" s="166" t="s">
        <v>269</v>
      </c>
      <c r="F10" s="261">
        <v>0</v>
      </c>
      <c r="G10" s="603"/>
      <c r="H10" s="604"/>
      <c r="I10" s="611"/>
      <c r="J10" s="583"/>
    </row>
    <row r="11" spans="2:10" ht="43.2" x14ac:dyDescent="0.3">
      <c r="B11" s="239" t="s">
        <v>419</v>
      </c>
      <c r="C11" s="164">
        <f>AVERAGE(F10)</f>
        <v>0</v>
      </c>
      <c r="D11" s="198" t="s">
        <v>364</v>
      </c>
      <c r="E11" s="166" t="s">
        <v>352</v>
      </c>
      <c r="F11" s="260">
        <v>0.5</v>
      </c>
      <c r="G11" s="603"/>
      <c r="H11" s="604"/>
      <c r="I11" s="612"/>
      <c r="J11" s="600"/>
    </row>
    <row r="12" spans="2:10" ht="28.8" x14ac:dyDescent="0.3">
      <c r="B12" s="239" t="s">
        <v>406</v>
      </c>
      <c r="C12" s="164">
        <f>AVERAGE(F9)</f>
        <v>0</v>
      </c>
      <c r="D12" s="243" t="s">
        <v>417</v>
      </c>
      <c r="E12" s="166" t="s">
        <v>416</v>
      </c>
      <c r="F12" s="261">
        <v>0</v>
      </c>
      <c r="G12" s="603"/>
      <c r="H12" s="604"/>
      <c r="I12" s="146"/>
      <c r="J12" s="119"/>
    </row>
    <row r="13" spans="2:10" ht="28.8" x14ac:dyDescent="0.3">
      <c r="B13" s="239"/>
      <c r="C13" s="248"/>
      <c r="D13" s="243" t="s">
        <v>362</v>
      </c>
      <c r="E13" s="166" t="s">
        <v>418</v>
      </c>
      <c r="F13" s="261">
        <v>0</v>
      </c>
      <c r="G13" s="603"/>
      <c r="H13" s="604"/>
      <c r="I13" s="146"/>
      <c r="J13" s="119"/>
    </row>
    <row r="14" spans="2:10" ht="29.4" thickBot="1" x14ac:dyDescent="0.35">
      <c r="B14" s="241"/>
      <c r="C14" s="242"/>
      <c r="D14" s="233" t="s">
        <v>363</v>
      </c>
      <c r="E14" s="178" t="s">
        <v>418</v>
      </c>
      <c r="F14" s="268">
        <v>0.5</v>
      </c>
      <c r="G14" s="603"/>
      <c r="H14" s="604"/>
      <c r="I14" s="146"/>
      <c r="J14" s="119"/>
    </row>
    <row r="15" spans="2:10" ht="28.8" x14ac:dyDescent="0.3">
      <c r="B15" s="129" t="s">
        <v>9</v>
      </c>
      <c r="C15" s="152"/>
      <c r="D15" s="158" t="s">
        <v>1</v>
      </c>
      <c r="E15" s="159"/>
      <c r="F15" s="159"/>
      <c r="G15" s="605"/>
      <c r="H15" s="604"/>
      <c r="I15" s="182" t="s">
        <v>5</v>
      </c>
      <c r="J15" s="161" t="s">
        <v>14</v>
      </c>
    </row>
    <row r="16" spans="2:10" ht="72" x14ac:dyDescent="0.3">
      <c r="B16" s="234"/>
      <c r="C16" s="153"/>
      <c r="D16" s="5" t="s">
        <v>12</v>
      </c>
      <c r="E16" s="100"/>
      <c r="F16" s="100"/>
      <c r="G16" s="606"/>
      <c r="H16" s="607"/>
      <c r="I16" s="11" t="s">
        <v>42</v>
      </c>
      <c r="J16" s="163"/>
    </row>
    <row r="17" spans="2:10" x14ac:dyDescent="0.3">
      <c r="B17" s="573" t="s">
        <v>2</v>
      </c>
      <c r="C17" s="574"/>
      <c r="D17" s="574"/>
      <c r="E17" s="574"/>
      <c r="F17" s="574"/>
      <c r="G17" s="575"/>
      <c r="H17" s="576" t="s">
        <v>3</v>
      </c>
      <c r="I17" s="574"/>
      <c r="J17" s="577"/>
    </row>
    <row r="18" spans="2:10" ht="18.75" customHeight="1" thickBot="1" x14ac:dyDescent="0.35">
      <c r="B18" s="535"/>
      <c r="C18" s="536"/>
      <c r="D18" s="536"/>
      <c r="E18" s="536"/>
      <c r="F18" s="536"/>
      <c r="G18" s="537"/>
      <c r="H18" s="538"/>
      <c r="I18" s="536"/>
      <c r="J18" s="539"/>
    </row>
    <row r="20" spans="2:10" x14ac:dyDescent="0.3">
      <c r="B20" s="1" t="s">
        <v>227</v>
      </c>
      <c r="C20" s="1"/>
      <c r="D20" s="1" t="s">
        <v>223</v>
      </c>
      <c r="E20" s="136">
        <v>0</v>
      </c>
      <c r="I20" s="95"/>
    </row>
    <row r="21" spans="2:10" x14ac:dyDescent="0.3">
      <c r="B21" s="114" t="s">
        <v>228</v>
      </c>
      <c r="C21" s="114"/>
      <c r="D21" s="114" t="s">
        <v>224</v>
      </c>
      <c r="E21" s="137">
        <v>0.1</v>
      </c>
      <c r="F21" s="86"/>
      <c r="G21" s="86"/>
      <c r="H21" s="86"/>
      <c r="I21" s="97"/>
    </row>
    <row r="22" spans="2:10" x14ac:dyDescent="0.3">
      <c r="B22" s="116" t="s">
        <v>226</v>
      </c>
      <c r="C22" s="116"/>
      <c r="D22" s="115" t="s">
        <v>230</v>
      </c>
      <c r="E22" s="138">
        <v>0.5</v>
      </c>
      <c r="F22" s="88"/>
      <c r="G22" s="89"/>
      <c r="H22" s="89"/>
      <c r="I22" s="98"/>
    </row>
    <row r="23" spans="2:10" x14ac:dyDescent="0.3">
      <c r="B23" s="1"/>
      <c r="C23" s="1"/>
      <c r="D23" s="116" t="s">
        <v>229</v>
      </c>
      <c r="E23" s="139">
        <v>0.8</v>
      </c>
      <c r="G23" s="88"/>
      <c r="H23" s="88"/>
      <c r="I23" s="99"/>
    </row>
    <row r="24" spans="2:10" x14ac:dyDescent="0.3">
      <c r="B24" s="1"/>
      <c r="C24" s="1"/>
      <c r="D24" s="117" t="s">
        <v>225</v>
      </c>
      <c r="E24" s="140">
        <v>1</v>
      </c>
      <c r="G24" s="87"/>
      <c r="H24" s="87"/>
      <c r="I24" s="96"/>
    </row>
  </sheetData>
  <mergeCells count="10">
    <mergeCell ref="B17:G17"/>
    <mergeCell ref="H17:J17"/>
    <mergeCell ref="B18:G18"/>
    <mergeCell ref="H18:J18"/>
    <mergeCell ref="B2:G2"/>
    <mergeCell ref="H2:J2"/>
    <mergeCell ref="G3:H3"/>
    <mergeCell ref="G4:H16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4"/>
  <sheetViews>
    <sheetView zoomScale="115" zoomScaleNormal="115" workbookViewId="0">
      <selection activeCell="D5" sqref="D5"/>
    </sheetView>
  </sheetViews>
  <sheetFormatPr defaultRowHeight="14.4" x14ac:dyDescent="0.3"/>
  <cols>
    <col min="1" max="1" width="6" customWidth="1"/>
    <col min="2" max="2" width="52.109375" customWidth="1"/>
    <col min="3" max="3" width="5.44140625" customWidth="1"/>
    <col min="4" max="4" width="46" customWidth="1"/>
    <col min="5" max="5" width="6.109375" customWidth="1"/>
    <col min="6" max="6" width="6.33203125" customWidth="1"/>
    <col min="7" max="7" width="15.6640625" customWidth="1"/>
    <col min="8" max="8" width="13.33203125" customWidth="1"/>
    <col min="9" max="9" width="17" customWidth="1"/>
    <col min="10" max="10" width="21.5546875" customWidth="1"/>
  </cols>
  <sheetData>
    <row r="1" spans="2:10" ht="13.95" customHeight="1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ht="28.8" x14ac:dyDescent="0.3">
      <c r="B3" s="232" t="s">
        <v>10</v>
      </c>
      <c r="C3" s="290">
        <f>ROUND(AVERAGE(C4:C14)*100,0)</f>
        <v>20</v>
      </c>
      <c r="D3" s="235" t="s">
        <v>0</v>
      </c>
      <c r="E3" s="251"/>
      <c r="F3" s="168">
        <f>AVERAGE(F4:F14)</f>
        <v>0.18181818181818182</v>
      </c>
      <c r="G3" s="571" t="s">
        <v>8</v>
      </c>
      <c r="H3" s="572"/>
      <c r="I3" s="156" t="s">
        <v>4</v>
      </c>
      <c r="J3" s="157" t="s">
        <v>13</v>
      </c>
    </row>
    <row r="4" spans="2:10" ht="43.2" x14ac:dyDescent="0.3">
      <c r="B4" s="239" t="s">
        <v>341</v>
      </c>
      <c r="C4" s="164">
        <f>AVERAGE(F4, F6)</f>
        <v>0.25</v>
      </c>
      <c r="D4" s="215" t="s">
        <v>348</v>
      </c>
      <c r="E4" s="166" t="s">
        <v>248</v>
      </c>
      <c r="F4" s="261">
        <v>0</v>
      </c>
      <c r="G4" s="603" t="s">
        <v>31</v>
      </c>
      <c r="H4" s="604"/>
      <c r="I4" s="611" t="s">
        <v>40</v>
      </c>
      <c r="J4" s="583" t="s">
        <v>258</v>
      </c>
    </row>
    <row r="5" spans="2:10" ht="43.2" x14ac:dyDescent="0.3">
      <c r="B5" s="239" t="s">
        <v>342</v>
      </c>
      <c r="C5" s="171"/>
      <c r="D5" s="215" t="s">
        <v>360</v>
      </c>
      <c r="E5" s="166" t="s">
        <v>350</v>
      </c>
      <c r="F5" s="261">
        <v>0</v>
      </c>
      <c r="G5" s="603"/>
      <c r="H5" s="604"/>
      <c r="I5" s="611"/>
      <c r="J5" s="583"/>
    </row>
    <row r="6" spans="2:10" ht="43.2" x14ac:dyDescent="0.3">
      <c r="B6" s="239" t="s">
        <v>343</v>
      </c>
      <c r="C6" s="164">
        <f>AVERAGE(F7)</f>
        <v>0.5</v>
      </c>
      <c r="D6" s="198" t="s">
        <v>358</v>
      </c>
      <c r="E6" s="166" t="s">
        <v>248</v>
      </c>
      <c r="F6" s="260">
        <v>0.5</v>
      </c>
      <c r="G6" s="603"/>
      <c r="H6" s="604"/>
      <c r="I6" s="611"/>
      <c r="J6" s="583"/>
    </row>
    <row r="7" spans="2:10" x14ac:dyDescent="0.3">
      <c r="B7" s="239" t="s">
        <v>404</v>
      </c>
      <c r="C7" s="164">
        <f>AVERAGE(F8)</f>
        <v>0</v>
      </c>
      <c r="D7" s="198" t="s">
        <v>359</v>
      </c>
      <c r="E7" s="166" t="s">
        <v>407</v>
      </c>
      <c r="F7" s="260">
        <v>0.5</v>
      </c>
      <c r="G7" s="603"/>
      <c r="H7" s="604"/>
      <c r="I7" s="611"/>
      <c r="J7" s="583"/>
    </row>
    <row r="8" spans="2:10" ht="28.8" x14ac:dyDescent="0.3">
      <c r="B8" s="239" t="s">
        <v>345</v>
      </c>
      <c r="C8" s="164">
        <f>AVERAGE(F10)</f>
        <v>0.5</v>
      </c>
      <c r="D8" s="215" t="s">
        <v>361</v>
      </c>
      <c r="E8" s="166" t="s">
        <v>408</v>
      </c>
      <c r="F8" s="261">
        <v>0</v>
      </c>
      <c r="G8" s="603"/>
      <c r="H8" s="604"/>
      <c r="I8" s="611"/>
      <c r="J8" s="583"/>
    </row>
    <row r="9" spans="2:10" ht="28.8" x14ac:dyDescent="0.3">
      <c r="B9" s="239" t="s">
        <v>346</v>
      </c>
      <c r="C9" s="164">
        <f>AVERAGE(F5, F11)</f>
        <v>0</v>
      </c>
      <c r="D9" s="215" t="s">
        <v>425</v>
      </c>
      <c r="E9" s="166" t="s">
        <v>269</v>
      </c>
      <c r="F9" s="261">
        <v>0</v>
      </c>
      <c r="G9" s="603"/>
      <c r="H9" s="604"/>
      <c r="I9" s="611"/>
      <c r="J9" s="583"/>
    </row>
    <row r="10" spans="2:10" ht="43.2" x14ac:dyDescent="0.3">
      <c r="B10" s="239" t="s">
        <v>365</v>
      </c>
      <c r="C10" s="164">
        <f>AVERAGE(F12:F14)</f>
        <v>0.16666666666666666</v>
      </c>
      <c r="D10" s="198" t="s">
        <v>364</v>
      </c>
      <c r="E10" s="166" t="s">
        <v>352</v>
      </c>
      <c r="F10" s="260">
        <v>0.5</v>
      </c>
      <c r="G10" s="603"/>
      <c r="H10" s="604"/>
      <c r="I10" s="611"/>
      <c r="J10" s="583"/>
    </row>
    <row r="11" spans="2:10" ht="43.2" x14ac:dyDescent="0.3">
      <c r="B11" s="239" t="s">
        <v>429</v>
      </c>
      <c r="C11" s="164">
        <f>AVERAGE(F9)</f>
        <v>0</v>
      </c>
      <c r="D11" s="243" t="s">
        <v>417</v>
      </c>
      <c r="E11" s="166" t="s">
        <v>350</v>
      </c>
      <c r="F11" s="261">
        <v>0</v>
      </c>
      <c r="G11" s="603"/>
      <c r="H11" s="604"/>
      <c r="I11" s="612"/>
      <c r="J11" s="600"/>
    </row>
    <row r="12" spans="2:10" x14ac:dyDescent="0.3">
      <c r="B12" s="239"/>
      <c r="C12" s="164"/>
      <c r="D12" s="243" t="s">
        <v>424</v>
      </c>
      <c r="E12" s="166" t="s">
        <v>351</v>
      </c>
      <c r="F12" s="261">
        <v>0</v>
      </c>
      <c r="G12" s="603"/>
      <c r="H12" s="604"/>
      <c r="I12" s="146"/>
      <c r="J12" s="119"/>
    </row>
    <row r="13" spans="2:10" ht="28.8" x14ac:dyDescent="0.3">
      <c r="B13" s="239"/>
      <c r="C13" s="164"/>
      <c r="D13" s="243" t="s">
        <v>362</v>
      </c>
      <c r="E13" s="166" t="s">
        <v>351</v>
      </c>
      <c r="F13" s="261">
        <v>0</v>
      </c>
      <c r="G13" s="603"/>
      <c r="H13" s="604"/>
      <c r="I13" s="146"/>
      <c r="J13" s="119"/>
    </row>
    <row r="14" spans="2:10" ht="29.4" thickBot="1" x14ac:dyDescent="0.35">
      <c r="B14" s="241"/>
      <c r="C14" s="242"/>
      <c r="D14" s="233" t="s">
        <v>363</v>
      </c>
      <c r="E14" s="178" t="s">
        <v>351</v>
      </c>
      <c r="F14" s="268">
        <v>0.5</v>
      </c>
      <c r="G14" s="603"/>
      <c r="H14" s="604"/>
      <c r="I14" s="146"/>
      <c r="J14" s="119"/>
    </row>
    <row r="15" spans="2:10" ht="28.8" x14ac:dyDescent="0.3">
      <c r="B15" s="129" t="s">
        <v>9</v>
      </c>
      <c r="C15" s="152"/>
      <c r="D15" s="158" t="s">
        <v>1</v>
      </c>
      <c r="E15" s="159"/>
      <c r="F15" s="159"/>
      <c r="G15" s="605"/>
      <c r="H15" s="604"/>
      <c r="I15" s="182" t="s">
        <v>5</v>
      </c>
      <c r="J15" s="161" t="s">
        <v>14</v>
      </c>
    </row>
    <row r="16" spans="2:10" ht="72" x14ac:dyDescent="0.3">
      <c r="B16" s="234"/>
      <c r="C16" s="153"/>
      <c r="D16" s="5" t="s">
        <v>12</v>
      </c>
      <c r="E16" s="100"/>
      <c r="F16" s="100"/>
      <c r="G16" s="606"/>
      <c r="H16" s="607"/>
      <c r="I16" s="11" t="s">
        <v>42</v>
      </c>
      <c r="J16" s="163"/>
    </row>
    <row r="17" spans="2:10" x14ac:dyDescent="0.3">
      <c r="B17" s="573" t="s">
        <v>2</v>
      </c>
      <c r="C17" s="574"/>
      <c r="D17" s="574"/>
      <c r="E17" s="574"/>
      <c r="F17" s="574"/>
      <c r="G17" s="575"/>
      <c r="H17" s="576" t="s">
        <v>3</v>
      </c>
      <c r="I17" s="574"/>
      <c r="J17" s="577"/>
    </row>
    <row r="18" spans="2:10" ht="18.75" customHeight="1" thickBot="1" x14ac:dyDescent="0.35">
      <c r="B18" s="535"/>
      <c r="C18" s="536"/>
      <c r="D18" s="536"/>
      <c r="E18" s="536"/>
      <c r="F18" s="536"/>
      <c r="G18" s="537"/>
      <c r="H18" s="538"/>
      <c r="I18" s="536"/>
      <c r="J18" s="539"/>
    </row>
    <row r="20" spans="2:10" x14ac:dyDescent="0.3">
      <c r="B20" s="1" t="s">
        <v>227</v>
      </c>
      <c r="C20" s="1"/>
      <c r="D20" s="1" t="s">
        <v>223</v>
      </c>
      <c r="E20" s="136">
        <v>0</v>
      </c>
      <c r="I20" s="95"/>
    </row>
    <row r="21" spans="2:10" x14ac:dyDescent="0.3">
      <c r="B21" s="114" t="s">
        <v>228</v>
      </c>
      <c r="C21" s="114"/>
      <c r="D21" s="114" t="s">
        <v>224</v>
      </c>
      <c r="E21" s="137">
        <v>0.1</v>
      </c>
      <c r="F21" s="86"/>
      <c r="G21" s="86"/>
      <c r="H21" s="86"/>
      <c r="I21" s="97"/>
    </row>
    <row r="22" spans="2:10" x14ac:dyDescent="0.3">
      <c r="B22" s="116" t="s">
        <v>226</v>
      </c>
      <c r="C22" s="116"/>
      <c r="D22" s="115" t="s">
        <v>230</v>
      </c>
      <c r="E22" s="138">
        <v>0.5</v>
      </c>
      <c r="F22" s="88"/>
      <c r="G22" s="89"/>
      <c r="H22" s="89"/>
      <c r="I22" s="98"/>
    </row>
    <row r="23" spans="2:10" x14ac:dyDescent="0.3">
      <c r="B23" s="1"/>
      <c r="C23" s="1"/>
      <c r="D23" s="116" t="s">
        <v>229</v>
      </c>
      <c r="E23" s="139">
        <v>0.8</v>
      </c>
      <c r="G23" s="88"/>
      <c r="H23" s="88"/>
      <c r="I23" s="99"/>
    </row>
    <row r="24" spans="2:10" x14ac:dyDescent="0.3">
      <c r="B24" s="1"/>
      <c r="C24" s="1"/>
      <c r="D24" s="117" t="s">
        <v>225</v>
      </c>
      <c r="E24" s="140">
        <v>1</v>
      </c>
      <c r="G24" s="87"/>
      <c r="H24" s="87"/>
      <c r="I24" s="96"/>
    </row>
  </sheetData>
  <mergeCells count="10">
    <mergeCell ref="B17:G17"/>
    <mergeCell ref="H17:J17"/>
    <mergeCell ref="B18:G18"/>
    <mergeCell ref="H18:J18"/>
    <mergeCell ref="B2:G2"/>
    <mergeCell ref="H2:J2"/>
    <mergeCell ref="G3:H3"/>
    <mergeCell ref="G4:H16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2"/>
  <sheetViews>
    <sheetView zoomScale="115" zoomScaleNormal="115" workbookViewId="0">
      <selection activeCell="D5" sqref="D5"/>
    </sheetView>
  </sheetViews>
  <sheetFormatPr defaultRowHeight="14.4" x14ac:dyDescent="0.3"/>
  <cols>
    <col min="2" max="2" width="35.109375" customWidth="1"/>
    <col min="3" max="3" width="6.109375" customWidth="1"/>
    <col min="4" max="4" width="30.5546875" customWidth="1"/>
    <col min="5" max="5" width="6.109375" customWidth="1"/>
    <col min="6" max="6" width="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x14ac:dyDescent="0.3">
      <c r="B3" s="232" t="s">
        <v>10</v>
      </c>
      <c r="C3" s="290">
        <f>ROUND(AVERAGE(C4:C11)*100,0)</f>
        <v>31</v>
      </c>
      <c r="D3" s="235" t="s">
        <v>0</v>
      </c>
      <c r="E3" s="251"/>
      <c r="F3" s="168">
        <f>AVERAGE(F4:F11)</f>
        <v>0.28749999999999998</v>
      </c>
      <c r="G3" s="571" t="s">
        <v>8</v>
      </c>
      <c r="H3" s="572"/>
      <c r="I3" s="156" t="s">
        <v>4</v>
      </c>
      <c r="J3" s="157" t="s">
        <v>13</v>
      </c>
    </row>
    <row r="4" spans="2:10" ht="28.8" x14ac:dyDescent="0.3">
      <c r="B4" s="218" t="s">
        <v>430</v>
      </c>
      <c r="C4" s="164">
        <f>AVERAGE(F7,F4)</f>
        <v>0.4</v>
      </c>
      <c r="D4" s="218" t="s">
        <v>249</v>
      </c>
      <c r="E4" s="166" t="s">
        <v>248</v>
      </c>
      <c r="F4" s="267">
        <v>0.8</v>
      </c>
      <c r="G4" s="593" t="s">
        <v>221</v>
      </c>
      <c r="H4" s="594"/>
      <c r="I4" s="598" t="s">
        <v>232</v>
      </c>
      <c r="J4" s="583" t="s">
        <v>259</v>
      </c>
    </row>
    <row r="5" spans="2:10" ht="43.2" x14ac:dyDescent="0.3">
      <c r="B5" s="218" t="s">
        <v>431</v>
      </c>
      <c r="C5" s="164">
        <f>AVERAGE(F5)</f>
        <v>0</v>
      </c>
      <c r="D5" s="215" t="s">
        <v>387</v>
      </c>
      <c r="E5" s="166" t="s">
        <v>267</v>
      </c>
      <c r="F5" s="261">
        <v>0</v>
      </c>
      <c r="G5" s="593"/>
      <c r="H5" s="594"/>
      <c r="I5" s="598"/>
      <c r="J5" s="583"/>
    </row>
    <row r="6" spans="2:10" ht="43.2" x14ac:dyDescent="0.3">
      <c r="B6" s="218" t="s">
        <v>432</v>
      </c>
      <c r="C6" s="164">
        <f>AVERAGE(F6)</f>
        <v>0</v>
      </c>
      <c r="D6" s="215" t="s">
        <v>273</v>
      </c>
      <c r="E6" s="166" t="s">
        <v>269</v>
      </c>
      <c r="F6" s="261">
        <v>0</v>
      </c>
      <c r="G6" s="593"/>
      <c r="H6" s="594"/>
      <c r="I6" s="598"/>
      <c r="J6" s="583"/>
    </row>
    <row r="7" spans="2:10" ht="43.2" x14ac:dyDescent="0.3">
      <c r="B7" s="218" t="s">
        <v>433</v>
      </c>
      <c r="C7" s="164">
        <f>AVERAGE(F8)</f>
        <v>0.5</v>
      </c>
      <c r="D7" s="215" t="s">
        <v>250</v>
      </c>
      <c r="E7" s="166" t="s">
        <v>248</v>
      </c>
      <c r="F7" s="261">
        <v>0</v>
      </c>
      <c r="G7" s="593"/>
      <c r="H7" s="594"/>
      <c r="I7" s="598"/>
      <c r="J7" s="583"/>
    </row>
    <row r="8" spans="2:10" ht="43.2" x14ac:dyDescent="0.3">
      <c r="B8" s="218" t="s">
        <v>434</v>
      </c>
      <c r="C8" s="164">
        <f>AVERAGE(F9)</f>
        <v>0.5</v>
      </c>
      <c r="D8" s="196" t="s">
        <v>500</v>
      </c>
      <c r="E8" s="166" t="s">
        <v>247</v>
      </c>
      <c r="F8" s="260">
        <v>0.5</v>
      </c>
      <c r="G8" s="593"/>
      <c r="H8" s="594"/>
      <c r="I8" s="598"/>
      <c r="J8" s="583"/>
    </row>
    <row r="9" spans="2:10" ht="43.2" x14ac:dyDescent="0.3">
      <c r="B9" s="218" t="s">
        <v>300</v>
      </c>
      <c r="C9" s="164">
        <f>AVERAGE(F10:F11)</f>
        <v>0.25</v>
      </c>
      <c r="D9" s="196" t="s">
        <v>501</v>
      </c>
      <c r="E9" s="166" t="s">
        <v>270</v>
      </c>
      <c r="F9" s="260">
        <v>0.5</v>
      </c>
      <c r="G9" s="593"/>
      <c r="H9" s="594"/>
      <c r="I9" s="598"/>
      <c r="J9" s="583"/>
    </row>
    <row r="10" spans="2:10" ht="28.8" x14ac:dyDescent="0.3">
      <c r="B10" s="218" t="s">
        <v>435</v>
      </c>
      <c r="C10" s="164">
        <f t="shared" ref="C10" si="0">AVERAGE(F11)</f>
        <v>0.5</v>
      </c>
      <c r="D10" s="215" t="s">
        <v>306</v>
      </c>
      <c r="E10" s="166" t="s">
        <v>268</v>
      </c>
      <c r="F10" s="261">
        <v>0</v>
      </c>
      <c r="G10" s="593"/>
      <c r="H10" s="594"/>
      <c r="I10" s="598"/>
      <c r="J10" s="583"/>
    </row>
    <row r="11" spans="2:10" ht="75" customHeight="1" thickBot="1" x14ac:dyDescent="0.35">
      <c r="B11" s="219"/>
      <c r="C11" s="192"/>
      <c r="D11" s="216" t="s">
        <v>307</v>
      </c>
      <c r="E11" s="178" t="s">
        <v>502</v>
      </c>
      <c r="F11" s="268">
        <v>0.5</v>
      </c>
      <c r="G11" s="593"/>
      <c r="H11" s="594"/>
      <c r="I11" s="599"/>
      <c r="J11" s="600"/>
    </row>
    <row r="12" spans="2:10" x14ac:dyDescent="0.3">
      <c r="B12" s="189" t="s">
        <v>9</v>
      </c>
      <c r="C12" s="143"/>
      <c r="D12" s="194" t="s">
        <v>1</v>
      </c>
      <c r="E12" s="186"/>
      <c r="F12" s="186"/>
      <c r="G12" s="595"/>
      <c r="H12" s="594"/>
      <c r="I12" s="182" t="s">
        <v>5</v>
      </c>
      <c r="J12" s="161" t="s">
        <v>14</v>
      </c>
    </row>
    <row r="13" spans="2:10" ht="57.6" x14ac:dyDescent="0.3">
      <c r="B13" s="187"/>
      <c r="C13" s="188"/>
      <c r="D13" s="19" t="s">
        <v>20</v>
      </c>
      <c r="E13" s="92"/>
      <c r="F13" s="92"/>
      <c r="G13" s="596"/>
      <c r="H13" s="597"/>
      <c r="I13" s="5" t="s">
        <v>18</v>
      </c>
      <c r="J13" s="163"/>
    </row>
    <row r="14" spans="2:10" x14ac:dyDescent="0.3">
      <c r="B14" s="573" t="s">
        <v>2</v>
      </c>
      <c r="C14" s="574"/>
      <c r="D14" s="574"/>
      <c r="E14" s="574"/>
      <c r="F14" s="574"/>
      <c r="G14" s="575"/>
      <c r="H14" s="576" t="s">
        <v>3</v>
      </c>
      <c r="I14" s="574"/>
      <c r="J14" s="577"/>
    </row>
    <row r="15" spans="2:10" ht="14.25" customHeight="1" thickBot="1" x14ac:dyDescent="0.35">
      <c r="B15" s="535"/>
      <c r="C15" s="536"/>
      <c r="D15" s="536"/>
      <c r="E15" s="536"/>
      <c r="F15" s="536"/>
      <c r="G15" s="537"/>
      <c r="H15" s="538"/>
      <c r="I15" s="536"/>
      <c r="J15" s="539"/>
    </row>
    <row r="17" spans="2:7" x14ac:dyDescent="0.3">
      <c r="B17" s="1" t="s">
        <v>227</v>
      </c>
      <c r="C17" s="1"/>
      <c r="D17" s="1" t="s">
        <v>223</v>
      </c>
      <c r="E17" s="136">
        <v>0</v>
      </c>
      <c r="F17" s="103"/>
      <c r="G17" s="95"/>
    </row>
    <row r="18" spans="2:7" x14ac:dyDescent="0.3">
      <c r="B18" s="114" t="s">
        <v>228</v>
      </c>
      <c r="C18" s="114"/>
      <c r="D18" s="114" t="s">
        <v>224</v>
      </c>
      <c r="E18" s="137">
        <v>0.1</v>
      </c>
      <c r="F18" s="104"/>
      <c r="G18" s="97"/>
    </row>
    <row r="19" spans="2:7" x14ac:dyDescent="0.3">
      <c r="B19" s="116" t="s">
        <v>226</v>
      </c>
      <c r="C19" s="116"/>
      <c r="D19" s="115" t="s">
        <v>230</v>
      </c>
      <c r="E19" s="138">
        <v>0.5</v>
      </c>
      <c r="F19" s="105"/>
      <c r="G19" s="98"/>
    </row>
    <row r="20" spans="2:7" x14ac:dyDescent="0.3">
      <c r="B20" s="1"/>
      <c r="C20" s="1"/>
      <c r="D20" s="116" t="s">
        <v>229</v>
      </c>
      <c r="E20" s="139">
        <v>0.8</v>
      </c>
      <c r="F20" s="102"/>
      <c r="G20" s="99"/>
    </row>
    <row r="21" spans="2:7" x14ac:dyDescent="0.3">
      <c r="B21" s="1"/>
      <c r="C21" s="1"/>
      <c r="D21" s="117" t="s">
        <v>225</v>
      </c>
      <c r="E21" s="140">
        <v>1</v>
      </c>
      <c r="F21" s="106"/>
      <c r="G21" s="96"/>
    </row>
    <row r="22" spans="2:7" x14ac:dyDescent="0.3">
      <c r="D22" s="87"/>
      <c r="E22" s="87"/>
      <c r="F22" s="87"/>
    </row>
  </sheetData>
  <mergeCells count="10">
    <mergeCell ref="B15:G15"/>
    <mergeCell ref="H15:J15"/>
    <mergeCell ref="B2:G2"/>
    <mergeCell ref="H2:J2"/>
    <mergeCell ref="G3:H3"/>
    <mergeCell ref="B14:G14"/>
    <mergeCell ref="H14:J14"/>
    <mergeCell ref="G4:H13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2"/>
  <sheetViews>
    <sheetView zoomScaleNormal="100" workbookViewId="0">
      <selection activeCell="D5" sqref="D5"/>
    </sheetView>
  </sheetViews>
  <sheetFormatPr defaultRowHeight="14.4" x14ac:dyDescent="0.3"/>
  <cols>
    <col min="2" max="2" width="50.5546875" customWidth="1"/>
    <col min="3" max="3" width="7.5546875" customWidth="1"/>
    <col min="4" max="4" width="58" customWidth="1"/>
    <col min="5" max="5" width="6.33203125" customWidth="1"/>
    <col min="6" max="6" width="5.5546875" customWidth="1"/>
    <col min="7" max="8" width="15.6640625" customWidth="1"/>
    <col min="9" max="9" width="16.6640625" customWidth="1"/>
    <col min="10" max="10" width="18.332031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ht="28.8" x14ac:dyDescent="0.3">
      <c r="B3" s="232" t="s">
        <v>243</v>
      </c>
      <c r="C3" s="290">
        <f>ROUND(AVERAGE(C4:C12)*100,0)</f>
        <v>29</v>
      </c>
      <c r="D3" s="235" t="s">
        <v>0</v>
      </c>
      <c r="E3" s="251"/>
      <c r="F3" s="168">
        <f>AVERAGE(F4:F12)</f>
        <v>0.25555555555555554</v>
      </c>
      <c r="G3" s="571" t="s">
        <v>8</v>
      </c>
      <c r="H3" s="572"/>
      <c r="I3" s="156" t="s">
        <v>4</v>
      </c>
      <c r="J3" s="157" t="s">
        <v>13</v>
      </c>
    </row>
    <row r="4" spans="2:10" ht="28.8" x14ac:dyDescent="0.3">
      <c r="B4" s="180" t="s">
        <v>436</v>
      </c>
      <c r="C4" s="164">
        <f>AVERAGE(F4)</f>
        <v>0.8</v>
      </c>
      <c r="D4" s="218" t="s">
        <v>503</v>
      </c>
      <c r="E4" s="275" t="s">
        <v>248</v>
      </c>
      <c r="F4" s="267">
        <v>0.8</v>
      </c>
      <c r="G4" s="603" t="s">
        <v>220</v>
      </c>
      <c r="H4" s="604"/>
      <c r="I4" s="611" t="s">
        <v>40</v>
      </c>
      <c r="J4" s="583" t="s">
        <v>255</v>
      </c>
    </row>
    <row r="5" spans="2:10" ht="28.8" x14ac:dyDescent="0.3">
      <c r="B5" s="239" t="s">
        <v>342</v>
      </c>
      <c r="C5" s="171"/>
      <c r="D5" s="198" t="s">
        <v>358</v>
      </c>
      <c r="E5" s="275" t="s">
        <v>407</v>
      </c>
      <c r="F5" s="260">
        <v>0.5</v>
      </c>
      <c r="G5" s="603"/>
      <c r="H5" s="604"/>
      <c r="I5" s="611"/>
      <c r="J5" s="583"/>
    </row>
    <row r="6" spans="2:10" ht="28.8" x14ac:dyDescent="0.3">
      <c r="B6" s="239" t="s">
        <v>343</v>
      </c>
      <c r="C6" s="164">
        <f>AVERAGE(F5)</f>
        <v>0.5</v>
      </c>
      <c r="D6" s="215" t="s">
        <v>360</v>
      </c>
      <c r="E6" s="275" t="s">
        <v>352</v>
      </c>
      <c r="F6" s="261">
        <v>0</v>
      </c>
      <c r="G6" s="603"/>
      <c r="H6" s="604"/>
      <c r="I6" s="611"/>
      <c r="J6" s="583"/>
    </row>
    <row r="7" spans="2:10" ht="28.8" x14ac:dyDescent="0.3">
      <c r="B7" s="239" t="s">
        <v>439</v>
      </c>
      <c r="C7" s="164">
        <f>AVERAGE(F12)</f>
        <v>0.5</v>
      </c>
      <c r="D7" s="215" t="s">
        <v>417</v>
      </c>
      <c r="E7" s="275" t="s">
        <v>352</v>
      </c>
      <c r="F7" s="261">
        <v>0</v>
      </c>
      <c r="G7" s="603"/>
      <c r="H7" s="604"/>
      <c r="I7" s="611"/>
      <c r="J7" s="583"/>
    </row>
    <row r="8" spans="2:10" ht="28.8" x14ac:dyDescent="0.3">
      <c r="B8" s="239" t="s">
        <v>438</v>
      </c>
      <c r="C8" s="164">
        <f>AVERAGE(F6:F7)</f>
        <v>0</v>
      </c>
      <c r="D8" s="215" t="s">
        <v>362</v>
      </c>
      <c r="E8" s="275" t="s">
        <v>350</v>
      </c>
      <c r="F8" s="261">
        <v>0</v>
      </c>
      <c r="G8" s="603"/>
      <c r="H8" s="604"/>
      <c r="I8" s="611"/>
      <c r="J8" s="583"/>
    </row>
    <row r="9" spans="2:10" ht="28.8" x14ac:dyDescent="0.3">
      <c r="B9" s="239" t="s">
        <v>437</v>
      </c>
      <c r="C9" s="164">
        <f>AVERAGE(F8, F9)</f>
        <v>0.25</v>
      </c>
      <c r="D9" s="198" t="s">
        <v>363</v>
      </c>
      <c r="E9" s="275" t="s">
        <v>350</v>
      </c>
      <c r="F9" s="260">
        <v>0.5</v>
      </c>
      <c r="G9" s="603"/>
      <c r="H9" s="604"/>
      <c r="I9" s="611"/>
      <c r="J9" s="583"/>
    </row>
    <row r="10" spans="2:10" ht="28.8" x14ac:dyDescent="0.3">
      <c r="B10" s="239" t="s">
        <v>419</v>
      </c>
      <c r="C10" s="164">
        <f>AVERAGE(F10)</f>
        <v>0</v>
      </c>
      <c r="D10" s="215" t="s">
        <v>420</v>
      </c>
      <c r="E10" s="275" t="s">
        <v>269</v>
      </c>
      <c r="F10" s="261">
        <v>0</v>
      </c>
      <c r="G10" s="603"/>
      <c r="H10" s="604"/>
      <c r="I10" s="611"/>
      <c r="J10" s="583"/>
    </row>
    <row r="11" spans="2:10" ht="28.8" x14ac:dyDescent="0.3">
      <c r="B11" s="239" t="s">
        <v>406</v>
      </c>
      <c r="C11" s="164">
        <f>AVERAGE(F11)</f>
        <v>0</v>
      </c>
      <c r="D11" s="215" t="s">
        <v>410</v>
      </c>
      <c r="E11" s="275" t="s">
        <v>247</v>
      </c>
      <c r="F11" s="261">
        <v>0</v>
      </c>
      <c r="G11" s="603"/>
      <c r="H11" s="604"/>
      <c r="I11" s="611"/>
      <c r="J11" s="583"/>
    </row>
    <row r="12" spans="2:10" ht="29.4" thickBot="1" x14ac:dyDescent="0.35">
      <c r="B12" s="241"/>
      <c r="C12" s="242"/>
      <c r="D12" s="276" t="s">
        <v>364</v>
      </c>
      <c r="E12" s="277" t="s">
        <v>408</v>
      </c>
      <c r="F12" s="268">
        <v>0.5</v>
      </c>
      <c r="G12" s="603"/>
      <c r="H12" s="604"/>
      <c r="I12" s="612"/>
      <c r="J12" s="600"/>
    </row>
    <row r="13" spans="2:10" ht="28.8" x14ac:dyDescent="0.3">
      <c r="B13" s="129" t="s">
        <v>9</v>
      </c>
      <c r="C13" s="152"/>
      <c r="D13" s="158" t="s">
        <v>1</v>
      </c>
      <c r="E13" s="159"/>
      <c r="F13" s="159"/>
      <c r="G13" s="605"/>
      <c r="H13" s="604"/>
      <c r="I13" s="182" t="s">
        <v>5</v>
      </c>
      <c r="J13" s="161" t="s">
        <v>14</v>
      </c>
    </row>
    <row r="14" spans="2:10" ht="72" x14ac:dyDescent="0.3">
      <c r="B14" s="234"/>
      <c r="C14" s="153"/>
      <c r="D14" s="5" t="s">
        <v>12</v>
      </c>
      <c r="E14" s="100"/>
      <c r="F14" s="100"/>
      <c r="G14" s="606"/>
      <c r="H14" s="607"/>
      <c r="I14" s="11" t="s">
        <v>42</v>
      </c>
      <c r="J14" s="163"/>
    </row>
    <row r="15" spans="2:10" x14ac:dyDescent="0.3">
      <c r="B15" s="573" t="s">
        <v>2</v>
      </c>
      <c r="C15" s="574"/>
      <c r="D15" s="574"/>
      <c r="E15" s="574"/>
      <c r="F15" s="574"/>
      <c r="G15" s="575"/>
      <c r="H15" s="576" t="s">
        <v>3</v>
      </c>
      <c r="I15" s="574"/>
      <c r="J15" s="577"/>
    </row>
    <row r="16" spans="2:10" ht="15.75" customHeight="1" thickBot="1" x14ac:dyDescent="0.35">
      <c r="B16" s="535"/>
      <c r="C16" s="536"/>
      <c r="D16" s="536"/>
      <c r="E16" s="536"/>
      <c r="F16" s="536"/>
      <c r="G16" s="537"/>
      <c r="H16" s="538"/>
      <c r="I16" s="536"/>
      <c r="J16" s="539"/>
    </row>
    <row r="18" spans="2:7" x14ac:dyDescent="0.3">
      <c r="B18" s="1" t="s">
        <v>227</v>
      </c>
      <c r="C18" s="1"/>
      <c r="D18" s="121" t="s">
        <v>223</v>
      </c>
      <c r="E18" s="136">
        <v>0</v>
      </c>
      <c r="F18" s="103"/>
      <c r="G18" s="95"/>
    </row>
    <row r="19" spans="2:7" x14ac:dyDescent="0.3">
      <c r="B19" s="114" t="s">
        <v>228</v>
      </c>
      <c r="C19" s="114"/>
      <c r="D19" s="122" t="s">
        <v>224</v>
      </c>
      <c r="E19" s="137">
        <v>0.1</v>
      </c>
      <c r="F19" s="104"/>
      <c r="G19" s="97"/>
    </row>
    <row r="20" spans="2:7" x14ac:dyDescent="0.3">
      <c r="B20" s="116" t="s">
        <v>226</v>
      </c>
      <c r="C20" s="116"/>
      <c r="D20" s="123" t="s">
        <v>230</v>
      </c>
      <c r="E20" s="138">
        <v>0.5</v>
      </c>
      <c r="F20" s="105"/>
      <c r="G20" s="98"/>
    </row>
    <row r="21" spans="2:7" x14ac:dyDescent="0.3">
      <c r="B21" s="1"/>
      <c r="C21" s="1"/>
      <c r="D21" s="107" t="s">
        <v>229</v>
      </c>
      <c r="E21" s="139">
        <v>0.8</v>
      </c>
      <c r="F21" s="102"/>
      <c r="G21" s="99"/>
    </row>
    <row r="22" spans="2:7" x14ac:dyDescent="0.3">
      <c r="B22" s="1"/>
      <c r="C22" s="1"/>
      <c r="D22" s="124" t="s">
        <v>225</v>
      </c>
      <c r="E22" s="140">
        <v>1</v>
      </c>
      <c r="F22" s="106"/>
      <c r="G22" s="96"/>
    </row>
  </sheetData>
  <mergeCells count="10">
    <mergeCell ref="B16:G16"/>
    <mergeCell ref="H16:J16"/>
    <mergeCell ref="B2:G2"/>
    <mergeCell ref="H2:J2"/>
    <mergeCell ref="G3:H3"/>
    <mergeCell ref="B15:G15"/>
    <mergeCell ref="H15:J15"/>
    <mergeCell ref="G4:H14"/>
    <mergeCell ref="I4:I12"/>
    <mergeCell ref="J4:J12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3"/>
  <sheetViews>
    <sheetView zoomScaleNormal="100" workbookViewId="0">
      <selection activeCell="D5" sqref="D5"/>
    </sheetView>
  </sheetViews>
  <sheetFormatPr defaultRowHeight="14.4" x14ac:dyDescent="0.3"/>
  <cols>
    <col min="2" max="2" width="64.33203125" customWidth="1"/>
    <col min="3" max="3" width="6.88671875" customWidth="1"/>
    <col min="4" max="4" width="65.6640625" customWidth="1"/>
    <col min="5" max="6" width="7.5546875" customWidth="1"/>
    <col min="7" max="7" width="15.6640625" customWidth="1"/>
    <col min="8" max="8" width="13.109375" customWidth="1"/>
    <col min="9" max="9" width="14.88671875" customWidth="1"/>
    <col min="10" max="10" width="21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ht="31.5" customHeight="1" x14ac:dyDescent="0.3">
      <c r="B3" s="232" t="s">
        <v>10</v>
      </c>
      <c r="C3" s="290">
        <f>ROUND(AVERAGE(C4:C13)*100,0)</f>
        <v>24</v>
      </c>
      <c r="D3" s="235" t="s">
        <v>0</v>
      </c>
      <c r="E3" s="251"/>
      <c r="F3" s="168">
        <f>AVERAGE(F4:F13)</f>
        <v>0.2</v>
      </c>
      <c r="G3" s="571" t="s">
        <v>8</v>
      </c>
      <c r="H3" s="572"/>
      <c r="I3" s="156" t="s">
        <v>4</v>
      </c>
      <c r="J3" s="157" t="s">
        <v>13</v>
      </c>
    </row>
    <row r="4" spans="2:10" ht="43.2" x14ac:dyDescent="0.3">
      <c r="B4" s="239" t="s">
        <v>440</v>
      </c>
      <c r="C4" s="164">
        <f>AVERAGE(F4,F9)</f>
        <v>0.5</v>
      </c>
      <c r="D4" s="198" t="s">
        <v>358</v>
      </c>
      <c r="E4" s="166" t="s">
        <v>248</v>
      </c>
      <c r="F4" s="260">
        <v>0.5</v>
      </c>
      <c r="G4" s="603" t="s">
        <v>32</v>
      </c>
      <c r="H4" s="604"/>
      <c r="I4" s="582" t="s">
        <v>336</v>
      </c>
      <c r="J4" s="583" t="s">
        <v>256</v>
      </c>
    </row>
    <row r="5" spans="2:10" ht="28.8" x14ac:dyDescent="0.3">
      <c r="B5" s="239" t="s">
        <v>342</v>
      </c>
      <c r="C5" s="171"/>
      <c r="D5" s="215" t="s">
        <v>360</v>
      </c>
      <c r="E5" s="166" t="s">
        <v>350</v>
      </c>
      <c r="F5" s="261">
        <v>0</v>
      </c>
      <c r="G5" s="603"/>
      <c r="H5" s="604"/>
      <c r="I5" s="582"/>
      <c r="J5" s="583"/>
    </row>
    <row r="6" spans="2:10" x14ac:dyDescent="0.3">
      <c r="B6" s="239" t="s">
        <v>343</v>
      </c>
      <c r="C6" s="164">
        <f>AVERAGE(F6)</f>
        <v>0.5</v>
      </c>
      <c r="D6" s="198" t="s">
        <v>359</v>
      </c>
      <c r="E6" s="166" t="s">
        <v>407</v>
      </c>
      <c r="F6" s="260">
        <v>0.5</v>
      </c>
      <c r="G6" s="603"/>
      <c r="H6" s="604"/>
      <c r="I6" s="582"/>
      <c r="J6" s="583"/>
    </row>
    <row r="7" spans="2:10" x14ac:dyDescent="0.3">
      <c r="B7" s="239" t="s">
        <v>404</v>
      </c>
      <c r="C7" s="164">
        <f>AVERAGE(F7)</f>
        <v>0</v>
      </c>
      <c r="D7" s="215" t="s">
        <v>361</v>
      </c>
      <c r="E7" s="166" t="s">
        <v>408</v>
      </c>
      <c r="F7" s="261">
        <v>0</v>
      </c>
      <c r="G7" s="603"/>
      <c r="H7" s="604"/>
      <c r="I7" s="582"/>
      <c r="J7" s="583"/>
    </row>
    <row r="8" spans="2:10" ht="28.8" x14ac:dyDescent="0.3">
      <c r="B8" s="239" t="s">
        <v>345</v>
      </c>
      <c r="C8" s="164">
        <f>AVERAGE(F9)</f>
        <v>0.5</v>
      </c>
      <c r="D8" s="215" t="s">
        <v>425</v>
      </c>
      <c r="E8" s="166" t="s">
        <v>269</v>
      </c>
      <c r="F8" s="261">
        <v>0</v>
      </c>
      <c r="G8" s="603"/>
      <c r="H8" s="604"/>
      <c r="I8" s="582"/>
      <c r="J8" s="583"/>
    </row>
    <row r="9" spans="2:10" ht="28.8" x14ac:dyDescent="0.3">
      <c r="B9" s="239" t="s">
        <v>346</v>
      </c>
      <c r="C9" s="164">
        <f>AVERAGE(F5, F10)</f>
        <v>0</v>
      </c>
      <c r="D9" s="198" t="s">
        <v>364</v>
      </c>
      <c r="E9" s="166" t="s">
        <v>441</v>
      </c>
      <c r="F9" s="260">
        <v>0.5</v>
      </c>
      <c r="G9" s="603"/>
      <c r="H9" s="604"/>
      <c r="I9" s="582"/>
      <c r="J9" s="583"/>
    </row>
    <row r="10" spans="2:10" x14ac:dyDescent="0.3">
      <c r="B10" s="239" t="s">
        <v>365</v>
      </c>
      <c r="C10" s="164">
        <f>AVERAGE(F11:F13)</f>
        <v>0.16666666666666666</v>
      </c>
      <c r="D10" s="243" t="s">
        <v>417</v>
      </c>
      <c r="E10" s="166" t="s">
        <v>350</v>
      </c>
      <c r="F10" s="261">
        <v>0</v>
      </c>
      <c r="G10" s="603"/>
      <c r="H10" s="604"/>
      <c r="I10" s="582"/>
      <c r="J10" s="583"/>
    </row>
    <row r="11" spans="2:10" ht="28.8" x14ac:dyDescent="0.3">
      <c r="B11" s="239" t="s">
        <v>429</v>
      </c>
      <c r="C11" s="164">
        <f>AVERAGE(F8)</f>
        <v>0</v>
      </c>
      <c r="D11" s="243" t="s">
        <v>424</v>
      </c>
      <c r="E11" s="166" t="s">
        <v>351</v>
      </c>
      <c r="F11" s="261">
        <v>0</v>
      </c>
      <c r="G11" s="603"/>
      <c r="H11" s="604"/>
      <c r="I11" s="582"/>
      <c r="J11" s="583"/>
    </row>
    <row r="12" spans="2:10" ht="28.8" x14ac:dyDescent="0.3">
      <c r="B12" s="239"/>
      <c r="C12" s="164"/>
      <c r="D12" s="243" t="s">
        <v>362</v>
      </c>
      <c r="E12" s="166" t="s">
        <v>351</v>
      </c>
      <c r="F12" s="261">
        <v>0</v>
      </c>
      <c r="G12" s="603"/>
      <c r="H12" s="604"/>
      <c r="I12" s="582"/>
      <c r="J12" s="583"/>
    </row>
    <row r="13" spans="2:10" ht="15" thickBot="1" x14ac:dyDescent="0.35">
      <c r="B13" s="241"/>
      <c r="C13" s="165"/>
      <c r="D13" s="233" t="s">
        <v>363</v>
      </c>
      <c r="E13" s="178" t="s">
        <v>351</v>
      </c>
      <c r="F13" s="268">
        <v>0.5</v>
      </c>
      <c r="G13" s="603"/>
      <c r="H13" s="604"/>
      <c r="I13" s="582"/>
      <c r="J13" s="583"/>
    </row>
    <row r="14" spans="2:10" ht="28.8" x14ac:dyDescent="0.3">
      <c r="B14" s="129" t="s">
        <v>9</v>
      </c>
      <c r="C14" s="152"/>
      <c r="D14" s="158" t="s">
        <v>1</v>
      </c>
      <c r="E14" s="159"/>
      <c r="F14" s="159"/>
      <c r="G14" s="605"/>
      <c r="H14" s="604"/>
      <c r="I14" s="182" t="s">
        <v>5</v>
      </c>
      <c r="J14" s="161" t="s">
        <v>14</v>
      </c>
    </row>
    <row r="15" spans="2:10" ht="28.8" x14ac:dyDescent="0.3">
      <c r="B15" s="234"/>
      <c r="C15" s="153"/>
      <c r="D15" s="5" t="s">
        <v>12</v>
      </c>
      <c r="E15" s="100"/>
      <c r="F15" s="100"/>
      <c r="G15" s="606"/>
      <c r="H15" s="607"/>
      <c r="I15" s="11"/>
      <c r="J15" s="163"/>
    </row>
    <row r="16" spans="2:10" x14ac:dyDescent="0.3">
      <c r="B16" s="573" t="s">
        <v>2</v>
      </c>
      <c r="C16" s="574"/>
      <c r="D16" s="574"/>
      <c r="E16" s="574"/>
      <c r="F16" s="574"/>
      <c r="G16" s="575"/>
      <c r="H16" s="576" t="s">
        <v>3</v>
      </c>
      <c r="I16" s="574"/>
      <c r="J16" s="577"/>
    </row>
    <row r="17" spans="2:10" ht="12.75" customHeight="1" thickBot="1" x14ac:dyDescent="0.35">
      <c r="B17" s="535"/>
      <c r="C17" s="536"/>
      <c r="D17" s="536"/>
      <c r="E17" s="536"/>
      <c r="F17" s="536"/>
      <c r="G17" s="537"/>
      <c r="H17" s="538"/>
      <c r="I17" s="536"/>
      <c r="J17" s="539"/>
    </row>
    <row r="19" spans="2:10" x14ac:dyDescent="0.3">
      <c r="B19" s="1" t="s">
        <v>227</v>
      </c>
      <c r="C19" s="1"/>
      <c r="D19" s="121" t="s">
        <v>223</v>
      </c>
      <c r="E19" s="136">
        <v>0</v>
      </c>
      <c r="F19" s="103"/>
      <c r="G19" s="95"/>
    </row>
    <row r="20" spans="2:10" x14ac:dyDescent="0.3">
      <c r="B20" s="114" t="s">
        <v>228</v>
      </c>
      <c r="C20" s="114"/>
      <c r="D20" s="122" t="s">
        <v>224</v>
      </c>
      <c r="E20" s="137">
        <v>0.1</v>
      </c>
      <c r="F20" s="104"/>
      <c r="G20" s="97"/>
    </row>
    <row r="21" spans="2:10" x14ac:dyDescent="0.3">
      <c r="B21" s="116" t="s">
        <v>226</v>
      </c>
      <c r="C21" s="116"/>
      <c r="D21" s="123" t="s">
        <v>230</v>
      </c>
      <c r="E21" s="138">
        <v>0.5</v>
      </c>
      <c r="F21" s="105"/>
      <c r="G21" s="98"/>
    </row>
    <row r="22" spans="2:10" x14ac:dyDescent="0.3">
      <c r="B22" s="1"/>
      <c r="C22" s="1"/>
      <c r="D22" s="107" t="s">
        <v>229</v>
      </c>
      <c r="E22" s="139">
        <v>0.8</v>
      </c>
      <c r="F22" s="102"/>
      <c r="G22" s="99"/>
    </row>
    <row r="23" spans="2:10" x14ac:dyDescent="0.3">
      <c r="B23" s="1"/>
      <c r="C23" s="1"/>
      <c r="D23" s="124" t="s">
        <v>225</v>
      </c>
      <c r="E23" s="140">
        <v>1</v>
      </c>
      <c r="F23" s="106"/>
      <c r="G23" s="96"/>
    </row>
  </sheetData>
  <mergeCells count="10">
    <mergeCell ref="B17:G17"/>
    <mergeCell ref="H17:J17"/>
    <mergeCell ref="B2:G2"/>
    <mergeCell ref="H2:J2"/>
    <mergeCell ref="G3:H3"/>
    <mergeCell ref="B16:G16"/>
    <mergeCell ref="H16:J16"/>
    <mergeCell ref="G4:H15"/>
    <mergeCell ref="I4:I13"/>
    <mergeCell ref="J4:J13"/>
  </mergeCells>
  <pageMargins left="0.7" right="0.7" top="0.75" bottom="0.75" header="0.3" footer="0.3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9"/>
  <sheetViews>
    <sheetView zoomScaleNormal="100" workbookViewId="0">
      <selection activeCell="D5" sqref="D5"/>
    </sheetView>
  </sheetViews>
  <sheetFormatPr defaultRowHeight="14.4" x14ac:dyDescent="0.3"/>
  <cols>
    <col min="2" max="2" width="48.5546875" customWidth="1"/>
    <col min="3" max="3" width="5.33203125" customWidth="1"/>
    <col min="4" max="4" width="48" customWidth="1"/>
    <col min="5" max="5" width="6.33203125" customWidth="1"/>
    <col min="6" max="6" width="5.3320312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x14ac:dyDescent="0.3">
      <c r="B3" s="232" t="s">
        <v>10</v>
      </c>
      <c r="C3" s="290">
        <f>ROUND(AVERAGE(C4:C18)*100,0)</f>
        <v>31</v>
      </c>
      <c r="D3" s="235" t="s">
        <v>0</v>
      </c>
      <c r="E3" s="251" t="s">
        <v>282</v>
      </c>
      <c r="F3" s="168">
        <f>AVERAGE(F4:F18)</f>
        <v>0.27142857142857141</v>
      </c>
      <c r="G3" s="571" t="s">
        <v>8</v>
      </c>
      <c r="H3" s="572"/>
      <c r="I3" s="156" t="s">
        <v>4</v>
      </c>
      <c r="J3" s="157" t="s">
        <v>13</v>
      </c>
    </row>
    <row r="4" spans="2:10" ht="28.8" x14ac:dyDescent="0.3">
      <c r="B4" s="218" t="s">
        <v>386</v>
      </c>
      <c r="C4" s="164">
        <f>AVERAGE(F5,F6)</f>
        <v>0.25</v>
      </c>
      <c r="D4" s="215" t="s">
        <v>281</v>
      </c>
      <c r="E4" s="166"/>
      <c r="F4" s="171"/>
      <c r="G4" s="593" t="s">
        <v>221</v>
      </c>
      <c r="H4" s="594"/>
      <c r="I4" s="598" t="s">
        <v>232</v>
      </c>
      <c r="J4" s="583" t="s">
        <v>257</v>
      </c>
    </row>
    <row r="5" spans="2:10" ht="77.25" customHeight="1" x14ac:dyDescent="0.3">
      <c r="B5" s="218" t="s">
        <v>296</v>
      </c>
      <c r="C5" s="164">
        <f>F6</f>
        <v>0</v>
      </c>
      <c r="D5" s="217" t="s">
        <v>379</v>
      </c>
      <c r="E5" s="166" t="s">
        <v>283</v>
      </c>
      <c r="F5" s="164">
        <v>0.5</v>
      </c>
      <c r="G5" s="593"/>
      <c r="H5" s="594"/>
      <c r="I5" s="598"/>
      <c r="J5" s="583"/>
    </row>
    <row r="6" spans="2:10" ht="28.8" x14ac:dyDescent="0.3">
      <c r="B6" s="218" t="s">
        <v>297</v>
      </c>
      <c r="C6" s="164">
        <f>AVERAGE(F7,F8, F9)</f>
        <v>0.33333333333333331</v>
      </c>
      <c r="D6" s="180" t="s">
        <v>387</v>
      </c>
      <c r="E6" s="166" t="s">
        <v>285</v>
      </c>
      <c r="F6" s="164">
        <v>0</v>
      </c>
      <c r="G6" s="593"/>
      <c r="H6" s="594"/>
      <c r="I6" s="598"/>
      <c r="J6" s="583"/>
    </row>
    <row r="7" spans="2:10" ht="57.6" x14ac:dyDescent="0.3">
      <c r="B7" s="218" t="s">
        <v>298</v>
      </c>
      <c r="C7" s="164">
        <f>AVERAGE(F5,F6, F14, F15)</f>
        <v>0.25</v>
      </c>
      <c r="D7" s="184" t="s">
        <v>381</v>
      </c>
      <c r="E7" s="166" t="s">
        <v>286</v>
      </c>
      <c r="F7" s="164">
        <v>0.5</v>
      </c>
      <c r="G7" s="593"/>
      <c r="H7" s="594"/>
      <c r="I7" s="598"/>
      <c r="J7" s="583"/>
    </row>
    <row r="8" spans="2:10" ht="28.8" x14ac:dyDescent="0.3">
      <c r="B8" s="218" t="s">
        <v>299</v>
      </c>
      <c r="C8" s="164">
        <f>AVERAGE(F12,F10, F11, F13)</f>
        <v>0.125</v>
      </c>
      <c r="D8" s="184" t="s">
        <v>382</v>
      </c>
      <c r="E8" s="166" t="s">
        <v>286</v>
      </c>
      <c r="F8" s="164">
        <v>0.5</v>
      </c>
      <c r="G8" s="593"/>
      <c r="H8" s="594"/>
      <c r="I8" s="598"/>
      <c r="J8" s="583"/>
    </row>
    <row r="9" spans="2:10" ht="28.8" x14ac:dyDescent="0.3">
      <c r="B9" s="218" t="s">
        <v>377</v>
      </c>
      <c r="C9" s="164">
        <f>F16</f>
        <v>0.8</v>
      </c>
      <c r="D9" s="180" t="s">
        <v>287</v>
      </c>
      <c r="E9" s="166" t="s">
        <v>286</v>
      </c>
      <c r="F9" s="164">
        <v>0</v>
      </c>
      <c r="G9" s="593"/>
      <c r="H9" s="594"/>
      <c r="I9" s="598"/>
      <c r="J9" s="583"/>
    </row>
    <row r="10" spans="2:10" ht="28.8" x14ac:dyDescent="0.3">
      <c r="B10" s="218" t="s">
        <v>378</v>
      </c>
      <c r="C10" s="164">
        <f>AVERAGE(F17)</f>
        <v>0</v>
      </c>
      <c r="D10" s="184" t="s">
        <v>288</v>
      </c>
      <c r="E10" s="166" t="s">
        <v>292</v>
      </c>
      <c r="F10" s="164">
        <v>0.5</v>
      </c>
      <c r="G10" s="593"/>
      <c r="H10" s="594"/>
      <c r="I10" s="598"/>
      <c r="J10" s="583"/>
    </row>
    <row r="11" spans="2:10" ht="28.8" x14ac:dyDescent="0.3">
      <c r="B11" s="218" t="s">
        <v>388</v>
      </c>
      <c r="C11" s="164">
        <f>F14</f>
        <v>0.5</v>
      </c>
      <c r="D11" s="180" t="s">
        <v>289</v>
      </c>
      <c r="E11" s="166" t="s">
        <v>292</v>
      </c>
      <c r="F11" s="164">
        <v>0</v>
      </c>
      <c r="G11" s="593"/>
      <c r="H11" s="594"/>
      <c r="I11" s="598"/>
      <c r="J11" s="583"/>
    </row>
    <row r="12" spans="2:10" ht="28.8" x14ac:dyDescent="0.3">
      <c r="B12" s="218" t="s">
        <v>442</v>
      </c>
      <c r="C12" s="164">
        <f>F18</f>
        <v>0.5</v>
      </c>
      <c r="D12" s="180" t="s">
        <v>290</v>
      </c>
      <c r="E12" s="166" t="s">
        <v>292</v>
      </c>
      <c r="F12" s="164">
        <v>0</v>
      </c>
      <c r="G12" s="593"/>
      <c r="H12" s="594"/>
      <c r="I12" s="598"/>
      <c r="J12" s="583"/>
    </row>
    <row r="13" spans="2:10" x14ac:dyDescent="0.3">
      <c r="B13" s="218"/>
      <c r="C13" s="222"/>
      <c r="D13" s="180" t="s">
        <v>291</v>
      </c>
      <c r="E13" s="166" t="s">
        <v>292</v>
      </c>
      <c r="F13" s="164">
        <v>0</v>
      </c>
      <c r="G13" s="593"/>
      <c r="H13" s="594"/>
      <c r="I13" s="598"/>
      <c r="J13" s="583"/>
    </row>
    <row r="14" spans="2:10" x14ac:dyDescent="0.3">
      <c r="B14" s="218"/>
      <c r="C14" s="223"/>
      <c r="D14" s="184" t="s">
        <v>293</v>
      </c>
      <c r="E14" s="166" t="s">
        <v>389</v>
      </c>
      <c r="F14" s="164">
        <v>0.5</v>
      </c>
      <c r="G14" s="593"/>
      <c r="H14" s="594"/>
      <c r="I14" s="598"/>
      <c r="J14" s="583"/>
    </row>
    <row r="15" spans="2:10" ht="28.8" x14ac:dyDescent="0.3">
      <c r="B15" s="218"/>
      <c r="C15" s="223"/>
      <c r="D15" s="180" t="s">
        <v>250</v>
      </c>
      <c r="E15" s="166" t="s">
        <v>294</v>
      </c>
      <c r="F15" s="164">
        <v>0</v>
      </c>
      <c r="G15" s="593"/>
      <c r="H15" s="594"/>
      <c r="I15" s="598"/>
      <c r="J15" s="583"/>
    </row>
    <row r="16" spans="2:10" x14ac:dyDescent="0.3">
      <c r="B16" s="218"/>
      <c r="C16" s="223"/>
      <c r="D16" s="179" t="s">
        <v>249</v>
      </c>
      <c r="E16" s="209" t="s">
        <v>268</v>
      </c>
      <c r="F16" s="164">
        <v>0.8</v>
      </c>
      <c r="G16" s="593"/>
      <c r="H16" s="594"/>
      <c r="I16" s="598"/>
      <c r="J16" s="583"/>
    </row>
    <row r="17" spans="2:10" ht="28.8" x14ac:dyDescent="0.3">
      <c r="B17" s="218"/>
      <c r="C17" s="223"/>
      <c r="D17" s="224" t="s">
        <v>273</v>
      </c>
      <c r="E17" s="209" t="s">
        <v>272</v>
      </c>
      <c r="F17" s="164">
        <v>0</v>
      </c>
      <c r="G17" s="593"/>
      <c r="H17" s="594"/>
      <c r="I17" s="599"/>
      <c r="J17" s="600"/>
    </row>
    <row r="18" spans="2:10" ht="15" thickBot="1" x14ac:dyDescent="0.35">
      <c r="B18" s="219"/>
      <c r="C18" s="192"/>
      <c r="D18" s="278" t="s">
        <v>444</v>
      </c>
      <c r="E18" s="225" t="s">
        <v>443</v>
      </c>
      <c r="F18" s="165">
        <v>0.5</v>
      </c>
      <c r="G18" s="593"/>
      <c r="H18" s="594"/>
      <c r="I18" s="118"/>
      <c r="J18" s="119"/>
    </row>
    <row r="19" spans="2:10" x14ac:dyDescent="0.3">
      <c r="B19" s="189" t="s">
        <v>9</v>
      </c>
      <c r="C19" s="143"/>
      <c r="D19" s="194" t="s">
        <v>1</v>
      </c>
      <c r="E19" s="186"/>
      <c r="F19" s="186"/>
      <c r="G19" s="595"/>
      <c r="H19" s="594"/>
      <c r="I19" s="182" t="s">
        <v>5</v>
      </c>
      <c r="J19" s="161" t="s">
        <v>14</v>
      </c>
    </row>
    <row r="20" spans="2:10" ht="57.6" x14ac:dyDescent="0.3">
      <c r="B20" s="187"/>
      <c r="C20" s="188"/>
      <c r="D20" s="19" t="s">
        <v>20</v>
      </c>
      <c r="E20" s="92"/>
      <c r="F20" s="92"/>
      <c r="G20" s="596"/>
      <c r="H20" s="597"/>
      <c r="I20" s="5" t="s">
        <v>18</v>
      </c>
      <c r="J20" s="163"/>
    </row>
    <row r="21" spans="2:10" x14ac:dyDescent="0.3">
      <c r="B21" s="573" t="s">
        <v>2</v>
      </c>
      <c r="C21" s="574"/>
      <c r="D21" s="574"/>
      <c r="E21" s="574"/>
      <c r="F21" s="574"/>
      <c r="G21" s="575"/>
      <c r="H21" s="576" t="s">
        <v>3</v>
      </c>
      <c r="I21" s="574"/>
      <c r="J21" s="577"/>
    </row>
    <row r="22" spans="2:10" ht="15" thickBot="1" x14ac:dyDescent="0.35">
      <c r="B22" s="535"/>
      <c r="C22" s="536"/>
      <c r="D22" s="536"/>
      <c r="E22" s="536"/>
      <c r="F22" s="536"/>
      <c r="G22" s="537"/>
      <c r="H22" s="538"/>
      <c r="I22" s="536"/>
      <c r="J22" s="539"/>
    </row>
    <row r="24" spans="2:10" x14ac:dyDescent="0.3">
      <c r="B24" s="1" t="s">
        <v>227</v>
      </c>
      <c r="C24" s="1"/>
      <c r="D24" s="1" t="s">
        <v>223</v>
      </c>
      <c r="E24" s="136">
        <v>0</v>
      </c>
    </row>
    <row r="25" spans="2:10" x14ac:dyDescent="0.3">
      <c r="B25" s="114" t="s">
        <v>228</v>
      </c>
      <c r="C25" s="114"/>
      <c r="D25" s="114" t="s">
        <v>224</v>
      </c>
      <c r="E25" s="137">
        <v>0.1</v>
      </c>
    </row>
    <row r="26" spans="2:10" x14ac:dyDescent="0.3">
      <c r="B26" s="116" t="s">
        <v>226</v>
      </c>
      <c r="C26" s="116"/>
      <c r="D26" s="115" t="s">
        <v>230</v>
      </c>
      <c r="E26" s="138">
        <v>0.5</v>
      </c>
      <c r="F26" s="86"/>
    </row>
    <row r="27" spans="2:10" x14ac:dyDescent="0.3">
      <c r="B27" s="1"/>
      <c r="C27" s="1"/>
      <c r="D27" s="116" t="s">
        <v>229</v>
      </c>
      <c r="E27" s="139">
        <v>0.8</v>
      </c>
      <c r="F27" s="89"/>
    </row>
    <row r="28" spans="2:10" x14ac:dyDescent="0.3">
      <c r="B28" s="1"/>
      <c r="C28" s="1"/>
      <c r="D28" s="117" t="s">
        <v>225</v>
      </c>
      <c r="E28" s="140">
        <v>1</v>
      </c>
      <c r="F28" s="88"/>
    </row>
    <row r="29" spans="2:10" x14ac:dyDescent="0.3">
      <c r="D29" s="117"/>
      <c r="E29" s="87"/>
      <c r="F29" s="87"/>
    </row>
  </sheetData>
  <mergeCells count="10">
    <mergeCell ref="B21:G21"/>
    <mergeCell ref="H21:J21"/>
    <mergeCell ref="B22:G22"/>
    <mergeCell ref="H22:J22"/>
    <mergeCell ref="B2:G2"/>
    <mergeCell ref="H2:J2"/>
    <mergeCell ref="G3:H3"/>
    <mergeCell ref="G4:H20"/>
    <mergeCell ref="I4:I17"/>
    <mergeCell ref="J4:J17"/>
  </mergeCells>
  <pageMargins left="0.7" right="0.7" top="0.75" bottom="0.75" header="0.3" footer="0.3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9"/>
  <sheetViews>
    <sheetView zoomScale="130" zoomScaleNormal="130" workbookViewId="0">
      <selection activeCell="D5" sqref="D5"/>
    </sheetView>
  </sheetViews>
  <sheetFormatPr defaultRowHeight="14.4" x14ac:dyDescent="0.3"/>
  <cols>
    <col min="2" max="2" width="41" customWidth="1"/>
    <col min="3" max="3" width="5.5546875" customWidth="1"/>
    <col min="4" max="4" width="27" customWidth="1"/>
    <col min="5" max="6" width="6.6640625" customWidth="1"/>
    <col min="7" max="7" width="15.6640625" customWidth="1"/>
    <col min="8" max="8" width="11.109375" customWidth="1"/>
    <col min="9" max="9" width="30.6640625" customWidth="1"/>
    <col min="10" max="10" width="20.66406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ht="28.8" x14ac:dyDescent="0.3">
      <c r="B3" s="232" t="s">
        <v>10</v>
      </c>
      <c r="C3" s="290">
        <f>ROUND(AVERAGE(C4:C8)*100,0)</f>
        <v>20</v>
      </c>
      <c r="D3" s="235" t="s">
        <v>0</v>
      </c>
      <c r="E3" s="251"/>
      <c r="F3" s="168">
        <f>AVERAGE(F4:F8)</f>
        <v>0.125</v>
      </c>
      <c r="G3" s="571" t="s">
        <v>8</v>
      </c>
      <c r="H3" s="572"/>
      <c r="I3" s="156" t="s">
        <v>4</v>
      </c>
      <c r="J3" s="157" t="s">
        <v>13</v>
      </c>
    </row>
    <row r="4" spans="2:10" ht="28.8" x14ac:dyDescent="0.3">
      <c r="B4" s="218" t="s">
        <v>445</v>
      </c>
      <c r="C4" s="164">
        <f>AVERAGE(F4)</f>
        <v>0.5</v>
      </c>
      <c r="D4" s="198" t="s">
        <v>326</v>
      </c>
      <c r="E4" s="166" t="s">
        <v>449</v>
      </c>
      <c r="F4" s="131">
        <v>0.5</v>
      </c>
      <c r="G4" s="554" t="s">
        <v>49</v>
      </c>
      <c r="H4" s="578"/>
      <c r="I4" s="598" t="s">
        <v>375</v>
      </c>
      <c r="J4" s="583" t="s">
        <v>48</v>
      </c>
    </row>
    <row r="5" spans="2:10" ht="43.2" x14ac:dyDescent="0.3">
      <c r="B5" s="218" t="s">
        <v>318</v>
      </c>
      <c r="C5" s="164">
        <f>AVERAGE(F4)</f>
        <v>0.5</v>
      </c>
      <c r="D5" s="215" t="s">
        <v>325</v>
      </c>
      <c r="E5" s="166" t="s">
        <v>450</v>
      </c>
      <c r="F5" s="164">
        <v>0</v>
      </c>
      <c r="G5" s="554"/>
      <c r="H5" s="578"/>
      <c r="I5" s="598"/>
      <c r="J5" s="583"/>
    </row>
    <row r="6" spans="2:10" ht="43.2" x14ac:dyDescent="0.3">
      <c r="B6" s="218" t="s">
        <v>446</v>
      </c>
      <c r="C6" s="164">
        <f>AVERAGE(F5)</f>
        <v>0</v>
      </c>
      <c r="D6" s="215" t="s">
        <v>324</v>
      </c>
      <c r="E6" s="166" t="s">
        <v>451</v>
      </c>
      <c r="F6" s="164">
        <v>0</v>
      </c>
      <c r="G6" s="554"/>
      <c r="H6" s="578"/>
      <c r="I6" s="598"/>
      <c r="J6" s="583"/>
    </row>
    <row r="7" spans="2:10" ht="28.8" x14ac:dyDescent="0.3">
      <c r="B7" s="218" t="s">
        <v>447</v>
      </c>
      <c r="C7" s="164">
        <f>AVERAGE(F6)</f>
        <v>0</v>
      </c>
      <c r="D7" s="215" t="s">
        <v>410</v>
      </c>
      <c r="E7" s="166" t="s">
        <v>452</v>
      </c>
      <c r="F7" s="164">
        <v>0</v>
      </c>
      <c r="G7" s="554"/>
      <c r="H7" s="578"/>
      <c r="I7" s="598"/>
      <c r="J7" s="583"/>
    </row>
    <row r="8" spans="2:10" ht="29.4" thickBot="1" x14ac:dyDescent="0.35">
      <c r="B8" s="219" t="s">
        <v>448</v>
      </c>
      <c r="C8" s="165">
        <f t="shared" ref="C8" si="0">AVERAGE(F7)</f>
        <v>0</v>
      </c>
      <c r="D8" s="181"/>
      <c r="E8" s="178"/>
      <c r="F8" s="173"/>
      <c r="G8" s="554"/>
      <c r="H8" s="578"/>
      <c r="I8" s="599"/>
      <c r="J8" s="600"/>
    </row>
    <row r="9" spans="2:10" ht="28.8" x14ac:dyDescent="0.3">
      <c r="B9" s="279" t="s">
        <v>9</v>
      </c>
      <c r="C9" s="280"/>
      <c r="D9" s="246" t="s">
        <v>1</v>
      </c>
      <c r="E9" s="159"/>
      <c r="F9" s="159"/>
      <c r="G9" s="579"/>
      <c r="H9" s="578"/>
      <c r="I9" s="281" t="s">
        <v>5</v>
      </c>
      <c r="J9" s="282" t="s">
        <v>14</v>
      </c>
    </row>
    <row r="10" spans="2:10" ht="57.6" x14ac:dyDescent="0.3">
      <c r="B10" s="234"/>
      <c r="C10" s="153"/>
      <c r="D10" s="5" t="s">
        <v>12</v>
      </c>
      <c r="E10" s="100"/>
      <c r="F10" s="100"/>
      <c r="G10" s="580"/>
      <c r="H10" s="581"/>
      <c r="I10" s="5" t="s">
        <v>43</v>
      </c>
      <c r="J10" s="163"/>
    </row>
    <row r="11" spans="2:10" x14ac:dyDescent="0.3">
      <c r="B11" s="573" t="s">
        <v>2</v>
      </c>
      <c r="C11" s="574"/>
      <c r="D11" s="574"/>
      <c r="E11" s="574"/>
      <c r="F11" s="574"/>
      <c r="G11" s="575"/>
      <c r="H11" s="576" t="s">
        <v>3</v>
      </c>
      <c r="I11" s="574"/>
      <c r="J11" s="577"/>
    </row>
    <row r="12" spans="2:10" ht="11.25" customHeight="1" thickBot="1" x14ac:dyDescent="0.35">
      <c r="B12" s="535"/>
      <c r="C12" s="536"/>
      <c r="D12" s="536"/>
      <c r="E12" s="536"/>
      <c r="F12" s="536"/>
      <c r="G12" s="537"/>
      <c r="H12" s="538"/>
      <c r="I12" s="536"/>
      <c r="J12" s="539"/>
    </row>
    <row r="14" spans="2:10" x14ac:dyDescent="0.3">
      <c r="B14" s="1" t="s">
        <v>227</v>
      </c>
      <c r="C14" s="1"/>
      <c r="D14" s="121" t="s">
        <v>223</v>
      </c>
      <c r="E14" s="147">
        <v>0</v>
      </c>
      <c r="F14" s="103"/>
      <c r="G14" s="95"/>
    </row>
    <row r="15" spans="2:10" x14ac:dyDescent="0.3">
      <c r="B15" s="114" t="s">
        <v>228</v>
      </c>
      <c r="C15" s="114"/>
      <c r="D15" s="122" t="s">
        <v>224</v>
      </c>
      <c r="E15" s="148">
        <v>0.1</v>
      </c>
      <c r="F15" s="104"/>
      <c r="G15" s="97"/>
    </row>
    <row r="16" spans="2:10" x14ac:dyDescent="0.3">
      <c r="B16" s="116" t="s">
        <v>226</v>
      </c>
      <c r="C16" s="116"/>
      <c r="D16" s="123" t="s">
        <v>230</v>
      </c>
      <c r="E16" s="149">
        <v>0.5</v>
      </c>
      <c r="F16" s="105"/>
      <c r="G16" s="98"/>
    </row>
    <row r="17" spans="2:7" ht="28.8" x14ac:dyDescent="0.3">
      <c r="B17" s="1"/>
      <c r="C17" s="1"/>
      <c r="D17" s="107" t="s">
        <v>229</v>
      </c>
      <c r="E17" s="150">
        <v>0.8</v>
      </c>
      <c r="F17" s="102"/>
      <c r="G17" s="99"/>
    </row>
    <row r="18" spans="2:7" x14ac:dyDescent="0.3">
      <c r="B18" s="1"/>
      <c r="C18" s="1"/>
      <c r="D18" s="124" t="s">
        <v>225</v>
      </c>
      <c r="E18" s="151">
        <v>1</v>
      </c>
      <c r="F18" s="106"/>
      <c r="G18" s="96"/>
    </row>
    <row r="19" spans="2:7" x14ac:dyDescent="0.3">
      <c r="D19" s="103"/>
      <c r="E19" s="103"/>
    </row>
  </sheetData>
  <mergeCells count="10">
    <mergeCell ref="B12:G12"/>
    <mergeCell ref="H12:J12"/>
    <mergeCell ref="B2:G2"/>
    <mergeCell ref="H2:J2"/>
    <mergeCell ref="G3:H3"/>
    <mergeCell ref="B11:G11"/>
    <mergeCell ref="H11:J11"/>
    <mergeCell ref="G4:H10"/>
    <mergeCell ref="I4:I8"/>
    <mergeCell ref="J4:J8"/>
  </mergeCells>
  <pageMargins left="0.7" right="0.7" top="0.75" bottom="0.75" header="0.3" footer="0.3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7"/>
  <sheetViews>
    <sheetView zoomScale="115" zoomScaleNormal="115" workbookViewId="0">
      <selection activeCell="D5" sqref="D5"/>
    </sheetView>
  </sheetViews>
  <sheetFormatPr defaultRowHeight="14.4" x14ac:dyDescent="0.3"/>
  <cols>
    <col min="2" max="2" width="59" customWidth="1"/>
    <col min="3" max="3" width="7.33203125" customWidth="1"/>
    <col min="4" max="4" width="50.88671875" customWidth="1"/>
    <col min="5" max="6" width="6.88671875" customWidth="1"/>
    <col min="7" max="8" width="15.6640625" customWidth="1"/>
    <col min="9" max="9" width="15.44140625" customWidth="1"/>
    <col min="10" max="10" width="17.33203125" customWidth="1"/>
  </cols>
  <sheetData>
    <row r="1" spans="2:10" ht="15" thickBot="1" x14ac:dyDescent="0.35">
      <c r="B1" s="20"/>
      <c r="C1" s="20"/>
    </row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ht="31.5" customHeight="1" x14ac:dyDescent="0.3">
      <c r="B3" s="232" t="s">
        <v>10</v>
      </c>
      <c r="C3" s="290">
        <f>ROUND(AVERAGE(C4:C7)*100,0)</f>
        <v>44</v>
      </c>
      <c r="D3" s="235" t="s">
        <v>0</v>
      </c>
      <c r="E3" s="251"/>
      <c r="F3" s="168">
        <f>AVERAGE(F4:F7)</f>
        <v>0.375</v>
      </c>
      <c r="G3" s="571" t="s">
        <v>8</v>
      </c>
      <c r="H3" s="572"/>
      <c r="I3" s="156" t="s">
        <v>4</v>
      </c>
      <c r="J3" s="157" t="s">
        <v>13</v>
      </c>
    </row>
    <row r="4" spans="2:10" ht="43.2" x14ac:dyDescent="0.3">
      <c r="B4" s="218" t="s">
        <v>341</v>
      </c>
      <c r="C4" s="164">
        <f>AVERAGE(F4:F5,F7)</f>
        <v>0.33333333333333331</v>
      </c>
      <c r="D4" s="215" t="s">
        <v>348</v>
      </c>
      <c r="E4" s="250" t="s">
        <v>248</v>
      </c>
      <c r="F4" s="254">
        <v>0</v>
      </c>
      <c r="G4" s="603" t="s">
        <v>31</v>
      </c>
      <c r="H4" s="604"/>
      <c r="I4" s="611" t="s">
        <v>40</v>
      </c>
      <c r="J4" s="583" t="s">
        <v>337</v>
      </c>
    </row>
    <row r="5" spans="2:10" ht="43.2" x14ac:dyDescent="0.3">
      <c r="B5" s="218" t="s">
        <v>246</v>
      </c>
      <c r="C5" s="164">
        <f>AVERAGE(F6)</f>
        <v>0.5</v>
      </c>
      <c r="D5" s="198" t="s">
        <v>358</v>
      </c>
      <c r="E5" s="250" t="s">
        <v>248</v>
      </c>
      <c r="F5" s="253">
        <v>0.5</v>
      </c>
      <c r="G5" s="603"/>
      <c r="H5" s="604"/>
      <c r="I5" s="611"/>
      <c r="J5" s="583"/>
    </row>
    <row r="6" spans="2:10" ht="43.2" x14ac:dyDescent="0.3">
      <c r="B6" s="218" t="s">
        <v>453</v>
      </c>
      <c r="C6" s="164">
        <f>AVERAGE(F7)</f>
        <v>0.5</v>
      </c>
      <c r="D6" s="198" t="s">
        <v>359</v>
      </c>
      <c r="E6" s="250" t="s">
        <v>267</v>
      </c>
      <c r="F6" s="253">
        <v>0.5</v>
      </c>
      <c r="G6" s="603"/>
      <c r="H6" s="604"/>
      <c r="I6" s="611"/>
      <c r="J6" s="583"/>
    </row>
    <row r="7" spans="2:10" ht="43.8" thickBot="1" x14ac:dyDescent="0.35">
      <c r="B7" s="181"/>
      <c r="C7" s="173"/>
      <c r="D7" s="233" t="s">
        <v>364</v>
      </c>
      <c r="E7" s="283" t="s">
        <v>313</v>
      </c>
      <c r="F7" s="266">
        <v>0.5</v>
      </c>
      <c r="G7" s="603"/>
      <c r="H7" s="604"/>
      <c r="I7" s="611"/>
      <c r="J7" s="583"/>
    </row>
    <row r="8" spans="2:10" ht="28.8" x14ac:dyDescent="0.3">
      <c r="B8" s="279" t="s">
        <v>9</v>
      </c>
      <c r="C8" s="280"/>
      <c r="D8" s="246" t="s">
        <v>1</v>
      </c>
      <c r="E8" s="159"/>
      <c r="F8" s="159"/>
      <c r="G8" s="605"/>
      <c r="H8" s="604"/>
      <c r="I8" s="281" t="s">
        <v>5</v>
      </c>
      <c r="J8" s="282" t="s">
        <v>14</v>
      </c>
    </row>
    <row r="9" spans="2:10" ht="72" x14ac:dyDescent="0.3">
      <c r="B9" s="234"/>
      <c r="C9" s="153"/>
      <c r="D9" s="5"/>
      <c r="E9" s="100"/>
      <c r="F9" s="100"/>
      <c r="G9" s="606"/>
      <c r="H9" s="607"/>
      <c r="I9" s="11" t="s">
        <v>42</v>
      </c>
      <c r="J9" s="163"/>
    </row>
    <row r="10" spans="2:10" x14ac:dyDescent="0.3">
      <c r="B10" s="573" t="s">
        <v>2</v>
      </c>
      <c r="C10" s="574"/>
      <c r="D10" s="574"/>
      <c r="E10" s="574"/>
      <c r="F10" s="574"/>
      <c r="G10" s="575"/>
      <c r="H10" s="576" t="s">
        <v>3</v>
      </c>
      <c r="I10" s="574"/>
      <c r="J10" s="577"/>
    </row>
    <row r="11" spans="2:10" ht="12.75" customHeight="1" thickBot="1" x14ac:dyDescent="0.35">
      <c r="B11" s="535"/>
      <c r="C11" s="536"/>
      <c r="D11" s="536"/>
      <c r="E11" s="536"/>
      <c r="F11" s="536"/>
      <c r="G11" s="537"/>
      <c r="H11" s="538"/>
      <c r="I11" s="536"/>
      <c r="J11" s="539"/>
    </row>
    <row r="13" spans="2:10" x14ac:dyDescent="0.3">
      <c r="B13" s="1" t="s">
        <v>227</v>
      </c>
      <c r="C13" s="1"/>
      <c r="D13" s="1" t="s">
        <v>223</v>
      </c>
      <c r="E13" s="136">
        <v>0</v>
      </c>
      <c r="F13" s="103"/>
      <c r="G13" s="95"/>
    </row>
    <row r="14" spans="2:10" x14ac:dyDescent="0.3">
      <c r="B14" s="114" t="s">
        <v>228</v>
      </c>
      <c r="C14" s="114"/>
      <c r="D14" s="114" t="s">
        <v>224</v>
      </c>
      <c r="E14" s="137">
        <v>0.1</v>
      </c>
      <c r="F14" s="104"/>
      <c r="G14" s="97"/>
    </row>
    <row r="15" spans="2:10" x14ac:dyDescent="0.3">
      <c r="B15" s="116" t="s">
        <v>226</v>
      </c>
      <c r="C15" s="116"/>
      <c r="D15" s="115" t="s">
        <v>230</v>
      </c>
      <c r="E15" s="138">
        <v>0.5</v>
      </c>
      <c r="F15" s="105"/>
      <c r="G15" s="98"/>
    </row>
    <row r="16" spans="2:10" x14ac:dyDescent="0.3">
      <c r="B16" s="1"/>
      <c r="C16" s="1"/>
      <c r="D16" s="116" t="s">
        <v>229</v>
      </c>
      <c r="E16" s="139">
        <v>0.8</v>
      </c>
      <c r="F16" s="102"/>
      <c r="G16" s="99"/>
    </row>
    <row r="17" spans="2:7" x14ac:dyDescent="0.3">
      <c r="B17" s="1"/>
      <c r="C17" s="1"/>
      <c r="D17" s="117" t="s">
        <v>225</v>
      </c>
      <c r="E17" s="140">
        <v>1</v>
      </c>
      <c r="F17" s="106"/>
      <c r="G17" s="96"/>
    </row>
  </sheetData>
  <mergeCells count="10">
    <mergeCell ref="B11:G11"/>
    <mergeCell ref="H11:J11"/>
    <mergeCell ref="B2:G2"/>
    <mergeCell ref="H2:J2"/>
    <mergeCell ref="G3:H3"/>
    <mergeCell ref="B10:G10"/>
    <mergeCell ref="H10:J10"/>
    <mergeCell ref="G4:H9"/>
    <mergeCell ref="I4:I7"/>
    <mergeCell ref="J4:J7"/>
  </mergeCells>
  <pageMargins left="0.7" right="0.7" top="0.75" bottom="0.75" header="0.3" footer="0.3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8"/>
  <sheetViews>
    <sheetView zoomScale="115" zoomScaleNormal="115" workbookViewId="0">
      <selection activeCell="D5" sqref="D5"/>
    </sheetView>
  </sheetViews>
  <sheetFormatPr defaultRowHeight="14.4" x14ac:dyDescent="0.3"/>
  <cols>
    <col min="2" max="2" width="59" customWidth="1"/>
    <col min="3" max="3" width="7.33203125" customWidth="1"/>
    <col min="4" max="4" width="50.88671875" customWidth="1"/>
    <col min="5" max="6" width="6.88671875" customWidth="1"/>
    <col min="7" max="8" width="15.6640625" customWidth="1"/>
    <col min="9" max="9" width="15.44140625" customWidth="1"/>
    <col min="10" max="10" width="17.33203125" customWidth="1"/>
  </cols>
  <sheetData>
    <row r="1" spans="2:10" ht="15" thickBot="1" x14ac:dyDescent="0.35">
      <c r="B1" s="20"/>
      <c r="C1" s="20"/>
    </row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ht="31.5" customHeight="1" x14ac:dyDescent="0.3">
      <c r="B3" s="232" t="s">
        <v>10</v>
      </c>
      <c r="C3" s="290">
        <f>ROUND(AVERAGE(C4:C8)*100,0)</f>
        <v>47</v>
      </c>
      <c r="D3" s="235" t="s">
        <v>0</v>
      </c>
      <c r="E3" s="251"/>
      <c r="F3" s="168">
        <f>AVERAGE(F4:F8)</f>
        <v>0.4</v>
      </c>
      <c r="G3" s="571" t="s">
        <v>8</v>
      </c>
      <c r="H3" s="572"/>
      <c r="I3" s="156" t="s">
        <v>4</v>
      </c>
      <c r="J3" s="157" t="s">
        <v>13</v>
      </c>
    </row>
    <row r="4" spans="2:10" ht="43.2" x14ac:dyDescent="0.3">
      <c r="B4" s="218" t="s">
        <v>341</v>
      </c>
      <c r="C4" s="164">
        <f>AVERAGE(F4:F5,F7)</f>
        <v>0.33333333333333331</v>
      </c>
      <c r="D4" s="215" t="s">
        <v>348</v>
      </c>
      <c r="E4" s="250" t="s">
        <v>248</v>
      </c>
      <c r="F4" s="261">
        <v>0</v>
      </c>
      <c r="G4" s="603" t="s">
        <v>31</v>
      </c>
      <c r="H4" s="604"/>
      <c r="I4" s="611" t="s">
        <v>40</v>
      </c>
      <c r="J4" s="583" t="s">
        <v>337</v>
      </c>
    </row>
    <row r="5" spans="2:10" ht="43.2" x14ac:dyDescent="0.3">
      <c r="B5" s="218" t="s">
        <v>246</v>
      </c>
      <c r="C5" s="164">
        <f>AVERAGE(F6)</f>
        <v>0.5</v>
      </c>
      <c r="D5" s="198" t="s">
        <v>358</v>
      </c>
      <c r="E5" s="250" t="s">
        <v>248</v>
      </c>
      <c r="F5" s="260">
        <v>0.5</v>
      </c>
      <c r="G5" s="603"/>
      <c r="H5" s="604"/>
      <c r="I5" s="611"/>
      <c r="J5" s="583"/>
    </row>
    <row r="6" spans="2:10" ht="28.8" x14ac:dyDescent="0.3">
      <c r="B6" s="218" t="s">
        <v>454</v>
      </c>
      <c r="C6" s="164">
        <f>AVERAGE(F8)</f>
        <v>0.5</v>
      </c>
      <c r="D6" s="198" t="s">
        <v>359</v>
      </c>
      <c r="E6" s="250" t="s">
        <v>267</v>
      </c>
      <c r="F6" s="260">
        <v>0.5</v>
      </c>
      <c r="G6" s="603"/>
      <c r="H6" s="604"/>
      <c r="I6" s="611"/>
      <c r="J6" s="583"/>
    </row>
    <row r="7" spans="2:10" ht="43.2" x14ac:dyDescent="0.3">
      <c r="B7" s="218" t="s">
        <v>455</v>
      </c>
      <c r="C7" s="164">
        <f>AVERAGE(F8)</f>
        <v>0.5</v>
      </c>
      <c r="D7" s="198" t="s">
        <v>364</v>
      </c>
      <c r="E7" s="250" t="s">
        <v>458</v>
      </c>
      <c r="F7" s="260">
        <v>0.5</v>
      </c>
      <c r="G7" s="603"/>
      <c r="H7" s="604"/>
      <c r="I7" s="611"/>
      <c r="J7" s="583"/>
    </row>
    <row r="8" spans="2:10" ht="43.8" thickBot="1" x14ac:dyDescent="0.35">
      <c r="B8" s="219" t="s">
        <v>456</v>
      </c>
      <c r="C8" s="165">
        <f>AVERAGE(F7)</f>
        <v>0.5</v>
      </c>
      <c r="D8" s="233" t="s">
        <v>307</v>
      </c>
      <c r="E8" s="283" t="s">
        <v>457</v>
      </c>
      <c r="F8" s="268">
        <v>0.5</v>
      </c>
      <c r="G8" s="603"/>
      <c r="H8" s="604"/>
      <c r="I8" s="146"/>
      <c r="J8" s="119"/>
    </row>
    <row r="9" spans="2:10" ht="28.8" x14ac:dyDescent="0.3">
      <c r="B9" s="279" t="s">
        <v>9</v>
      </c>
      <c r="C9" s="280"/>
      <c r="D9" s="246" t="s">
        <v>1</v>
      </c>
      <c r="E9" s="159"/>
      <c r="F9" s="159"/>
      <c r="G9" s="605"/>
      <c r="H9" s="604"/>
      <c r="I9" s="182" t="s">
        <v>5</v>
      </c>
      <c r="J9" s="161" t="s">
        <v>14</v>
      </c>
    </row>
    <row r="10" spans="2:10" ht="72" x14ac:dyDescent="0.3">
      <c r="B10" s="234"/>
      <c r="C10" s="153"/>
      <c r="D10" s="5"/>
      <c r="E10" s="100"/>
      <c r="F10" s="100"/>
      <c r="G10" s="606"/>
      <c r="H10" s="607"/>
      <c r="I10" s="11" t="s">
        <v>42</v>
      </c>
      <c r="J10" s="163"/>
    </row>
    <row r="11" spans="2:10" x14ac:dyDescent="0.3">
      <c r="B11" s="573" t="s">
        <v>2</v>
      </c>
      <c r="C11" s="574"/>
      <c r="D11" s="574"/>
      <c r="E11" s="574"/>
      <c r="F11" s="574"/>
      <c r="G11" s="575"/>
      <c r="H11" s="576" t="s">
        <v>3</v>
      </c>
      <c r="I11" s="574"/>
      <c r="J11" s="577"/>
    </row>
    <row r="12" spans="2:10" ht="12.75" customHeight="1" thickBot="1" x14ac:dyDescent="0.35">
      <c r="B12" s="535"/>
      <c r="C12" s="536"/>
      <c r="D12" s="536"/>
      <c r="E12" s="536"/>
      <c r="F12" s="536"/>
      <c r="G12" s="537"/>
      <c r="H12" s="538"/>
      <c r="I12" s="536"/>
      <c r="J12" s="539"/>
    </row>
    <row r="14" spans="2:10" x14ac:dyDescent="0.3">
      <c r="B14" s="1" t="s">
        <v>227</v>
      </c>
      <c r="C14" s="1"/>
      <c r="D14" s="1" t="s">
        <v>223</v>
      </c>
      <c r="E14" s="136">
        <v>0</v>
      </c>
      <c r="F14" s="103"/>
      <c r="G14" s="95"/>
    </row>
    <row r="15" spans="2:10" x14ac:dyDescent="0.3">
      <c r="B15" s="114" t="s">
        <v>228</v>
      </c>
      <c r="C15" s="114"/>
      <c r="D15" s="114" t="s">
        <v>224</v>
      </c>
      <c r="E15" s="137">
        <v>0.1</v>
      </c>
      <c r="F15" s="104"/>
      <c r="G15" s="97"/>
    </row>
    <row r="16" spans="2:10" x14ac:dyDescent="0.3">
      <c r="B16" s="116" t="s">
        <v>226</v>
      </c>
      <c r="C16" s="116"/>
      <c r="D16" s="115" t="s">
        <v>230</v>
      </c>
      <c r="E16" s="138">
        <v>0.5</v>
      </c>
      <c r="F16" s="105"/>
      <c r="G16" s="98"/>
    </row>
    <row r="17" spans="2:7" x14ac:dyDescent="0.3">
      <c r="B17" s="1"/>
      <c r="C17" s="1"/>
      <c r="D17" s="116" t="s">
        <v>229</v>
      </c>
      <c r="E17" s="139">
        <v>0.8</v>
      </c>
      <c r="F17" s="102"/>
      <c r="G17" s="99"/>
    </row>
    <row r="18" spans="2:7" x14ac:dyDescent="0.3">
      <c r="B18" s="1"/>
      <c r="C18" s="1"/>
      <c r="D18" s="117" t="s">
        <v>225</v>
      </c>
      <c r="E18" s="140">
        <v>1</v>
      </c>
      <c r="F18" s="106"/>
      <c r="G18" s="96"/>
    </row>
  </sheetData>
  <mergeCells count="10">
    <mergeCell ref="B11:G11"/>
    <mergeCell ref="H11:J11"/>
    <mergeCell ref="B12:G12"/>
    <mergeCell ref="H12:J12"/>
    <mergeCell ref="B2:G2"/>
    <mergeCell ref="H2:J2"/>
    <mergeCell ref="G3:H3"/>
    <mergeCell ref="G4:H10"/>
    <mergeCell ref="I4:I7"/>
    <mergeCell ref="J4:J7"/>
  </mergeCells>
  <pageMargins left="0.7" right="0.7" top="0.75" bottom="0.75" header="0.3" footer="0.3"/>
  <pageSetup paperSize="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5"/>
  <sheetViews>
    <sheetView zoomScaleNormal="100" workbookViewId="0">
      <selection activeCell="D5" sqref="D5"/>
    </sheetView>
  </sheetViews>
  <sheetFormatPr defaultRowHeight="14.4" x14ac:dyDescent="0.3"/>
  <cols>
    <col min="2" max="2" width="60.33203125" customWidth="1"/>
    <col min="3" max="3" width="7.44140625" customWidth="1"/>
    <col min="4" max="4" width="63.44140625" customWidth="1"/>
    <col min="5" max="6" width="9" customWidth="1"/>
    <col min="7" max="7" width="15.6640625" customWidth="1"/>
    <col min="8" max="8" width="13.109375" customWidth="1"/>
    <col min="9" max="9" width="17.88671875" customWidth="1"/>
    <col min="10" max="10" width="17.33203125" customWidth="1"/>
  </cols>
  <sheetData>
    <row r="1" spans="2:10" ht="15" thickBot="1" x14ac:dyDescent="0.35">
      <c r="B1" s="20"/>
      <c r="C1" s="20"/>
    </row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ht="28.8" x14ac:dyDescent="0.3">
      <c r="B3" s="232" t="s">
        <v>10</v>
      </c>
      <c r="C3" s="290">
        <f>ROUND(AVERAGE(C4:C15)*100,0)</f>
        <v>18</v>
      </c>
      <c r="D3" s="235" t="s">
        <v>0</v>
      </c>
      <c r="E3" s="251"/>
      <c r="F3" s="168">
        <f>AVERAGE(F4:F15)</f>
        <v>0.125</v>
      </c>
      <c r="G3" s="571" t="s">
        <v>8</v>
      </c>
      <c r="H3" s="572"/>
      <c r="I3" s="156" t="s">
        <v>4</v>
      </c>
      <c r="J3" s="157" t="s">
        <v>13</v>
      </c>
    </row>
    <row r="4" spans="2:10" ht="43.2" x14ac:dyDescent="0.3">
      <c r="B4" s="239" t="s">
        <v>341</v>
      </c>
      <c r="C4" s="164">
        <f>AVERAGE(F4:F5,F8:F9)</f>
        <v>0.25</v>
      </c>
      <c r="D4" s="215" t="s">
        <v>348</v>
      </c>
      <c r="E4" s="166" t="s">
        <v>248</v>
      </c>
      <c r="F4" s="261">
        <v>0</v>
      </c>
      <c r="G4" s="603" t="s">
        <v>31</v>
      </c>
      <c r="H4" s="604"/>
      <c r="I4" s="611" t="s">
        <v>40</v>
      </c>
      <c r="J4" s="583" t="s">
        <v>338</v>
      </c>
    </row>
    <row r="5" spans="2:10" ht="28.8" x14ac:dyDescent="0.3">
      <c r="B5" s="239" t="s">
        <v>342</v>
      </c>
      <c r="C5" s="164"/>
      <c r="D5" s="198" t="s">
        <v>358</v>
      </c>
      <c r="E5" s="166" t="s">
        <v>463</v>
      </c>
      <c r="F5" s="260">
        <v>0.5</v>
      </c>
      <c r="G5" s="603"/>
      <c r="H5" s="604"/>
      <c r="I5" s="611"/>
      <c r="J5" s="583"/>
    </row>
    <row r="6" spans="2:10" ht="28.8" x14ac:dyDescent="0.3">
      <c r="B6" s="239" t="s">
        <v>343</v>
      </c>
      <c r="C6" s="164">
        <f>AVERAGE(F5)</f>
        <v>0.5</v>
      </c>
      <c r="D6" s="215" t="s">
        <v>360</v>
      </c>
      <c r="E6" s="166" t="s">
        <v>350</v>
      </c>
      <c r="F6" s="261">
        <v>0</v>
      </c>
      <c r="G6" s="603"/>
      <c r="H6" s="604"/>
      <c r="I6" s="611"/>
      <c r="J6" s="583"/>
    </row>
    <row r="7" spans="2:10" x14ac:dyDescent="0.3">
      <c r="B7" s="239" t="s">
        <v>404</v>
      </c>
      <c r="C7" s="164">
        <f>AVERAGE(F7:F8)</f>
        <v>0.25</v>
      </c>
      <c r="D7" s="198" t="s">
        <v>359</v>
      </c>
      <c r="E7" s="166" t="s">
        <v>460</v>
      </c>
      <c r="F7" s="260">
        <v>0.5</v>
      </c>
      <c r="G7" s="603"/>
      <c r="H7" s="604"/>
      <c r="I7" s="611"/>
      <c r="J7" s="583"/>
    </row>
    <row r="8" spans="2:10" ht="28.8" x14ac:dyDescent="0.3">
      <c r="B8" s="239" t="s">
        <v>345</v>
      </c>
      <c r="C8" s="164">
        <f>AVERAGE(F9)</f>
        <v>0.5</v>
      </c>
      <c r="D8" s="215" t="s">
        <v>361</v>
      </c>
      <c r="E8" s="166" t="s">
        <v>461</v>
      </c>
      <c r="F8" s="261">
        <v>0</v>
      </c>
      <c r="G8" s="603"/>
      <c r="H8" s="604"/>
      <c r="I8" s="611"/>
      <c r="J8" s="583"/>
    </row>
    <row r="9" spans="2:10" ht="28.8" x14ac:dyDescent="0.3">
      <c r="B9" s="239" t="s">
        <v>346</v>
      </c>
      <c r="C9" s="164">
        <f>AVERAGE(F6, F10)</f>
        <v>0</v>
      </c>
      <c r="D9" s="198" t="s">
        <v>411</v>
      </c>
      <c r="E9" s="166" t="s">
        <v>441</v>
      </c>
      <c r="F9" s="260">
        <v>0.5</v>
      </c>
      <c r="G9" s="603"/>
      <c r="H9" s="604"/>
      <c r="I9" s="611"/>
      <c r="J9" s="583"/>
    </row>
    <row r="10" spans="2:10" x14ac:dyDescent="0.3">
      <c r="B10" s="239" t="s">
        <v>365</v>
      </c>
      <c r="C10" s="164">
        <f>AVERAGE(F7, F11:F13)</f>
        <v>0.125</v>
      </c>
      <c r="D10" s="243" t="s">
        <v>417</v>
      </c>
      <c r="E10" s="166" t="s">
        <v>350</v>
      </c>
      <c r="F10" s="261">
        <v>0</v>
      </c>
      <c r="G10" s="603"/>
      <c r="H10" s="604"/>
      <c r="I10" s="611"/>
      <c r="J10" s="583"/>
    </row>
    <row r="11" spans="2:10" x14ac:dyDescent="0.3">
      <c r="B11" s="239" t="s">
        <v>419</v>
      </c>
      <c r="C11" s="164">
        <f>AVERAGE( F14)</f>
        <v>0</v>
      </c>
      <c r="D11" s="243" t="s">
        <v>424</v>
      </c>
      <c r="E11" s="166" t="s">
        <v>351</v>
      </c>
      <c r="F11" s="261">
        <v>0</v>
      </c>
      <c r="G11" s="603"/>
      <c r="H11" s="604"/>
      <c r="I11" s="611"/>
      <c r="J11" s="583"/>
    </row>
    <row r="12" spans="2:10" ht="28.8" x14ac:dyDescent="0.3">
      <c r="B12" s="239" t="s">
        <v>406</v>
      </c>
      <c r="C12" s="164">
        <f t="shared" ref="C12" si="0">AVERAGE( F15)</f>
        <v>0</v>
      </c>
      <c r="D12" s="243" t="s">
        <v>362</v>
      </c>
      <c r="E12" s="166" t="s">
        <v>462</v>
      </c>
      <c r="F12" s="261">
        <v>0</v>
      </c>
      <c r="G12" s="603"/>
      <c r="H12" s="604"/>
      <c r="I12" s="611"/>
      <c r="J12" s="583"/>
    </row>
    <row r="13" spans="2:10" x14ac:dyDescent="0.3">
      <c r="B13" s="239" t="s">
        <v>459</v>
      </c>
      <c r="C13" s="164">
        <f>AVERAGE( F12)</f>
        <v>0</v>
      </c>
      <c r="D13" s="243" t="s">
        <v>363</v>
      </c>
      <c r="E13" s="166" t="s">
        <v>351</v>
      </c>
      <c r="F13" s="261">
        <v>0</v>
      </c>
      <c r="G13" s="603"/>
      <c r="H13" s="604"/>
      <c r="I13" s="611"/>
      <c r="J13" s="583"/>
    </row>
    <row r="14" spans="2:10" x14ac:dyDescent="0.3">
      <c r="B14" s="239"/>
      <c r="C14" s="171"/>
      <c r="D14" s="226" t="s">
        <v>420</v>
      </c>
      <c r="E14" s="166" t="s">
        <v>269</v>
      </c>
      <c r="F14" s="261">
        <v>0</v>
      </c>
      <c r="G14" s="603"/>
      <c r="H14" s="604"/>
      <c r="I14" s="611"/>
      <c r="J14" s="583"/>
    </row>
    <row r="15" spans="2:10" ht="15" thickBot="1" x14ac:dyDescent="0.35">
      <c r="B15" s="241"/>
      <c r="C15" s="173"/>
      <c r="D15" s="236" t="s">
        <v>410</v>
      </c>
      <c r="E15" s="178" t="s">
        <v>247</v>
      </c>
      <c r="F15" s="269">
        <v>0</v>
      </c>
      <c r="G15" s="603"/>
      <c r="H15" s="604"/>
      <c r="I15" s="611"/>
      <c r="J15" s="583"/>
    </row>
    <row r="16" spans="2:10" ht="28.8" x14ac:dyDescent="0.3">
      <c r="B16" s="279" t="s">
        <v>9</v>
      </c>
      <c r="C16" s="280"/>
      <c r="D16" s="246" t="s">
        <v>1</v>
      </c>
      <c r="E16" s="159"/>
      <c r="F16" s="159"/>
      <c r="G16" s="605"/>
      <c r="H16" s="604"/>
      <c r="I16" s="281" t="s">
        <v>5</v>
      </c>
      <c r="J16" s="282" t="s">
        <v>14</v>
      </c>
    </row>
    <row r="17" spans="2:10" ht="72" x14ac:dyDescent="0.3">
      <c r="B17" s="234"/>
      <c r="C17" s="153"/>
      <c r="D17" s="5"/>
      <c r="E17" s="100"/>
      <c r="F17" s="100"/>
      <c r="G17" s="606"/>
      <c r="H17" s="607"/>
      <c r="I17" s="11" t="s">
        <v>42</v>
      </c>
      <c r="J17" s="163"/>
    </row>
    <row r="18" spans="2:10" x14ac:dyDescent="0.3">
      <c r="B18" s="573" t="s">
        <v>2</v>
      </c>
      <c r="C18" s="574"/>
      <c r="D18" s="574"/>
      <c r="E18" s="574"/>
      <c r="F18" s="574"/>
      <c r="G18" s="575"/>
      <c r="H18" s="576" t="s">
        <v>3</v>
      </c>
      <c r="I18" s="574"/>
      <c r="J18" s="577"/>
    </row>
    <row r="19" spans="2:10" ht="12.75" customHeight="1" thickBot="1" x14ac:dyDescent="0.35">
      <c r="B19" s="535"/>
      <c r="C19" s="536"/>
      <c r="D19" s="536"/>
      <c r="E19" s="536"/>
      <c r="F19" s="536"/>
      <c r="G19" s="537"/>
      <c r="H19" s="538"/>
      <c r="I19" s="536"/>
      <c r="J19" s="539"/>
    </row>
    <row r="21" spans="2:10" x14ac:dyDescent="0.3">
      <c r="B21" s="1" t="s">
        <v>227</v>
      </c>
      <c r="C21" s="1"/>
      <c r="D21" s="1" t="s">
        <v>223</v>
      </c>
      <c r="E21" s="136">
        <v>0</v>
      </c>
      <c r="F21" s="103"/>
      <c r="G21" s="95"/>
    </row>
    <row r="22" spans="2:10" x14ac:dyDescent="0.3">
      <c r="B22" s="114" t="s">
        <v>228</v>
      </c>
      <c r="C22" s="114"/>
      <c r="D22" s="114" t="s">
        <v>224</v>
      </c>
      <c r="E22" s="137">
        <v>0.1</v>
      </c>
      <c r="F22" s="104"/>
      <c r="G22" s="97"/>
    </row>
    <row r="23" spans="2:10" x14ac:dyDescent="0.3">
      <c r="B23" s="116" t="s">
        <v>226</v>
      </c>
      <c r="C23" s="116"/>
      <c r="D23" s="115" t="s">
        <v>230</v>
      </c>
      <c r="E23" s="138">
        <v>0.5</v>
      </c>
      <c r="F23" s="105"/>
      <c r="G23" s="98"/>
    </row>
    <row r="24" spans="2:10" x14ac:dyDescent="0.3">
      <c r="B24" s="1"/>
      <c r="C24" s="1"/>
      <c r="D24" s="116" t="s">
        <v>229</v>
      </c>
      <c r="E24" s="139">
        <v>0.8</v>
      </c>
      <c r="F24" s="102"/>
      <c r="G24" s="99"/>
    </row>
    <row r="25" spans="2:10" x14ac:dyDescent="0.3">
      <c r="B25" s="1"/>
      <c r="C25" s="1"/>
      <c r="D25" s="117" t="s">
        <v>225</v>
      </c>
      <c r="E25" s="140">
        <v>1</v>
      </c>
      <c r="F25" s="106"/>
      <c r="G25" s="96"/>
    </row>
  </sheetData>
  <mergeCells count="10">
    <mergeCell ref="B19:G19"/>
    <mergeCell ref="H19:J19"/>
    <mergeCell ref="B2:G2"/>
    <mergeCell ref="H2:J2"/>
    <mergeCell ref="G3:H3"/>
    <mergeCell ref="B18:G18"/>
    <mergeCell ref="H18:J18"/>
    <mergeCell ref="G4:H17"/>
    <mergeCell ref="I4:I15"/>
    <mergeCell ref="J4:J15"/>
  </mergeCells>
  <pageMargins left="0.7" right="0.7" top="0.75" bottom="0.75" header="0.3" footer="0.3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5"/>
  <sheetViews>
    <sheetView zoomScaleNormal="100" workbookViewId="0">
      <selection activeCell="D5" sqref="D5"/>
    </sheetView>
  </sheetViews>
  <sheetFormatPr defaultRowHeight="14.4" x14ac:dyDescent="0.3"/>
  <cols>
    <col min="2" max="2" width="60.33203125" customWidth="1"/>
    <col min="3" max="3" width="7.44140625" customWidth="1"/>
    <col min="4" max="4" width="63.44140625" customWidth="1"/>
    <col min="5" max="6" width="9" customWidth="1"/>
    <col min="7" max="7" width="15.6640625" customWidth="1"/>
    <col min="8" max="8" width="13.109375" customWidth="1"/>
    <col min="9" max="9" width="17.88671875" customWidth="1"/>
    <col min="10" max="10" width="14.33203125" customWidth="1"/>
  </cols>
  <sheetData>
    <row r="1" spans="2:10" ht="15" thickBot="1" x14ac:dyDescent="0.35">
      <c r="B1" s="20"/>
      <c r="C1" s="20"/>
    </row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ht="28.8" x14ac:dyDescent="0.3">
      <c r="B3" s="232" t="s">
        <v>10</v>
      </c>
      <c r="C3" s="290">
        <f>ROUND(AVERAGE(C4:C15)*100,0)</f>
        <v>18</v>
      </c>
      <c r="D3" s="235" t="s">
        <v>0</v>
      </c>
      <c r="E3" s="251"/>
      <c r="F3" s="168">
        <f>AVERAGE(F4:F15)</f>
        <v>0.125</v>
      </c>
      <c r="G3" s="571" t="s">
        <v>8</v>
      </c>
      <c r="H3" s="572"/>
      <c r="I3" s="156" t="s">
        <v>4</v>
      </c>
      <c r="J3" s="157" t="s">
        <v>13</v>
      </c>
    </row>
    <row r="4" spans="2:10" ht="43.2" x14ac:dyDescent="0.3">
      <c r="B4" s="239" t="s">
        <v>341</v>
      </c>
      <c r="C4" s="164">
        <f>AVERAGE(F4:F5,F8:F9)</f>
        <v>0.25</v>
      </c>
      <c r="D4" s="215" t="s">
        <v>348</v>
      </c>
      <c r="E4" s="166" t="s">
        <v>248</v>
      </c>
      <c r="F4" s="261">
        <v>0</v>
      </c>
      <c r="G4" s="603" t="s">
        <v>31</v>
      </c>
      <c r="H4" s="604"/>
      <c r="I4" s="611" t="s">
        <v>40</v>
      </c>
      <c r="J4" s="583" t="s">
        <v>339</v>
      </c>
    </row>
    <row r="5" spans="2:10" ht="28.8" x14ac:dyDescent="0.3">
      <c r="B5" s="239" t="s">
        <v>342</v>
      </c>
      <c r="C5" s="164"/>
      <c r="D5" s="198" t="s">
        <v>358</v>
      </c>
      <c r="E5" s="166" t="s">
        <v>463</v>
      </c>
      <c r="F5" s="260">
        <v>0.5</v>
      </c>
      <c r="G5" s="603"/>
      <c r="H5" s="604"/>
      <c r="I5" s="611"/>
      <c r="J5" s="583"/>
    </row>
    <row r="6" spans="2:10" ht="28.8" x14ac:dyDescent="0.3">
      <c r="B6" s="239" t="s">
        <v>343</v>
      </c>
      <c r="C6" s="164">
        <f>AVERAGE(F5)</f>
        <v>0.5</v>
      </c>
      <c r="D6" s="215" t="s">
        <v>360</v>
      </c>
      <c r="E6" s="166" t="s">
        <v>350</v>
      </c>
      <c r="F6" s="261">
        <v>0</v>
      </c>
      <c r="G6" s="603"/>
      <c r="H6" s="604"/>
      <c r="I6" s="611"/>
      <c r="J6" s="583"/>
    </row>
    <row r="7" spans="2:10" x14ac:dyDescent="0.3">
      <c r="B7" s="239" t="s">
        <v>404</v>
      </c>
      <c r="C7" s="164">
        <f>AVERAGE(F7:F8)</f>
        <v>0.25</v>
      </c>
      <c r="D7" s="198" t="s">
        <v>359</v>
      </c>
      <c r="E7" s="166" t="s">
        <v>460</v>
      </c>
      <c r="F7" s="260">
        <v>0.5</v>
      </c>
      <c r="G7" s="603"/>
      <c r="H7" s="604"/>
      <c r="I7" s="611"/>
      <c r="J7" s="583"/>
    </row>
    <row r="8" spans="2:10" ht="28.8" x14ac:dyDescent="0.3">
      <c r="B8" s="239" t="s">
        <v>345</v>
      </c>
      <c r="C8" s="164">
        <f>AVERAGE(F9)</f>
        <v>0.5</v>
      </c>
      <c r="D8" s="215" t="s">
        <v>361</v>
      </c>
      <c r="E8" s="166" t="s">
        <v>461</v>
      </c>
      <c r="F8" s="261">
        <v>0</v>
      </c>
      <c r="G8" s="603"/>
      <c r="H8" s="604"/>
      <c r="I8" s="611"/>
      <c r="J8" s="583"/>
    </row>
    <row r="9" spans="2:10" ht="28.8" x14ac:dyDescent="0.3">
      <c r="B9" s="239" t="s">
        <v>346</v>
      </c>
      <c r="C9" s="164">
        <f>AVERAGE(F6, F10)</f>
        <v>0</v>
      </c>
      <c r="D9" s="198" t="s">
        <v>411</v>
      </c>
      <c r="E9" s="166" t="s">
        <v>441</v>
      </c>
      <c r="F9" s="260">
        <v>0.5</v>
      </c>
      <c r="G9" s="603"/>
      <c r="H9" s="604"/>
      <c r="I9" s="611"/>
      <c r="J9" s="583"/>
    </row>
    <row r="10" spans="2:10" x14ac:dyDescent="0.3">
      <c r="B10" s="239" t="s">
        <v>365</v>
      </c>
      <c r="C10" s="164">
        <f>AVERAGE(F7, F11:F13)</f>
        <v>0.125</v>
      </c>
      <c r="D10" s="243" t="s">
        <v>417</v>
      </c>
      <c r="E10" s="166" t="s">
        <v>350</v>
      </c>
      <c r="F10" s="261">
        <v>0</v>
      </c>
      <c r="G10" s="603"/>
      <c r="H10" s="604"/>
      <c r="I10" s="611"/>
      <c r="J10" s="583"/>
    </row>
    <row r="11" spans="2:10" x14ac:dyDescent="0.3">
      <c r="B11" s="239" t="s">
        <v>419</v>
      </c>
      <c r="C11" s="164">
        <f>AVERAGE( F14)</f>
        <v>0</v>
      </c>
      <c r="D11" s="243" t="s">
        <v>424</v>
      </c>
      <c r="E11" s="166" t="s">
        <v>351</v>
      </c>
      <c r="F11" s="261">
        <v>0</v>
      </c>
      <c r="G11" s="603"/>
      <c r="H11" s="604"/>
      <c r="I11" s="611"/>
      <c r="J11" s="583"/>
    </row>
    <row r="12" spans="2:10" ht="28.8" x14ac:dyDescent="0.3">
      <c r="B12" s="239" t="s">
        <v>406</v>
      </c>
      <c r="C12" s="164">
        <f t="shared" ref="C12" si="0">AVERAGE( F15)</f>
        <v>0</v>
      </c>
      <c r="D12" s="243" t="s">
        <v>362</v>
      </c>
      <c r="E12" s="166" t="s">
        <v>462</v>
      </c>
      <c r="F12" s="261">
        <v>0</v>
      </c>
      <c r="G12" s="603"/>
      <c r="H12" s="604"/>
      <c r="I12" s="611"/>
      <c r="J12" s="583"/>
    </row>
    <row r="13" spans="2:10" x14ac:dyDescent="0.3">
      <c r="B13" s="239" t="s">
        <v>459</v>
      </c>
      <c r="C13" s="164">
        <f>AVERAGE( F12)</f>
        <v>0</v>
      </c>
      <c r="D13" s="243" t="s">
        <v>363</v>
      </c>
      <c r="E13" s="166" t="s">
        <v>351</v>
      </c>
      <c r="F13" s="261">
        <v>0</v>
      </c>
      <c r="G13" s="603"/>
      <c r="H13" s="604"/>
      <c r="I13" s="611"/>
      <c r="J13" s="583"/>
    </row>
    <row r="14" spans="2:10" x14ac:dyDescent="0.3">
      <c r="B14" s="239"/>
      <c r="C14" s="171"/>
      <c r="D14" s="226" t="s">
        <v>420</v>
      </c>
      <c r="E14" s="166" t="s">
        <v>269</v>
      </c>
      <c r="F14" s="261">
        <v>0</v>
      </c>
      <c r="G14" s="603"/>
      <c r="H14" s="604"/>
      <c r="I14" s="611"/>
      <c r="J14" s="583"/>
    </row>
    <row r="15" spans="2:10" ht="15" thickBot="1" x14ac:dyDescent="0.35">
      <c r="B15" s="241"/>
      <c r="C15" s="173"/>
      <c r="D15" s="236" t="s">
        <v>410</v>
      </c>
      <c r="E15" s="178" t="s">
        <v>247</v>
      </c>
      <c r="F15" s="269">
        <v>0</v>
      </c>
      <c r="G15" s="603"/>
      <c r="H15" s="604"/>
      <c r="I15" s="611"/>
      <c r="J15" s="583"/>
    </row>
    <row r="16" spans="2:10" ht="28.8" x14ac:dyDescent="0.3">
      <c r="B16" s="279" t="s">
        <v>9</v>
      </c>
      <c r="C16" s="280"/>
      <c r="D16" s="246" t="s">
        <v>1</v>
      </c>
      <c r="E16" s="159"/>
      <c r="F16" s="159"/>
      <c r="G16" s="605"/>
      <c r="H16" s="604"/>
      <c r="I16" s="182" t="s">
        <v>5</v>
      </c>
      <c r="J16" s="161" t="s">
        <v>14</v>
      </c>
    </row>
    <row r="17" spans="2:10" ht="72" x14ac:dyDescent="0.3">
      <c r="B17" s="234"/>
      <c r="C17" s="153"/>
      <c r="D17" s="5"/>
      <c r="E17" s="100"/>
      <c r="F17" s="100"/>
      <c r="G17" s="606"/>
      <c r="H17" s="607"/>
      <c r="I17" s="11" t="s">
        <v>42</v>
      </c>
      <c r="J17" s="163"/>
    </row>
    <row r="18" spans="2:10" x14ac:dyDescent="0.3">
      <c r="B18" s="573" t="s">
        <v>2</v>
      </c>
      <c r="C18" s="574"/>
      <c r="D18" s="574"/>
      <c r="E18" s="574"/>
      <c r="F18" s="574"/>
      <c r="G18" s="575"/>
      <c r="H18" s="576" t="s">
        <v>3</v>
      </c>
      <c r="I18" s="574"/>
      <c r="J18" s="577"/>
    </row>
    <row r="19" spans="2:10" ht="12.75" customHeight="1" thickBot="1" x14ac:dyDescent="0.35">
      <c r="B19" s="535"/>
      <c r="C19" s="536"/>
      <c r="D19" s="536"/>
      <c r="E19" s="536"/>
      <c r="F19" s="536"/>
      <c r="G19" s="537"/>
      <c r="H19" s="538"/>
      <c r="I19" s="536"/>
      <c r="J19" s="539"/>
    </row>
    <row r="21" spans="2:10" x14ac:dyDescent="0.3">
      <c r="B21" s="1" t="s">
        <v>227</v>
      </c>
      <c r="C21" s="1"/>
      <c r="D21" s="1" t="s">
        <v>223</v>
      </c>
      <c r="E21" s="136">
        <v>0</v>
      </c>
      <c r="F21" s="103"/>
      <c r="G21" s="95"/>
    </row>
    <row r="22" spans="2:10" x14ac:dyDescent="0.3">
      <c r="B22" s="114" t="s">
        <v>228</v>
      </c>
      <c r="C22" s="114"/>
      <c r="D22" s="114" t="s">
        <v>224</v>
      </c>
      <c r="E22" s="137">
        <v>0.1</v>
      </c>
      <c r="F22" s="104"/>
      <c r="G22" s="97"/>
    </row>
    <row r="23" spans="2:10" x14ac:dyDescent="0.3">
      <c r="B23" s="116" t="s">
        <v>226</v>
      </c>
      <c r="C23" s="116"/>
      <c r="D23" s="115" t="s">
        <v>230</v>
      </c>
      <c r="E23" s="138">
        <v>0.5</v>
      </c>
      <c r="F23" s="105"/>
      <c r="G23" s="98"/>
    </row>
    <row r="24" spans="2:10" x14ac:dyDescent="0.3">
      <c r="B24" s="1"/>
      <c r="C24" s="1"/>
      <c r="D24" s="116" t="s">
        <v>229</v>
      </c>
      <c r="E24" s="139">
        <v>0.8</v>
      </c>
      <c r="F24" s="102"/>
      <c r="G24" s="99"/>
    </row>
    <row r="25" spans="2:10" x14ac:dyDescent="0.3">
      <c r="B25" s="1"/>
      <c r="C25" s="1"/>
      <c r="D25" s="117" t="s">
        <v>225</v>
      </c>
      <c r="E25" s="140">
        <v>1</v>
      </c>
      <c r="F25" s="106"/>
      <c r="G25" s="96"/>
    </row>
  </sheetData>
  <mergeCells count="10">
    <mergeCell ref="B18:G18"/>
    <mergeCell ref="H18:J18"/>
    <mergeCell ref="B19:G19"/>
    <mergeCell ref="H19:J19"/>
    <mergeCell ref="B2:G2"/>
    <mergeCell ref="H2:J2"/>
    <mergeCell ref="G3:H3"/>
    <mergeCell ref="G4:H17"/>
    <mergeCell ref="I4:I15"/>
    <mergeCell ref="J4:J15"/>
  </mergeCells>
  <pageMargins left="0.7" right="0.7" top="0.75" bottom="0.75" header="0.3" footer="0.3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4"/>
  <sheetViews>
    <sheetView zoomScaleNormal="100" workbookViewId="0">
      <selection activeCell="D5" sqref="D5"/>
    </sheetView>
  </sheetViews>
  <sheetFormatPr defaultRowHeight="14.4" x14ac:dyDescent="0.3"/>
  <cols>
    <col min="2" max="2" width="60.33203125" customWidth="1"/>
    <col min="3" max="3" width="7.44140625" customWidth="1"/>
    <col min="4" max="4" width="63.44140625" customWidth="1"/>
    <col min="5" max="6" width="9" customWidth="1"/>
    <col min="7" max="7" width="15.6640625" customWidth="1"/>
    <col min="8" max="8" width="13.109375" customWidth="1"/>
    <col min="9" max="9" width="17.88671875" customWidth="1"/>
    <col min="10" max="10" width="14.33203125" customWidth="1"/>
  </cols>
  <sheetData>
    <row r="1" spans="2:10" ht="15" thickBot="1" x14ac:dyDescent="0.35">
      <c r="B1" s="20"/>
      <c r="C1" s="20"/>
    </row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ht="28.8" x14ac:dyDescent="0.3">
      <c r="B3" s="232" t="s">
        <v>10</v>
      </c>
      <c r="C3" s="290">
        <f>ROUND(AVERAGE(C4:C14)*100,0)</f>
        <v>23</v>
      </c>
      <c r="D3" s="235" t="s">
        <v>0</v>
      </c>
      <c r="E3" s="251"/>
      <c r="F3" s="168">
        <f>AVERAGE(F4:F14)</f>
        <v>0.13636363636363635</v>
      </c>
      <c r="G3" s="571" t="s">
        <v>8</v>
      </c>
      <c r="H3" s="572"/>
      <c r="I3" s="156" t="s">
        <v>4</v>
      </c>
      <c r="J3" s="157" t="s">
        <v>13</v>
      </c>
    </row>
    <row r="4" spans="2:10" ht="43.2" x14ac:dyDescent="0.3">
      <c r="B4" s="239" t="s">
        <v>341</v>
      </c>
      <c r="C4" s="164">
        <f>AVERAGE(F4:F5,F8:F9)</f>
        <v>0.25</v>
      </c>
      <c r="D4" s="215" t="s">
        <v>348</v>
      </c>
      <c r="E4" s="166" t="s">
        <v>248</v>
      </c>
      <c r="F4" s="261">
        <v>0</v>
      </c>
      <c r="G4" s="603" t="s">
        <v>31</v>
      </c>
      <c r="H4" s="604"/>
      <c r="I4" s="611" t="s">
        <v>40</v>
      </c>
      <c r="J4" s="583" t="s">
        <v>464</v>
      </c>
    </row>
    <row r="5" spans="2:10" ht="28.8" x14ac:dyDescent="0.3">
      <c r="B5" s="239" t="s">
        <v>342</v>
      </c>
      <c r="C5" s="164"/>
      <c r="D5" s="198" t="s">
        <v>358</v>
      </c>
      <c r="E5" s="166" t="s">
        <v>463</v>
      </c>
      <c r="F5" s="260">
        <v>0.5</v>
      </c>
      <c r="G5" s="603"/>
      <c r="H5" s="604"/>
      <c r="I5" s="611"/>
      <c r="J5" s="583"/>
    </row>
    <row r="6" spans="2:10" ht="28.8" x14ac:dyDescent="0.3">
      <c r="B6" s="239" t="s">
        <v>343</v>
      </c>
      <c r="C6" s="164">
        <f>AVERAGE(F5)</f>
        <v>0.5</v>
      </c>
      <c r="D6" s="215" t="s">
        <v>360</v>
      </c>
      <c r="E6" s="166" t="s">
        <v>350</v>
      </c>
      <c r="F6" s="261">
        <v>0</v>
      </c>
      <c r="G6" s="603"/>
      <c r="H6" s="604"/>
      <c r="I6" s="611"/>
      <c r="J6" s="583"/>
    </row>
    <row r="7" spans="2:10" x14ac:dyDescent="0.3">
      <c r="B7" s="239" t="s">
        <v>404</v>
      </c>
      <c r="C7" s="164">
        <f>AVERAGE(F7:F8)</f>
        <v>0.25</v>
      </c>
      <c r="D7" s="198" t="s">
        <v>359</v>
      </c>
      <c r="E7" s="166" t="s">
        <v>460</v>
      </c>
      <c r="F7" s="260">
        <v>0.5</v>
      </c>
      <c r="G7" s="603"/>
      <c r="H7" s="604"/>
      <c r="I7" s="611"/>
      <c r="J7" s="583"/>
    </row>
    <row r="8" spans="2:10" ht="28.8" x14ac:dyDescent="0.3">
      <c r="B8" s="239" t="s">
        <v>345</v>
      </c>
      <c r="C8" s="164">
        <f>AVERAGE(F9)</f>
        <v>0.5</v>
      </c>
      <c r="D8" s="215" t="s">
        <v>361</v>
      </c>
      <c r="E8" s="166" t="s">
        <v>461</v>
      </c>
      <c r="F8" s="261">
        <v>0</v>
      </c>
      <c r="G8" s="603"/>
      <c r="H8" s="604"/>
      <c r="I8" s="611"/>
      <c r="J8" s="583"/>
    </row>
    <row r="9" spans="2:10" ht="28.8" x14ac:dyDescent="0.3">
      <c r="B9" s="239" t="s">
        <v>346</v>
      </c>
      <c r="C9" s="164">
        <f>AVERAGE(F6, F10)</f>
        <v>0</v>
      </c>
      <c r="D9" s="198" t="s">
        <v>364</v>
      </c>
      <c r="E9" s="166" t="s">
        <v>441</v>
      </c>
      <c r="F9" s="260">
        <v>0.5</v>
      </c>
      <c r="G9" s="603"/>
      <c r="H9" s="604"/>
      <c r="I9" s="611"/>
      <c r="J9" s="583"/>
    </row>
    <row r="10" spans="2:10" x14ac:dyDescent="0.3">
      <c r="B10" s="239" t="s">
        <v>365</v>
      </c>
      <c r="C10" s="164">
        <f>AVERAGE(F7, F11:F13)</f>
        <v>0.125</v>
      </c>
      <c r="D10" s="243" t="s">
        <v>417</v>
      </c>
      <c r="E10" s="166" t="s">
        <v>350</v>
      </c>
      <c r="F10" s="261">
        <v>0</v>
      </c>
      <c r="G10" s="603"/>
      <c r="H10" s="604"/>
      <c r="I10" s="611"/>
      <c r="J10" s="583"/>
    </row>
    <row r="11" spans="2:10" ht="28.8" x14ac:dyDescent="0.3">
      <c r="B11" s="239" t="s">
        <v>366</v>
      </c>
      <c r="C11" s="164">
        <f>AVERAGE( F14)</f>
        <v>0</v>
      </c>
      <c r="D11" s="243" t="s">
        <v>424</v>
      </c>
      <c r="E11" s="166" t="s">
        <v>351</v>
      </c>
      <c r="F11" s="261">
        <v>0</v>
      </c>
      <c r="G11" s="603"/>
      <c r="H11" s="604"/>
      <c r="I11" s="611"/>
      <c r="J11" s="583"/>
    </row>
    <row r="12" spans="2:10" ht="28.8" x14ac:dyDescent="0.3">
      <c r="B12" s="239"/>
      <c r="C12" s="164"/>
      <c r="D12" s="243" t="s">
        <v>362</v>
      </c>
      <c r="E12" s="166" t="s">
        <v>462</v>
      </c>
      <c r="F12" s="261">
        <v>0</v>
      </c>
      <c r="G12" s="603"/>
      <c r="H12" s="604"/>
      <c r="I12" s="611"/>
      <c r="J12" s="583"/>
    </row>
    <row r="13" spans="2:10" x14ac:dyDescent="0.3">
      <c r="B13" s="239"/>
      <c r="C13" s="164"/>
      <c r="D13" s="243" t="s">
        <v>363</v>
      </c>
      <c r="E13" s="166" t="s">
        <v>351</v>
      </c>
      <c r="F13" s="261">
        <v>0</v>
      </c>
      <c r="G13" s="603"/>
      <c r="H13" s="604"/>
      <c r="I13" s="611"/>
      <c r="J13" s="583"/>
    </row>
    <row r="14" spans="2:10" ht="15" thickBot="1" x14ac:dyDescent="0.35">
      <c r="B14" s="241"/>
      <c r="C14" s="173"/>
      <c r="D14" s="262" t="s">
        <v>425</v>
      </c>
      <c r="E14" s="178" t="s">
        <v>269</v>
      </c>
      <c r="F14" s="269">
        <v>0</v>
      </c>
      <c r="G14" s="603"/>
      <c r="H14" s="604"/>
      <c r="I14" s="611"/>
      <c r="J14" s="583"/>
    </row>
    <row r="15" spans="2:10" ht="28.8" x14ac:dyDescent="0.3">
      <c r="B15" s="279" t="s">
        <v>9</v>
      </c>
      <c r="C15" s="280"/>
      <c r="D15" s="246" t="s">
        <v>1</v>
      </c>
      <c r="E15" s="159"/>
      <c r="F15" s="159"/>
      <c r="G15" s="605"/>
      <c r="H15" s="604"/>
      <c r="I15" s="182" t="s">
        <v>5</v>
      </c>
      <c r="J15" s="161" t="s">
        <v>14</v>
      </c>
    </row>
    <row r="16" spans="2:10" ht="72" x14ac:dyDescent="0.3">
      <c r="B16" s="234"/>
      <c r="C16" s="153"/>
      <c r="D16" s="5"/>
      <c r="E16" s="100"/>
      <c r="F16" s="100"/>
      <c r="G16" s="606"/>
      <c r="H16" s="607"/>
      <c r="I16" s="11" t="s">
        <v>42</v>
      </c>
      <c r="J16" s="163"/>
    </row>
    <row r="17" spans="2:10" x14ac:dyDescent="0.3">
      <c r="B17" s="573" t="s">
        <v>2</v>
      </c>
      <c r="C17" s="574"/>
      <c r="D17" s="574"/>
      <c r="E17" s="574"/>
      <c r="F17" s="574"/>
      <c r="G17" s="575"/>
      <c r="H17" s="576" t="s">
        <v>3</v>
      </c>
      <c r="I17" s="574"/>
      <c r="J17" s="577"/>
    </row>
    <row r="18" spans="2:10" ht="12.75" customHeight="1" thickBot="1" x14ac:dyDescent="0.35">
      <c r="B18" s="535"/>
      <c r="C18" s="536"/>
      <c r="D18" s="536"/>
      <c r="E18" s="536"/>
      <c r="F18" s="536"/>
      <c r="G18" s="537"/>
      <c r="H18" s="538"/>
      <c r="I18" s="536"/>
      <c r="J18" s="539"/>
    </row>
    <row r="20" spans="2:10" x14ac:dyDescent="0.3">
      <c r="B20" s="1" t="s">
        <v>227</v>
      </c>
      <c r="C20" s="1"/>
      <c r="D20" s="1" t="s">
        <v>223</v>
      </c>
      <c r="E20" s="136">
        <v>0</v>
      </c>
      <c r="F20" s="103"/>
      <c r="G20" s="95"/>
    </row>
    <row r="21" spans="2:10" x14ac:dyDescent="0.3">
      <c r="B21" s="114" t="s">
        <v>228</v>
      </c>
      <c r="C21" s="114"/>
      <c r="D21" s="114" t="s">
        <v>224</v>
      </c>
      <c r="E21" s="137">
        <v>0.1</v>
      </c>
      <c r="F21" s="104"/>
      <c r="G21" s="97"/>
    </row>
    <row r="22" spans="2:10" x14ac:dyDescent="0.3">
      <c r="B22" s="116" t="s">
        <v>226</v>
      </c>
      <c r="C22" s="116"/>
      <c r="D22" s="115" t="s">
        <v>230</v>
      </c>
      <c r="E22" s="138">
        <v>0.5</v>
      </c>
      <c r="F22" s="105"/>
      <c r="G22" s="98"/>
    </row>
    <row r="23" spans="2:10" x14ac:dyDescent="0.3">
      <c r="B23" s="1"/>
      <c r="C23" s="1"/>
      <c r="D23" s="116" t="s">
        <v>229</v>
      </c>
      <c r="E23" s="139">
        <v>0.8</v>
      </c>
      <c r="F23" s="102"/>
      <c r="G23" s="99"/>
    </row>
    <row r="24" spans="2:10" x14ac:dyDescent="0.3">
      <c r="B24" s="1"/>
      <c r="C24" s="1"/>
      <c r="D24" s="117" t="s">
        <v>225</v>
      </c>
      <c r="E24" s="140">
        <v>1</v>
      </c>
      <c r="F24" s="106"/>
      <c r="G24" s="96"/>
    </row>
  </sheetData>
  <mergeCells count="10">
    <mergeCell ref="B17:G17"/>
    <mergeCell ref="H17:J17"/>
    <mergeCell ref="B18:G18"/>
    <mergeCell ref="H18:J18"/>
    <mergeCell ref="B2:G2"/>
    <mergeCell ref="H2:J2"/>
    <mergeCell ref="G3:H3"/>
    <mergeCell ref="G4:H16"/>
    <mergeCell ref="I4:I14"/>
    <mergeCell ref="J4:J14"/>
  </mergeCells>
  <pageMargins left="0.7" right="0.7" top="0.75" bottom="0.75" header="0.3" footer="0.3"/>
  <pageSetup paperSize="9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4"/>
  <sheetViews>
    <sheetView zoomScaleNormal="100" workbookViewId="0">
      <selection activeCell="D5" sqref="D5"/>
    </sheetView>
  </sheetViews>
  <sheetFormatPr defaultRowHeight="14.4" x14ac:dyDescent="0.3"/>
  <cols>
    <col min="2" max="2" width="60.33203125" customWidth="1"/>
    <col min="3" max="3" width="7.44140625" customWidth="1"/>
    <col min="4" max="4" width="63.44140625" customWidth="1"/>
    <col min="5" max="6" width="9" customWidth="1"/>
    <col min="7" max="7" width="15.6640625" customWidth="1"/>
    <col min="8" max="8" width="13.109375" customWidth="1"/>
    <col min="9" max="9" width="17.88671875" customWidth="1"/>
    <col min="10" max="10" width="17.6640625" customWidth="1"/>
  </cols>
  <sheetData>
    <row r="1" spans="2:10" ht="15" thickBot="1" x14ac:dyDescent="0.35">
      <c r="B1" s="20"/>
      <c r="C1" s="20"/>
    </row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ht="28.8" x14ac:dyDescent="0.3">
      <c r="B3" s="232" t="s">
        <v>10</v>
      </c>
      <c r="C3" s="290">
        <f>ROUND(AVERAGE(C4:C14)*100,0)</f>
        <v>23</v>
      </c>
      <c r="D3" s="235" t="s">
        <v>0</v>
      </c>
      <c r="E3" s="251"/>
      <c r="F3" s="168">
        <f>AVERAGE(F4:F14)</f>
        <v>0.13636363636363635</v>
      </c>
      <c r="G3" s="571" t="s">
        <v>8</v>
      </c>
      <c r="H3" s="572"/>
      <c r="I3" s="156" t="s">
        <v>4</v>
      </c>
      <c r="J3" s="157" t="s">
        <v>13</v>
      </c>
    </row>
    <row r="4" spans="2:10" ht="43.2" x14ac:dyDescent="0.3">
      <c r="B4" s="239" t="s">
        <v>341</v>
      </c>
      <c r="C4" s="164">
        <f>AVERAGE(F4:F5,F8:F9)</f>
        <v>0.25</v>
      </c>
      <c r="D4" s="215" t="s">
        <v>348</v>
      </c>
      <c r="E4" s="166" t="s">
        <v>248</v>
      </c>
      <c r="F4" s="261">
        <v>0</v>
      </c>
      <c r="G4" s="603" t="s">
        <v>31</v>
      </c>
      <c r="H4" s="604"/>
      <c r="I4" s="611" t="s">
        <v>40</v>
      </c>
      <c r="J4" s="583" t="s">
        <v>464</v>
      </c>
    </row>
    <row r="5" spans="2:10" ht="28.8" x14ac:dyDescent="0.3">
      <c r="B5" s="239" t="s">
        <v>342</v>
      </c>
      <c r="C5" s="164"/>
      <c r="D5" s="198" t="s">
        <v>358</v>
      </c>
      <c r="E5" s="166" t="s">
        <v>463</v>
      </c>
      <c r="F5" s="260">
        <v>0.5</v>
      </c>
      <c r="G5" s="603"/>
      <c r="H5" s="604"/>
      <c r="I5" s="611"/>
      <c r="J5" s="583"/>
    </row>
    <row r="6" spans="2:10" ht="28.8" x14ac:dyDescent="0.3">
      <c r="B6" s="239" t="s">
        <v>343</v>
      </c>
      <c r="C6" s="164">
        <f>AVERAGE(F5)</f>
        <v>0.5</v>
      </c>
      <c r="D6" s="215" t="s">
        <v>360</v>
      </c>
      <c r="E6" s="166" t="s">
        <v>350</v>
      </c>
      <c r="F6" s="261">
        <v>0</v>
      </c>
      <c r="G6" s="603"/>
      <c r="H6" s="604"/>
      <c r="I6" s="611"/>
      <c r="J6" s="583"/>
    </row>
    <row r="7" spans="2:10" x14ac:dyDescent="0.3">
      <c r="B7" s="239" t="s">
        <v>404</v>
      </c>
      <c r="C7" s="164">
        <f>AVERAGE(F7:F8)</f>
        <v>0.25</v>
      </c>
      <c r="D7" s="198" t="s">
        <v>359</v>
      </c>
      <c r="E7" s="166" t="s">
        <v>460</v>
      </c>
      <c r="F7" s="260">
        <v>0.5</v>
      </c>
      <c r="G7" s="603"/>
      <c r="H7" s="604"/>
      <c r="I7" s="611"/>
      <c r="J7" s="583"/>
    </row>
    <row r="8" spans="2:10" ht="28.8" x14ac:dyDescent="0.3">
      <c r="B8" s="239" t="s">
        <v>345</v>
      </c>
      <c r="C8" s="164">
        <f>AVERAGE(F9)</f>
        <v>0.5</v>
      </c>
      <c r="D8" s="215" t="s">
        <v>361</v>
      </c>
      <c r="E8" s="166" t="s">
        <v>461</v>
      </c>
      <c r="F8" s="261">
        <v>0</v>
      </c>
      <c r="G8" s="603"/>
      <c r="H8" s="604"/>
      <c r="I8" s="611"/>
      <c r="J8" s="583"/>
    </row>
    <row r="9" spans="2:10" ht="28.8" x14ac:dyDescent="0.3">
      <c r="B9" s="239" t="s">
        <v>346</v>
      </c>
      <c r="C9" s="164">
        <f>AVERAGE(F6, F10)</f>
        <v>0</v>
      </c>
      <c r="D9" s="198" t="s">
        <v>364</v>
      </c>
      <c r="E9" s="166" t="s">
        <v>441</v>
      </c>
      <c r="F9" s="260">
        <v>0.5</v>
      </c>
      <c r="G9" s="603"/>
      <c r="H9" s="604"/>
      <c r="I9" s="611"/>
      <c r="J9" s="583"/>
    </row>
    <row r="10" spans="2:10" x14ac:dyDescent="0.3">
      <c r="B10" s="239" t="s">
        <v>365</v>
      </c>
      <c r="C10" s="164">
        <f>AVERAGE(F7, F11:F13)</f>
        <v>0.125</v>
      </c>
      <c r="D10" s="243" t="s">
        <v>417</v>
      </c>
      <c r="E10" s="166" t="s">
        <v>350</v>
      </c>
      <c r="F10" s="261">
        <v>0</v>
      </c>
      <c r="G10" s="603"/>
      <c r="H10" s="604"/>
      <c r="I10" s="611"/>
      <c r="J10" s="583"/>
    </row>
    <row r="11" spans="2:10" ht="28.8" x14ac:dyDescent="0.3">
      <c r="B11" s="239" t="s">
        <v>465</v>
      </c>
      <c r="C11" s="164">
        <f>AVERAGE( F14)</f>
        <v>0</v>
      </c>
      <c r="D11" s="243" t="s">
        <v>424</v>
      </c>
      <c r="E11" s="166" t="s">
        <v>351</v>
      </c>
      <c r="F11" s="261">
        <v>0</v>
      </c>
      <c r="G11" s="603"/>
      <c r="H11" s="604"/>
      <c r="I11" s="611"/>
      <c r="J11" s="583"/>
    </row>
    <row r="12" spans="2:10" ht="28.8" x14ac:dyDescent="0.3">
      <c r="B12" s="239"/>
      <c r="C12" s="164"/>
      <c r="D12" s="243" t="s">
        <v>362</v>
      </c>
      <c r="E12" s="166" t="s">
        <v>462</v>
      </c>
      <c r="F12" s="261">
        <v>0</v>
      </c>
      <c r="G12" s="603"/>
      <c r="H12" s="604"/>
      <c r="I12" s="611"/>
      <c r="J12" s="583"/>
    </row>
    <row r="13" spans="2:10" x14ac:dyDescent="0.3">
      <c r="B13" s="239"/>
      <c r="C13" s="164"/>
      <c r="D13" s="243" t="s">
        <v>363</v>
      </c>
      <c r="E13" s="166" t="s">
        <v>351</v>
      </c>
      <c r="F13" s="261">
        <v>0</v>
      </c>
      <c r="G13" s="603"/>
      <c r="H13" s="604"/>
      <c r="I13" s="611"/>
      <c r="J13" s="583"/>
    </row>
    <row r="14" spans="2:10" ht="15" thickBot="1" x14ac:dyDescent="0.35">
      <c r="B14" s="241"/>
      <c r="C14" s="173"/>
      <c r="D14" s="262" t="s">
        <v>425</v>
      </c>
      <c r="E14" s="178" t="s">
        <v>269</v>
      </c>
      <c r="F14" s="269">
        <v>0</v>
      </c>
      <c r="G14" s="603"/>
      <c r="H14" s="604"/>
      <c r="I14" s="611"/>
      <c r="J14" s="583"/>
    </row>
    <row r="15" spans="2:10" ht="28.8" x14ac:dyDescent="0.3">
      <c r="B15" s="279" t="s">
        <v>9</v>
      </c>
      <c r="C15" s="280"/>
      <c r="D15" s="246" t="s">
        <v>1</v>
      </c>
      <c r="E15" s="159"/>
      <c r="F15" s="159"/>
      <c r="G15" s="605"/>
      <c r="H15" s="604"/>
      <c r="I15" s="182" t="s">
        <v>5</v>
      </c>
      <c r="J15" s="161" t="s">
        <v>14</v>
      </c>
    </row>
    <row r="16" spans="2:10" ht="72" x14ac:dyDescent="0.3">
      <c r="B16" s="234"/>
      <c r="C16" s="153"/>
      <c r="D16" s="5"/>
      <c r="E16" s="100"/>
      <c r="F16" s="100"/>
      <c r="G16" s="606"/>
      <c r="H16" s="607"/>
      <c r="I16" s="11" t="s">
        <v>42</v>
      </c>
      <c r="J16" s="163"/>
    </row>
    <row r="17" spans="2:10" x14ac:dyDescent="0.3">
      <c r="B17" s="573" t="s">
        <v>2</v>
      </c>
      <c r="C17" s="574"/>
      <c r="D17" s="574"/>
      <c r="E17" s="574"/>
      <c r="F17" s="574"/>
      <c r="G17" s="575"/>
      <c r="H17" s="576" t="s">
        <v>3</v>
      </c>
      <c r="I17" s="574"/>
      <c r="J17" s="577"/>
    </row>
    <row r="18" spans="2:10" ht="12.75" customHeight="1" thickBot="1" x14ac:dyDescent="0.35">
      <c r="B18" s="535"/>
      <c r="C18" s="536"/>
      <c r="D18" s="536"/>
      <c r="E18" s="536"/>
      <c r="F18" s="536"/>
      <c r="G18" s="537"/>
      <c r="H18" s="538"/>
      <c r="I18" s="536"/>
      <c r="J18" s="539"/>
    </row>
    <row r="20" spans="2:10" x14ac:dyDescent="0.3">
      <c r="B20" s="1" t="s">
        <v>227</v>
      </c>
      <c r="C20" s="1"/>
      <c r="D20" s="1" t="s">
        <v>223</v>
      </c>
      <c r="E20" s="136">
        <v>0</v>
      </c>
      <c r="F20" s="103"/>
      <c r="G20" s="95"/>
    </row>
    <row r="21" spans="2:10" x14ac:dyDescent="0.3">
      <c r="B21" s="114" t="s">
        <v>228</v>
      </c>
      <c r="C21" s="114"/>
      <c r="D21" s="114" t="s">
        <v>224</v>
      </c>
      <c r="E21" s="137">
        <v>0.1</v>
      </c>
      <c r="F21" s="104"/>
      <c r="G21" s="97"/>
    </row>
    <row r="22" spans="2:10" x14ac:dyDescent="0.3">
      <c r="B22" s="116" t="s">
        <v>226</v>
      </c>
      <c r="C22" s="116"/>
      <c r="D22" s="115" t="s">
        <v>230</v>
      </c>
      <c r="E22" s="138">
        <v>0.5</v>
      </c>
      <c r="F22" s="105"/>
      <c r="G22" s="98"/>
    </row>
    <row r="23" spans="2:10" x14ac:dyDescent="0.3">
      <c r="B23" s="1"/>
      <c r="C23" s="1"/>
      <c r="D23" s="116" t="s">
        <v>229</v>
      </c>
      <c r="E23" s="139">
        <v>0.8</v>
      </c>
      <c r="F23" s="102"/>
      <c r="G23" s="99"/>
    </row>
    <row r="24" spans="2:10" x14ac:dyDescent="0.3">
      <c r="B24" s="1"/>
      <c r="C24" s="1"/>
      <c r="D24" s="117" t="s">
        <v>225</v>
      </c>
      <c r="E24" s="140">
        <v>1</v>
      </c>
      <c r="F24" s="106"/>
      <c r="G24" s="96"/>
    </row>
  </sheetData>
  <mergeCells count="10">
    <mergeCell ref="B17:G17"/>
    <mergeCell ref="H17:J17"/>
    <mergeCell ref="B18:G18"/>
    <mergeCell ref="H18:J18"/>
    <mergeCell ref="B2:G2"/>
    <mergeCell ref="H2:J2"/>
    <mergeCell ref="G3:H3"/>
    <mergeCell ref="G4:H16"/>
    <mergeCell ref="I4:I14"/>
    <mergeCell ref="J4:J14"/>
  </mergeCells>
  <pageMargins left="0.7" right="0.7" top="0.75" bottom="0.75" header="0.3" footer="0.3"/>
  <pageSetup paperSize="9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9"/>
  <sheetViews>
    <sheetView zoomScaleNormal="100" workbookViewId="0">
      <selection activeCell="D5" sqref="B4:J18"/>
    </sheetView>
  </sheetViews>
  <sheetFormatPr defaultRowHeight="14.4" x14ac:dyDescent="0.3"/>
  <cols>
    <col min="2" max="2" width="66.88671875" customWidth="1"/>
    <col min="3" max="3" width="5.33203125" customWidth="1"/>
    <col min="4" max="4" width="48" customWidth="1"/>
    <col min="5" max="5" width="7.109375" customWidth="1"/>
    <col min="6" max="6" width="5.3320312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x14ac:dyDescent="0.3">
      <c r="B3" s="232" t="s">
        <v>10</v>
      </c>
      <c r="C3" s="290">
        <f>ROUND(AVERAGE(C4:C18)*100,0)</f>
        <v>31</v>
      </c>
      <c r="D3" s="235" t="s">
        <v>0</v>
      </c>
      <c r="E3" s="251" t="s">
        <v>282</v>
      </c>
      <c r="F3" s="168">
        <f>AVERAGE(F4:F18)</f>
        <v>0.27142857142857141</v>
      </c>
      <c r="G3" s="571" t="s">
        <v>8</v>
      </c>
      <c r="H3" s="572"/>
      <c r="I3" s="156" t="s">
        <v>4</v>
      </c>
      <c r="J3" s="157" t="s">
        <v>13</v>
      </c>
    </row>
    <row r="4" spans="2:10" ht="28.8" x14ac:dyDescent="0.3">
      <c r="B4" s="218" t="s">
        <v>386</v>
      </c>
      <c r="C4" s="164">
        <f>AVERAGE(F5,F6)</f>
        <v>0.25</v>
      </c>
      <c r="D4" s="215" t="s">
        <v>281</v>
      </c>
      <c r="E4" s="166"/>
      <c r="F4" s="171"/>
      <c r="G4" s="593" t="s">
        <v>221</v>
      </c>
      <c r="H4" s="594"/>
      <c r="I4" s="598" t="s">
        <v>232</v>
      </c>
      <c r="J4" s="583" t="s">
        <v>340</v>
      </c>
    </row>
    <row r="5" spans="2:10" ht="57.6" x14ac:dyDescent="0.3">
      <c r="B5" s="218" t="s">
        <v>296</v>
      </c>
      <c r="C5" s="164">
        <f>F6</f>
        <v>0</v>
      </c>
      <c r="D5" s="217" t="s">
        <v>379</v>
      </c>
      <c r="E5" s="166" t="s">
        <v>283</v>
      </c>
      <c r="F5" s="164">
        <v>0.5</v>
      </c>
      <c r="G5" s="593"/>
      <c r="H5" s="594"/>
      <c r="I5" s="598"/>
      <c r="J5" s="583"/>
    </row>
    <row r="6" spans="2:10" ht="28.8" x14ac:dyDescent="0.3">
      <c r="B6" s="218" t="s">
        <v>297</v>
      </c>
      <c r="C6" s="164">
        <f>AVERAGE(F7,F8, F9)</f>
        <v>0.33333333333333331</v>
      </c>
      <c r="D6" s="180" t="s">
        <v>387</v>
      </c>
      <c r="E6" s="166" t="s">
        <v>285</v>
      </c>
      <c r="F6" s="164">
        <v>0</v>
      </c>
      <c r="G6" s="593"/>
      <c r="H6" s="594"/>
      <c r="I6" s="598"/>
      <c r="J6" s="583"/>
    </row>
    <row r="7" spans="2:10" ht="43.2" x14ac:dyDescent="0.3">
      <c r="B7" s="218" t="s">
        <v>298</v>
      </c>
      <c r="C7" s="164">
        <f>AVERAGE(F5,F6, F14, F15)</f>
        <v>0.25</v>
      </c>
      <c r="D7" s="217" t="s">
        <v>381</v>
      </c>
      <c r="E7" s="166" t="s">
        <v>286</v>
      </c>
      <c r="F7" s="164">
        <v>0.5</v>
      </c>
      <c r="G7" s="593"/>
      <c r="H7" s="594"/>
      <c r="I7" s="598"/>
      <c r="J7" s="583"/>
    </row>
    <row r="8" spans="2:10" ht="28.8" x14ac:dyDescent="0.3">
      <c r="B8" s="218" t="s">
        <v>299</v>
      </c>
      <c r="C8" s="164">
        <f>AVERAGE(F12,F10, F11, F13)</f>
        <v>0.125</v>
      </c>
      <c r="D8" s="217" t="s">
        <v>382</v>
      </c>
      <c r="E8" s="166" t="s">
        <v>286</v>
      </c>
      <c r="F8" s="164">
        <v>0.5</v>
      </c>
      <c r="G8" s="593"/>
      <c r="H8" s="594"/>
      <c r="I8" s="598"/>
      <c r="J8" s="583"/>
    </row>
    <row r="9" spans="2:10" ht="28.8" x14ac:dyDescent="0.3">
      <c r="B9" s="218" t="s">
        <v>377</v>
      </c>
      <c r="C9" s="164">
        <f>F16</f>
        <v>0.8</v>
      </c>
      <c r="D9" s="180" t="s">
        <v>287</v>
      </c>
      <c r="E9" s="166" t="s">
        <v>286</v>
      </c>
      <c r="F9" s="164">
        <v>0</v>
      </c>
      <c r="G9" s="593"/>
      <c r="H9" s="594"/>
      <c r="I9" s="598"/>
      <c r="J9" s="583"/>
    </row>
    <row r="10" spans="2:10" x14ac:dyDescent="0.3">
      <c r="B10" s="218" t="s">
        <v>378</v>
      </c>
      <c r="C10" s="164">
        <f>AVERAGE(F17)</f>
        <v>0</v>
      </c>
      <c r="D10" s="217" t="s">
        <v>288</v>
      </c>
      <c r="E10" s="166" t="s">
        <v>292</v>
      </c>
      <c r="F10" s="164">
        <v>0.5</v>
      </c>
      <c r="G10" s="593"/>
      <c r="H10" s="594"/>
      <c r="I10" s="598"/>
      <c r="J10" s="583"/>
    </row>
    <row r="11" spans="2:10" ht="28.8" x14ac:dyDescent="0.3">
      <c r="B11" s="218" t="s">
        <v>388</v>
      </c>
      <c r="C11" s="164">
        <f>F14</f>
        <v>0.5</v>
      </c>
      <c r="D11" s="180" t="s">
        <v>289</v>
      </c>
      <c r="E11" s="166" t="s">
        <v>292</v>
      </c>
      <c r="F11" s="164">
        <v>0</v>
      </c>
      <c r="G11" s="593"/>
      <c r="H11" s="594"/>
      <c r="I11" s="598"/>
      <c r="J11" s="583"/>
    </row>
    <row r="12" spans="2:10" x14ac:dyDescent="0.3">
      <c r="B12" s="218" t="s">
        <v>442</v>
      </c>
      <c r="C12" s="164">
        <f>F18</f>
        <v>0.5</v>
      </c>
      <c r="D12" s="180" t="s">
        <v>290</v>
      </c>
      <c r="E12" s="166" t="s">
        <v>292</v>
      </c>
      <c r="F12" s="164">
        <v>0</v>
      </c>
      <c r="G12" s="593"/>
      <c r="H12" s="594"/>
      <c r="I12" s="598"/>
      <c r="J12" s="583"/>
    </row>
    <row r="13" spans="2:10" x14ac:dyDescent="0.3">
      <c r="B13" s="218"/>
      <c r="C13" s="222"/>
      <c r="D13" s="180" t="s">
        <v>291</v>
      </c>
      <c r="E13" s="166" t="s">
        <v>292</v>
      </c>
      <c r="F13" s="164">
        <v>0</v>
      </c>
      <c r="G13" s="593"/>
      <c r="H13" s="594"/>
      <c r="I13" s="598"/>
      <c r="J13" s="583"/>
    </row>
    <row r="14" spans="2:10" ht="28.8" x14ac:dyDescent="0.3">
      <c r="B14" s="218"/>
      <c r="C14" s="223"/>
      <c r="D14" s="217" t="s">
        <v>293</v>
      </c>
      <c r="E14" s="166" t="s">
        <v>389</v>
      </c>
      <c r="F14" s="164">
        <v>0.5</v>
      </c>
      <c r="G14" s="593"/>
      <c r="H14" s="594"/>
      <c r="I14" s="598"/>
      <c r="J14" s="583"/>
    </row>
    <row r="15" spans="2:10" ht="28.8" x14ac:dyDescent="0.3">
      <c r="B15" s="218"/>
      <c r="C15" s="223"/>
      <c r="D15" s="180" t="s">
        <v>250</v>
      </c>
      <c r="E15" s="166" t="s">
        <v>294</v>
      </c>
      <c r="F15" s="164">
        <v>0</v>
      </c>
      <c r="G15" s="593"/>
      <c r="H15" s="594"/>
      <c r="I15" s="598"/>
      <c r="J15" s="583"/>
    </row>
    <row r="16" spans="2:10" x14ac:dyDescent="0.3">
      <c r="B16" s="218"/>
      <c r="C16" s="223"/>
      <c r="D16" s="179" t="s">
        <v>249</v>
      </c>
      <c r="E16" s="209" t="s">
        <v>268</v>
      </c>
      <c r="F16" s="164">
        <v>0.8</v>
      </c>
      <c r="G16" s="593"/>
      <c r="H16" s="594"/>
      <c r="I16" s="598"/>
      <c r="J16" s="583"/>
    </row>
    <row r="17" spans="2:10" ht="28.8" x14ac:dyDescent="0.3">
      <c r="B17" s="218"/>
      <c r="C17" s="223"/>
      <c r="D17" s="224" t="s">
        <v>273</v>
      </c>
      <c r="E17" s="209" t="s">
        <v>272</v>
      </c>
      <c r="F17" s="164">
        <v>0</v>
      </c>
      <c r="G17" s="593"/>
      <c r="H17" s="594"/>
      <c r="I17" s="599"/>
      <c r="J17" s="600"/>
    </row>
    <row r="18" spans="2:10" ht="15" thickBot="1" x14ac:dyDescent="0.35">
      <c r="B18" s="219"/>
      <c r="C18" s="192"/>
      <c r="D18" s="216" t="s">
        <v>444</v>
      </c>
      <c r="E18" s="225" t="s">
        <v>443</v>
      </c>
      <c r="F18" s="165">
        <v>0.5</v>
      </c>
      <c r="G18" s="593"/>
      <c r="H18" s="594"/>
      <c r="I18" s="118"/>
      <c r="J18" s="119"/>
    </row>
    <row r="19" spans="2:10" x14ac:dyDescent="0.3">
      <c r="B19" s="189" t="s">
        <v>9</v>
      </c>
      <c r="C19" s="143"/>
      <c r="D19" s="194" t="s">
        <v>1</v>
      </c>
      <c r="E19" s="186"/>
      <c r="F19" s="186"/>
      <c r="G19" s="595"/>
      <c r="H19" s="594"/>
      <c r="I19" s="182" t="s">
        <v>5</v>
      </c>
      <c r="J19" s="161" t="s">
        <v>14</v>
      </c>
    </row>
    <row r="20" spans="2:10" ht="57.6" x14ac:dyDescent="0.3">
      <c r="B20" s="187"/>
      <c r="C20" s="188"/>
      <c r="D20" s="19" t="s">
        <v>20</v>
      </c>
      <c r="E20" s="92"/>
      <c r="F20" s="92"/>
      <c r="G20" s="596"/>
      <c r="H20" s="597"/>
      <c r="I20" s="5" t="s">
        <v>18</v>
      </c>
      <c r="J20" s="163"/>
    </row>
    <row r="21" spans="2:10" x14ac:dyDescent="0.3">
      <c r="B21" s="573" t="s">
        <v>2</v>
      </c>
      <c r="C21" s="574"/>
      <c r="D21" s="574"/>
      <c r="E21" s="574"/>
      <c r="F21" s="574"/>
      <c r="G21" s="575"/>
      <c r="H21" s="576" t="s">
        <v>3</v>
      </c>
      <c r="I21" s="574"/>
      <c r="J21" s="577"/>
    </row>
    <row r="22" spans="2:10" ht="15" thickBot="1" x14ac:dyDescent="0.35">
      <c r="B22" s="535"/>
      <c r="C22" s="536"/>
      <c r="D22" s="536"/>
      <c r="E22" s="536"/>
      <c r="F22" s="536"/>
      <c r="G22" s="537"/>
      <c r="H22" s="538"/>
      <c r="I22" s="536"/>
      <c r="J22" s="539"/>
    </row>
    <row r="24" spans="2:10" x14ac:dyDescent="0.3">
      <c r="B24" s="1" t="s">
        <v>227</v>
      </c>
      <c r="C24" s="1"/>
      <c r="D24" s="1" t="s">
        <v>223</v>
      </c>
      <c r="E24" s="136">
        <v>0</v>
      </c>
    </row>
    <row r="25" spans="2:10" x14ac:dyDescent="0.3">
      <c r="B25" s="114" t="s">
        <v>228</v>
      </c>
      <c r="C25" s="114"/>
      <c r="D25" s="114" t="s">
        <v>224</v>
      </c>
      <c r="E25" s="137">
        <v>0.1</v>
      </c>
    </row>
    <row r="26" spans="2:10" x14ac:dyDescent="0.3">
      <c r="B26" s="116" t="s">
        <v>226</v>
      </c>
      <c r="C26" s="116"/>
      <c r="D26" s="115" t="s">
        <v>230</v>
      </c>
      <c r="E26" s="138">
        <v>0.5</v>
      </c>
      <c r="F26" s="86"/>
    </row>
    <row r="27" spans="2:10" x14ac:dyDescent="0.3">
      <c r="B27" s="1"/>
      <c r="C27" s="1"/>
      <c r="D27" s="116" t="s">
        <v>229</v>
      </c>
      <c r="E27" s="139">
        <v>0.8</v>
      </c>
      <c r="F27" s="89"/>
    </row>
    <row r="28" spans="2:10" x14ac:dyDescent="0.3">
      <c r="B28" s="1"/>
      <c r="C28" s="1"/>
      <c r="D28" s="117" t="s">
        <v>225</v>
      </c>
      <c r="E28" s="140">
        <v>1</v>
      </c>
      <c r="F28" s="88"/>
    </row>
    <row r="29" spans="2:10" x14ac:dyDescent="0.3">
      <c r="D29" s="117"/>
      <c r="E29" s="87"/>
      <c r="F29" s="87"/>
    </row>
  </sheetData>
  <mergeCells count="10">
    <mergeCell ref="B21:G21"/>
    <mergeCell ref="H21:J21"/>
    <mergeCell ref="B22:G22"/>
    <mergeCell ref="H22:J22"/>
    <mergeCell ref="B2:G2"/>
    <mergeCell ref="H2:J2"/>
    <mergeCell ref="G3:H3"/>
    <mergeCell ref="G4:H20"/>
    <mergeCell ref="I4:I17"/>
    <mergeCell ref="J4:J17"/>
  </mergeCells>
  <pageMargins left="0.7" right="0.7" top="0.75" bottom="0.75" header="0.3" footer="0.3"/>
  <pageSetup paperSize="9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1"/>
  <sheetViews>
    <sheetView zoomScaleNormal="100" workbookViewId="0">
      <selection activeCell="D5" sqref="B4:J18"/>
    </sheetView>
  </sheetViews>
  <sheetFormatPr defaultRowHeight="14.4" x14ac:dyDescent="0.3"/>
  <cols>
    <col min="2" max="2" width="70.109375" customWidth="1"/>
    <col min="3" max="3" width="5.33203125" customWidth="1"/>
    <col min="4" max="4" width="60.5546875" customWidth="1"/>
    <col min="5" max="5" width="7.109375" customWidth="1"/>
    <col min="6" max="6" width="5.3320312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x14ac:dyDescent="0.3">
      <c r="B3" s="232" t="s">
        <v>10</v>
      </c>
      <c r="C3" s="290">
        <f>ROUND(AVERAGE(C4:C20)*100,0)</f>
        <v>32</v>
      </c>
      <c r="D3" s="235" t="s">
        <v>0</v>
      </c>
      <c r="E3" s="257" t="s">
        <v>282</v>
      </c>
      <c r="F3" s="274">
        <f>AVERAGE(F4:F18)</f>
        <v>0.27142857142857141</v>
      </c>
      <c r="G3" s="571" t="s">
        <v>8</v>
      </c>
      <c r="H3" s="572"/>
      <c r="I3" s="156" t="s">
        <v>4</v>
      </c>
      <c r="J3" s="157" t="s">
        <v>13</v>
      </c>
    </row>
    <row r="4" spans="2:10" ht="28.8" x14ac:dyDescent="0.3">
      <c r="B4" s="218" t="s">
        <v>386</v>
      </c>
      <c r="C4" s="164">
        <f>AVERAGE(F5,F6)</f>
        <v>0.25</v>
      </c>
      <c r="D4" s="215" t="s">
        <v>281</v>
      </c>
      <c r="E4" s="166"/>
      <c r="F4" s="171"/>
      <c r="G4" s="593" t="s">
        <v>221</v>
      </c>
      <c r="H4" s="594"/>
      <c r="I4" s="598" t="s">
        <v>232</v>
      </c>
      <c r="J4" s="583" t="s">
        <v>471</v>
      </c>
    </row>
    <row r="5" spans="2:10" ht="57.6" x14ac:dyDescent="0.3">
      <c r="B5" s="218" t="s">
        <v>296</v>
      </c>
      <c r="C5" s="164">
        <f>F6</f>
        <v>0</v>
      </c>
      <c r="D5" s="217" t="s">
        <v>379</v>
      </c>
      <c r="E5" s="166" t="s">
        <v>283</v>
      </c>
      <c r="F5" s="164">
        <v>0.5</v>
      </c>
      <c r="G5" s="593"/>
      <c r="H5" s="594"/>
      <c r="I5" s="598"/>
      <c r="J5" s="583"/>
    </row>
    <row r="6" spans="2:10" ht="28.8" x14ac:dyDescent="0.3">
      <c r="B6" s="218" t="s">
        <v>297</v>
      </c>
      <c r="C6" s="164">
        <f>AVERAGE(F7,F8, F9)</f>
        <v>0.33333333333333331</v>
      </c>
      <c r="D6" s="180" t="s">
        <v>387</v>
      </c>
      <c r="E6" s="166" t="s">
        <v>285</v>
      </c>
      <c r="F6" s="164">
        <v>0</v>
      </c>
      <c r="G6" s="593"/>
      <c r="H6" s="594"/>
      <c r="I6" s="598"/>
      <c r="J6" s="583"/>
    </row>
    <row r="7" spans="2:10" ht="43.2" x14ac:dyDescent="0.3">
      <c r="B7" s="218" t="s">
        <v>298</v>
      </c>
      <c r="C7" s="164">
        <f>AVERAGE(F5,F6, F14, F15)</f>
        <v>0.25</v>
      </c>
      <c r="D7" s="217" t="s">
        <v>381</v>
      </c>
      <c r="E7" s="166" t="s">
        <v>286</v>
      </c>
      <c r="F7" s="164">
        <v>0.5</v>
      </c>
      <c r="G7" s="593"/>
      <c r="H7" s="594"/>
      <c r="I7" s="598"/>
      <c r="J7" s="583"/>
    </row>
    <row r="8" spans="2:10" ht="28.8" x14ac:dyDescent="0.3">
      <c r="B8" s="218" t="s">
        <v>299</v>
      </c>
      <c r="C8" s="164">
        <f>AVERAGE(F12,F10, F11, F13)</f>
        <v>0.125</v>
      </c>
      <c r="D8" s="217" t="s">
        <v>382</v>
      </c>
      <c r="E8" s="166" t="s">
        <v>286</v>
      </c>
      <c r="F8" s="164">
        <v>0.5</v>
      </c>
      <c r="G8" s="593"/>
      <c r="H8" s="594"/>
      <c r="I8" s="598"/>
      <c r="J8" s="583"/>
    </row>
    <row r="9" spans="2:10" ht="28.8" x14ac:dyDescent="0.3">
      <c r="B9" s="218" t="s">
        <v>377</v>
      </c>
      <c r="C9" s="164">
        <f>F16</f>
        <v>0.8</v>
      </c>
      <c r="D9" s="180" t="s">
        <v>287</v>
      </c>
      <c r="E9" s="166" t="s">
        <v>286</v>
      </c>
      <c r="F9" s="164">
        <v>0</v>
      </c>
      <c r="G9" s="593"/>
      <c r="H9" s="594"/>
      <c r="I9" s="598"/>
      <c r="J9" s="583"/>
    </row>
    <row r="10" spans="2:10" ht="28.8" x14ac:dyDescent="0.3">
      <c r="B10" s="218" t="s">
        <v>466</v>
      </c>
      <c r="C10" s="164">
        <f>AVERAGE(F17)</f>
        <v>0</v>
      </c>
      <c r="D10" s="217" t="s">
        <v>288</v>
      </c>
      <c r="E10" s="166" t="s">
        <v>292</v>
      </c>
      <c r="F10" s="164">
        <v>0.5</v>
      </c>
      <c r="G10" s="593"/>
      <c r="H10" s="594"/>
      <c r="I10" s="598"/>
      <c r="J10" s="583"/>
    </row>
    <row r="11" spans="2:10" ht="28.8" x14ac:dyDescent="0.3">
      <c r="B11" s="218" t="s">
        <v>388</v>
      </c>
      <c r="C11" s="164">
        <f>F14</f>
        <v>0.5</v>
      </c>
      <c r="D11" s="180" t="s">
        <v>289</v>
      </c>
      <c r="E11" s="166" t="s">
        <v>292</v>
      </c>
      <c r="F11" s="164">
        <v>0</v>
      </c>
      <c r="G11" s="593"/>
      <c r="H11" s="594"/>
      <c r="I11" s="598"/>
      <c r="J11" s="583"/>
    </row>
    <row r="12" spans="2:10" x14ac:dyDescent="0.3">
      <c r="B12" s="218" t="s">
        <v>442</v>
      </c>
      <c r="C12" s="164">
        <f>F18</f>
        <v>0.5</v>
      </c>
      <c r="D12" s="180" t="s">
        <v>290</v>
      </c>
      <c r="E12" s="166" t="s">
        <v>292</v>
      </c>
      <c r="F12" s="164">
        <v>0</v>
      </c>
      <c r="G12" s="593"/>
      <c r="H12" s="594"/>
      <c r="I12" s="598"/>
      <c r="J12" s="583"/>
    </row>
    <row r="13" spans="2:10" ht="28.8" x14ac:dyDescent="0.3">
      <c r="B13" s="218" t="s">
        <v>467</v>
      </c>
      <c r="C13" s="222">
        <f>AVERAGE(F20,F19)</f>
        <v>0.25</v>
      </c>
      <c r="D13" s="180" t="s">
        <v>291</v>
      </c>
      <c r="E13" s="166" t="s">
        <v>292</v>
      </c>
      <c r="F13" s="164">
        <v>0</v>
      </c>
      <c r="G13" s="593"/>
      <c r="H13" s="594"/>
      <c r="I13" s="598"/>
      <c r="J13" s="583"/>
    </row>
    <row r="14" spans="2:10" x14ac:dyDescent="0.3">
      <c r="B14" s="218" t="s">
        <v>468</v>
      </c>
      <c r="C14" s="222">
        <f>F20</f>
        <v>0.5</v>
      </c>
      <c r="D14" s="184" t="s">
        <v>293</v>
      </c>
      <c r="E14" s="166" t="s">
        <v>389</v>
      </c>
      <c r="F14" s="164">
        <v>0.5</v>
      </c>
      <c r="G14" s="593"/>
      <c r="H14" s="594"/>
      <c r="I14" s="598"/>
      <c r="J14" s="583"/>
    </row>
    <row r="15" spans="2:10" ht="28.8" x14ac:dyDescent="0.3">
      <c r="B15" s="218"/>
      <c r="C15" s="223"/>
      <c r="D15" s="180" t="s">
        <v>250</v>
      </c>
      <c r="E15" s="166" t="s">
        <v>294</v>
      </c>
      <c r="F15" s="164">
        <v>0</v>
      </c>
      <c r="G15" s="593"/>
      <c r="H15" s="594"/>
      <c r="I15" s="598"/>
      <c r="J15" s="583"/>
    </row>
    <row r="16" spans="2:10" x14ac:dyDescent="0.3">
      <c r="B16" s="218"/>
      <c r="C16" s="223"/>
      <c r="D16" s="179" t="s">
        <v>249</v>
      </c>
      <c r="E16" s="209" t="s">
        <v>268</v>
      </c>
      <c r="F16" s="164">
        <v>0.8</v>
      </c>
      <c r="G16" s="593"/>
      <c r="H16" s="594"/>
      <c r="I16" s="598"/>
      <c r="J16" s="583"/>
    </row>
    <row r="17" spans="2:10" x14ac:dyDescent="0.3">
      <c r="B17" s="218"/>
      <c r="C17" s="223"/>
      <c r="D17" s="224" t="s">
        <v>273</v>
      </c>
      <c r="E17" s="209" t="s">
        <v>272</v>
      </c>
      <c r="F17" s="164">
        <v>0</v>
      </c>
      <c r="G17" s="593"/>
      <c r="H17" s="594"/>
      <c r="I17" s="599"/>
      <c r="J17" s="600"/>
    </row>
    <row r="18" spans="2:10" x14ac:dyDescent="0.3">
      <c r="B18" s="218"/>
      <c r="C18" s="223"/>
      <c r="D18" s="184" t="s">
        <v>444</v>
      </c>
      <c r="E18" s="209" t="s">
        <v>443</v>
      </c>
      <c r="F18" s="164">
        <v>0.5</v>
      </c>
      <c r="G18" s="593"/>
      <c r="H18" s="594"/>
      <c r="I18" s="118"/>
      <c r="J18" s="119"/>
    </row>
    <row r="19" spans="2:10" x14ac:dyDescent="0.3">
      <c r="B19" s="218"/>
      <c r="C19" s="223"/>
      <c r="D19" s="224" t="s">
        <v>306</v>
      </c>
      <c r="E19" s="209" t="s">
        <v>469</v>
      </c>
      <c r="F19" s="164">
        <v>0</v>
      </c>
      <c r="G19" s="593"/>
      <c r="H19" s="594"/>
      <c r="I19" s="118"/>
      <c r="J19" s="119"/>
    </row>
    <row r="20" spans="2:10" ht="29.4" thickBot="1" x14ac:dyDescent="0.35">
      <c r="B20" s="219"/>
      <c r="C20" s="192"/>
      <c r="D20" s="216" t="s">
        <v>307</v>
      </c>
      <c r="E20" s="225" t="s">
        <v>470</v>
      </c>
      <c r="F20" s="165">
        <v>0.5</v>
      </c>
      <c r="G20" s="593"/>
      <c r="H20" s="594"/>
      <c r="I20" s="118"/>
      <c r="J20" s="119"/>
    </row>
    <row r="21" spans="2:10" x14ac:dyDescent="0.3">
      <c r="B21" s="189" t="s">
        <v>9</v>
      </c>
      <c r="C21" s="143"/>
      <c r="D21" s="194" t="s">
        <v>1</v>
      </c>
      <c r="E21" s="186"/>
      <c r="F21" s="186"/>
      <c r="G21" s="595"/>
      <c r="H21" s="594"/>
      <c r="I21" s="182" t="s">
        <v>5</v>
      </c>
      <c r="J21" s="161" t="s">
        <v>14</v>
      </c>
    </row>
    <row r="22" spans="2:10" ht="57.6" x14ac:dyDescent="0.3">
      <c r="B22" s="187"/>
      <c r="C22" s="188"/>
      <c r="D22" s="19" t="s">
        <v>20</v>
      </c>
      <c r="E22" s="92"/>
      <c r="F22" s="92"/>
      <c r="G22" s="596"/>
      <c r="H22" s="597"/>
      <c r="I22" s="5" t="s">
        <v>18</v>
      </c>
      <c r="J22" s="163"/>
    </row>
    <row r="23" spans="2:10" x14ac:dyDescent="0.3">
      <c r="B23" s="573" t="s">
        <v>2</v>
      </c>
      <c r="C23" s="574"/>
      <c r="D23" s="574"/>
      <c r="E23" s="574"/>
      <c r="F23" s="574"/>
      <c r="G23" s="575"/>
      <c r="H23" s="576" t="s">
        <v>3</v>
      </c>
      <c r="I23" s="574"/>
      <c r="J23" s="577"/>
    </row>
    <row r="24" spans="2:10" ht="15" thickBot="1" x14ac:dyDescent="0.35">
      <c r="B24" s="535"/>
      <c r="C24" s="536"/>
      <c r="D24" s="536"/>
      <c r="E24" s="536"/>
      <c r="F24" s="536"/>
      <c r="G24" s="537"/>
      <c r="H24" s="538"/>
      <c r="I24" s="536"/>
      <c r="J24" s="539"/>
    </row>
    <row r="26" spans="2:10" x14ac:dyDescent="0.3">
      <c r="B26" s="1" t="s">
        <v>227</v>
      </c>
      <c r="C26" s="1"/>
      <c r="D26" s="1" t="s">
        <v>223</v>
      </c>
      <c r="E26" s="136">
        <v>0</v>
      </c>
    </row>
    <row r="27" spans="2:10" x14ac:dyDescent="0.3">
      <c r="B27" s="114" t="s">
        <v>228</v>
      </c>
      <c r="C27" s="114"/>
      <c r="D27" s="114" t="s">
        <v>224</v>
      </c>
      <c r="E27" s="137">
        <v>0.1</v>
      </c>
    </row>
    <row r="28" spans="2:10" x14ac:dyDescent="0.3">
      <c r="B28" s="116" t="s">
        <v>226</v>
      </c>
      <c r="C28" s="116"/>
      <c r="D28" s="115" t="s">
        <v>230</v>
      </c>
      <c r="E28" s="138">
        <v>0.5</v>
      </c>
      <c r="F28" s="86"/>
    </row>
    <row r="29" spans="2:10" x14ac:dyDescent="0.3">
      <c r="B29" s="1"/>
      <c r="C29" s="1"/>
      <c r="D29" s="116" t="s">
        <v>229</v>
      </c>
      <c r="E29" s="139">
        <v>0.8</v>
      </c>
      <c r="F29" s="89"/>
    </row>
    <row r="30" spans="2:10" x14ac:dyDescent="0.3">
      <c r="B30" s="1"/>
      <c r="C30" s="1"/>
      <c r="D30" s="117" t="s">
        <v>225</v>
      </c>
      <c r="E30" s="140">
        <v>1</v>
      </c>
      <c r="F30" s="88"/>
    </row>
    <row r="31" spans="2:10" x14ac:dyDescent="0.3">
      <c r="D31" s="117"/>
      <c r="E31" s="87"/>
      <c r="F31" s="87"/>
    </row>
  </sheetData>
  <mergeCells count="10">
    <mergeCell ref="B23:G23"/>
    <mergeCell ref="H23:J23"/>
    <mergeCell ref="B24:G24"/>
    <mergeCell ref="H24:J24"/>
    <mergeCell ref="B2:G2"/>
    <mergeCell ref="H2:J2"/>
    <mergeCell ref="G3:H3"/>
    <mergeCell ref="G4:H22"/>
    <mergeCell ref="I4:I17"/>
    <mergeCell ref="J4:J17"/>
  </mergeCells>
  <pageMargins left="0.7" right="0.7" top="0.75" bottom="0.75" header="0.3" footer="0.3"/>
  <pageSetup paperSize="9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7"/>
  <sheetViews>
    <sheetView zoomScale="115" zoomScaleNormal="115" workbookViewId="0">
      <selection activeCell="D5" sqref="B4:J18"/>
    </sheetView>
  </sheetViews>
  <sheetFormatPr defaultRowHeight="14.4" x14ac:dyDescent="0.3"/>
  <cols>
    <col min="2" max="2" width="45.109375" customWidth="1"/>
    <col min="3" max="3" width="5.88671875" customWidth="1"/>
    <col min="4" max="4" width="27" customWidth="1"/>
    <col min="5" max="6" width="7.109375" customWidth="1"/>
    <col min="7" max="7" width="15.6640625" customWidth="1"/>
    <col min="8" max="8" width="28.44140625" customWidth="1"/>
    <col min="9" max="10" width="30.66406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x14ac:dyDescent="0.3">
      <c r="B3" s="232" t="s">
        <v>10</v>
      </c>
      <c r="C3" s="290">
        <f>ROUND(AVERAGE(C4:C7)*100,0)</f>
        <v>25</v>
      </c>
      <c r="D3" s="235" t="s">
        <v>0</v>
      </c>
      <c r="E3" s="251"/>
      <c r="F3" s="168">
        <f>AVERAGE(F4:F7)</f>
        <v>0.25</v>
      </c>
      <c r="G3" s="571" t="s">
        <v>8</v>
      </c>
      <c r="H3" s="572"/>
      <c r="I3" s="156" t="s">
        <v>4</v>
      </c>
      <c r="J3" s="157" t="s">
        <v>13</v>
      </c>
    </row>
    <row r="4" spans="2:10" ht="57.6" x14ac:dyDescent="0.3">
      <c r="B4" s="218" t="s">
        <v>472</v>
      </c>
      <c r="C4" s="164">
        <f>AVERAGE(F4)</f>
        <v>0.5</v>
      </c>
      <c r="D4" s="198" t="s">
        <v>475</v>
      </c>
      <c r="E4" s="166" t="s">
        <v>248</v>
      </c>
      <c r="F4" s="260">
        <v>0.5</v>
      </c>
      <c r="G4" s="554" t="s">
        <v>480</v>
      </c>
      <c r="H4" s="578"/>
      <c r="I4" s="598" t="s">
        <v>376</v>
      </c>
      <c r="J4" s="583" t="s">
        <v>478</v>
      </c>
    </row>
    <row r="5" spans="2:10" ht="28.8" x14ac:dyDescent="0.3">
      <c r="B5" s="218" t="s">
        <v>473</v>
      </c>
      <c r="C5" s="164">
        <f t="shared" ref="C5:C7" si="0">AVERAGE(F5)</f>
        <v>0.5</v>
      </c>
      <c r="D5" s="198" t="s">
        <v>476</v>
      </c>
      <c r="E5" s="166" t="s">
        <v>267</v>
      </c>
      <c r="F5" s="260">
        <v>0.5</v>
      </c>
      <c r="G5" s="554"/>
      <c r="H5" s="578"/>
      <c r="I5" s="598"/>
      <c r="J5" s="583"/>
    </row>
    <row r="6" spans="2:10" ht="57.6" x14ac:dyDescent="0.3">
      <c r="B6" s="218" t="s">
        <v>474</v>
      </c>
      <c r="C6" s="164">
        <f t="shared" si="0"/>
        <v>0</v>
      </c>
      <c r="D6" s="180" t="s">
        <v>477</v>
      </c>
      <c r="E6" s="166" t="s">
        <v>269</v>
      </c>
      <c r="F6" s="261">
        <v>0</v>
      </c>
      <c r="G6" s="554"/>
      <c r="H6" s="578"/>
      <c r="I6" s="599"/>
      <c r="J6" s="600"/>
    </row>
    <row r="7" spans="2:10" ht="72.599999999999994" thickBot="1" x14ac:dyDescent="0.35">
      <c r="B7" s="219" t="s">
        <v>522</v>
      </c>
      <c r="C7" s="165">
        <f t="shared" si="0"/>
        <v>0</v>
      </c>
      <c r="D7" s="228" t="s">
        <v>479</v>
      </c>
      <c r="E7" s="178" t="s">
        <v>247</v>
      </c>
      <c r="F7" s="269">
        <v>0</v>
      </c>
      <c r="G7" s="554"/>
      <c r="H7" s="578"/>
      <c r="I7" s="134"/>
      <c r="J7" s="119"/>
    </row>
    <row r="8" spans="2:10" x14ac:dyDescent="0.3">
      <c r="B8" s="129" t="s">
        <v>9</v>
      </c>
      <c r="C8" s="152"/>
      <c r="D8" s="158" t="s">
        <v>1</v>
      </c>
      <c r="E8" s="159"/>
      <c r="F8" s="159"/>
      <c r="G8" s="579"/>
      <c r="H8" s="578"/>
      <c r="I8" s="160" t="s">
        <v>5</v>
      </c>
      <c r="J8" s="161" t="s">
        <v>14</v>
      </c>
    </row>
    <row r="9" spans="2:10" ht="43.2" x14ac:dyDescent="0.3">
      <c r="B9" s="7" t="s">
        <v>24</v>
      </c>
      <c r="C9" s="112"/>
      <c r="D9" s="5" t="s">
        <v>12</v>
      </c>
      <c r="E9" s="100"/>
      <c r="F9" s="100"/>
      <c r="G9" s="580"/>
      <c r="H9" s="581"/>
      <c r="I9" s="162" t="s">
        <v>46</v>
      </c>
      <c r="J9" s="163"/>
    </row>
    <row r="10" spans="2:10" x14ac:dyDescent="0.3">
      <c r="B10" s="573" t="s">
        <v>2</v>
      </c>
      <c r="C10" s="574"/>
      <c r="D10" s="574"/>
      <c r="E10" s="574"/>
      <c r="F10" s="574"/>
      <c r="G10" s="575"/>
      <c r="H10" s="576" t="s">
        <v>3</v>
      </c>
      <c r="I10" s="574"/>
      <c r="J10" s="577"/>
    </row>
    <row r="11" spans="2:10" ht="15" thickBot="1" x14ac:dyDescent="0.35">
      <c r="B11" s="535"/>
      <c r="C11" s="536"/>
      <c r="D11" s="536"/>
      <c r="E11" s="536"/>
      <c r="F11" s="536"/>
      <c r="G11" s="537"/>
      <c r="H11" s="538"/>
      <c r="I11" s="536"/>
      <c r="J11" s="539"/>
    </row>
    <row r="13" spans="2:10" x14ac:dyDescent="0.3">
      <c r="B13" s="1" t="s">
        <v>227</v>
      </c>
      <c r="C13" s="1"/>
      <c r="D13" s="1" t="s">
        <v>223</v>
      </c>
      <c r="E13" s="136">
        <v>0</v>
      </c>
      <c r="F13" s="103"/>
      <c r="G13" s="95"/>
    </row>
    <row r="14" spans="2:10" x14ac:dyDescent="0.3">
      <c r="B14" s="114" t="s">
        <v>228</v>
      </c>
      <c r="C14" s="114"/>
      <c r="D14" s="114" t="s">
        <v>224</v>
      </c>
      <c r="E14" s="137">
        <v>0.1</v>
      </c>
      <c r="F14" s="104"/>
      <c r="G14" s="97"/>
    </row>
    <row r="15" spans="2:10" x14ac:dyDescent="0.3">
      <c r="B15" s="107" t="s">
        <v>226</v>
      </c>
      <c r="C15" s="116"/>
      <c r="D15" s="123" t="s">
        <v>230</v>
      </c>
      <c r="E15" s="138">
        <v>0.5</v>
      </c>
      <c r="F15" s="105"/>
      <c r="G15" s="98"/>
    </row>
    <row r="16" spans="2:10" x14ac:dyDescent="0.3">
      <c r="B16" s="1"/>
      <c r="C16" s="1"/>
      <c r="D16" s="116" t="s">
        <v>229</v>
      </c>
      <c r="E16" s="139">
        <v>0.8</v>
      </c>
      <c r="F16" s="102"/>
      <c r="G16" s="99"/>
    </row>
    <row r="17" spans="2:7" x14ac:dyDescent="0.3">
      <c r="B17" s="1"/>
      <c r="C17" s="1"/>
      <c r="D17" s="117" t="s">
        <v>225</v>
      </c>
      <c r="E17" s="140">
        <v>1</v>
      </c>
      <c r="F17" s="106"/>
      <c r="G17" s="96"/>
    </row>
  </sheetData>
  <mergeCells count="10">
    <mergeCell ref="B2:G2"/>
    <mergeCell ref="H2:J2"/>
    <mergeCell ref="B11:G11"/>
    <mergeCell ref="H11:J11"/>
    <mergeCell ref="G3:H3"/>
    <mergeCell ref="B10:G10"/>
    <mergeCell ref="H10:J10"/>
    <mergeCell ref="G4:H9"/>
    <mergeCell ref="I4:I6"/>
    <mergeCell ref="J4:J6"/>
  </mergeCells>
  <pageMargins left="0.7" right="0.7" top="0.75" bottom="0.75" header="0.3" footer="0.3"/>
  <pageSetup paperSize="9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6"/>
  <sheetViews>
    <sheetView zoomScale="115" zoomScaleNormal="115" workbookViewId="0">
      <selection activeCell="D5" sqref="B4:J18"/>
    </sheetView>
  </sheetViews>
  <sheetFormatPr defaultRowHeight="14.4" x14ac:dyDescent="0.3"/>
  <cols>
    <col min="2" max="2" width="30.6640625" customWidth="1"/>
    <col min="3" max="3" width="6.33203125" customWidth="1"/>
    <col min="4" max="4" width="27" customWidth="1"/>
    <col min="5" max="6" width="6.8867187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x14ac:dyDescent="0.3">
      <c r="B3" s="232" t="s">
        <v>10</v>
      </c>
      <c r="C3" s="290">
        <f>ROUND(AVERAGE(C4:C6)*100,0)</f>
        <v>33</v>
      </c>
      <c r="D3" s="235" t="s">
        <v>0</v>
      </c>
      <c r="E3" s="251"/>
      <c r="F3" s="168">
        <f>AVERAGE(F4:F6)</f>
        <v>0.33333333333333331</v>
      </c>
      <c r="G3" s="571" t="s">
        <v>8</v>
      </c>
      <c r="H3" s="572"/>
      <c r="I3" s="156" t="s">
        <v>4</v>
      </c>
      <c r="J3" s="157" t="s">
        <v>13</v>
      </c>
    </row>
    <row r="4" spans="2:10" ht="43.2" x14ac:dyDescent="0.3">
      <c r="B4" s="180" t="s">
        <v>481</v>
      </c>
      <c r="C4" s="164">
        <f>AVERAGE(F4)</f>
        <v>0.5</v>
      </c>
      <c r="D4" s="198" t="s">
        <v>484</v>
      </c>
      <c r="E4" s="166" t="s">
        <v>248</v>
      </c>
      <c r="F4" s="261">
        <v>0.5</v>
      </c>
      <c r="G4" s="613" t="s">
        <v>52</v>
      </c>
      <c r="H4" s="614"/>
      <c r="I4" s="618" t="s">
        <v>50</v>
      </c>
      <c r="J4" s="620" t="s">
        <v>486</v>
      </c>
    </row>
    <row r="5" spans="2:10" ht="28.8" x14ac:dyDescent="0.3">
      <c r="B5" s="180" t="s">
        <v>482</v>
      </c>
      <c r="C5" s="164">
        <f t="shared" ref="C5:C6" si="0">AVERAGE(F5)</f>
        <v>0.5</v>
      </c>
      <c r="D5" s="198" t="s">
        <v>271</v>
      </c>
      <c r="E5" s="166" t="s">
        <v>267</v>
      </c>
      <c r="F5" s="261">
        <v>0.5</v>
      </c>
      <c r="G5" s="613"/>
      <c r="H5" s="614"/>
      <c r="I5" s="618"/>
      <c r="J5" s="620"/>
    </row>
    <row r="6" spans="2:10" ht="58.2" thickBot="1" x14ac:dyDescent="0.35">
      <c r="B6" s="180" t="s">
        <v>483</v>
      </c>
      <c r="C6" s="165">
        <f t="shared" si="0"/>
        <v>0</v>
      </c>
      <c r="D6" s="181" t="s">
        <v>485</v>
      </c>
      <c r="E6" s="178" t="s">
        <v>269</v>
      </c>
      <c r="F6" s="269">
        <v>0</v>
      </c>
      <c r="G6" s="613"/>
      <c r="H6" s="614"/>
      <c r="I6" s="619"/>
      <c r="J6" s="621"/>
    </row>
    <row r="7" spans="2:10" x14ac:dyDescent="0.3">
      <c r="B7" s="129" t="s">
        <v>9</v>
      </c>
      <c r="C7" s="152"/>
      <c r="D7" s="158" t="s">
        <v>1</v>
      </c>
      <c r="E7" s="159"/>
      <c r="F7" s="159"/>
      <c r="G7" s="615"/>
      <c r="H7" s="614"/>
      <c r="I7" s="160" t="s">
        <v>5</v>
      </c>
      <c r="J7" s="161" t="s">
        <v>14</v>
      </c>
    </row>
    <row r="8" spans="2:10" ht="28.8" x14ac:dyDescent="0.3">
      <c r="B8" s="234"/>
      <c r="C8" s="153"/>
      <c r="D8" s="285" t="s">
        <v>12</v>
      </c>
      <c r="E8" s="162"/>
      <c r="F8" s="162"/>
      <c r="G8" s="616"/>
      <c r="H8" s="617"/>
      <c r="I8" s="162"/>
      <c r="J8" s="163"/>
    </row>
    <row r="9" spans="2:10" x14ac:dyDescent="0.3">
      <c r="B9" s="573" t="s">
        <v>2</v>
      </c>
      <c r="C9" s="574"/>
      <c r="D9" s="574"/>
      <c r="E9" s="574"/>
      <c r="F9" s="574"/>
      <c r="G9" s="575"/>
      <c r="H9" s="576" t="s">
        <v>3</v>
      </c>
      <c r="I9" s="574"/>
      <c r="J9" s="577"/>
    </row>
    <row r="10" spans="2:10" ht="15" customHeight="1" thickBot="1" x14ac:dyDescent="0.35">
      <c r="B10" s="535"/>
      <c r="C10" s="536"/>
      <c r="D10" s="536"/>
      <c r="E10" s="536"/>
      <c r="F10" s="536"/>
      <c r="G10" s="537"/>
      <c r="H10" s="538"/>
      <c r="I10" s="536"/>
      <c r="J10" s="539"/>
    </row>
    <row r="12" spans="2:10" x14ac:dyDescent="0.3">
      <c r="B12" s="1" t="s">
        <v>227</v>
      </c>
      <c r="C12" s="1"/>
      <c r="D12" s="1" t="s">
        <v>223</v>
      </c>
      <c r="E12" s="136">
        <v>0</v>
      </c>
      <c r="F12" s="103"/>
      <c r="G12" s="95"/>
    </row>
    <row r="13" spans="2:10" x14ac:dyDescent="0.3">
      <c r="B13" s="114" t="s">
        <v>228</v>
      </c>
      <c r="C13" s="114"/>
      <c r="D13" s="114" t="s">
        <v>224</v>
      </c>
      <c r="E13" s="137">
        <v>0.1</v>
      </c>
      <c r="F13" s="104"/>
    </row>
    <row r="14" spans="2:10" x14ac:dyDescent="0.3">
      <c r="B14" s="116" t="s">
        <v>226</v>
      </c>
      <c r="C14" s="116"/>
      <c r="D14" s="115" t="s">
        <v>230</v>
      </c>
      <c r="E14" s="138">
        <v>0.5</v>
      </c>
      <c r="F14" s="105"/>
    </row>
    <row r="15" spans="2:10" x14ac:dyDescent="0.3">
      <c r="B15" s="1"/>
      <c r="C15" s="1"/>
      <c r="D15" s="116" t="s">
        <v>229</v>
      </c>
      <c r="E15" s="139">
        <v>0.8</v>
      </c>
      <c r="F15" s="102"/>
      <c r="G15" s="99"/>
    </row>
    <row r="16" spans="2:10" x14ac:dyDescent="0.3">
      <c r="B16" s="1"/>
      <c r="C16" s="1"/>
      <c r="D16" s="117" t="s">
        <v>225</v>
      </c>
      <c r="E16" s="140">
        <v>1</v>
      </c>
      <c r="F16" s="106"/>
      <c r="G16" s="96"/>
    </row>
  </sheetData>
  <mergeCells count="10">
    <mergeCell ref="B10:G10"/>
    <mergeCell ref="H10:J10"/>
    <mergeCell ref="B2:G2"/>
    <mergeCell ref="H2:J2"/>
    <mergeCell ref="G3:H3"/>
    <mergeCell ref="B9:G9"/>
    <mergeCell ref="H9:J9"/>
    <mergeCell ref="G4:H8"/>
    <mergeCell ref="I4:I6"/>
    <mergeCell ref="J4:J6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8"/>
  <sheetViews>
    <sheetView zoomScale="115" zoomScaleNormal="115" workbookViewId="0">
      <selection activeCell="D5" sqref="B4:J18"/>
    </sheetView>
  </sheetViews>
  <sheetFormatPr defaultRowHeight="14.4" x14ac:dyDescent="0.3"/>
  <cols>
    <col min="2" max="2" width="30.6640625" customWidth="1"/>
    <col min="3" max="3" width="6.33203125" customWidth="1"/>
    <col min="4" max="4" width="27" customWidth="1"/>
    <col min="5" max="6" width="6.8867187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x14ac:dyDescent="0.3">
      <c r="B3" s="232" t="s">
        <v>10</v>
      </c>
      <c r="C3" s="293">
        <f>ROUND(AVERAGE(C4:C8)*100,0)</f>
        <v>40</v>
      </c>
      <c r="D3" s="235" t="s">
        <v>0</v>
      </c>
      <c r="E3" s="251"/>
      <c r="F3" s="168">
        <f>AVERAGE(F4:F8)</f>
        <v>0.375</v>
      </c>
      <c r="G3" s="571" t="s">
        <v>8</v>
      </c>
      <c r="H3" s="572"/>
      <c r="I3" s="289" t="s">
        <v>4</v>
      </c>
      <c r="J3" s="203" t="s">
        <v>13</v>
      </c>
    </row>
    <row r="4" spans="2:10" ht="43.2" x14ac:dyDescent="0.3">
      <c r="B4" s="218" t="s">
        <v>481</v>
      </c>
      <c r="C4" s="201">
        <f>AVERAGE(F4)</f>
        <v>0.5</v>
      </c>
      <c r="D4" s="198" t="s">
        <v>484</v>
      </c>
      <c r="E4" s="166" t="s">
        <v>248</v>
      </c>
      <c r="F4" s="261">
        <v>0.5</v>
      </c>
      <c r="G4" s="624" t="s">
        <v>52</v>
      </c>
      <c r="H4" s="625"/>
      <c r="I4" s="595" t="s">
        <v>504</v>
      </c>
      <c r="J4" s="622" t="s">
        <v>505</v>
      </c>
    </row>
    <row r="5" spans="2:10" ht="28.8" x14ac:dyDescent="0.3">
      <c r="B5" s="218" t="s">
        <v>482</v>
      </c>
      <c r="C5" s="201">
        <f t="shared" ref="C5:C6" si="0">AVERAGE(F5)</f>
        <v>0.5</v>
      </c>
      <c r="D5" s="198" t="s">
        <v>271</v>
      </c>
      <c r="E5" s="166" t="s">
        <v>267</v>
      </c>
      <c r="F5" s="261">
        <v>0.5</v>
      </c>
      <c r="G5" s="554"/>
      <c r="H5" s="578"/>
      <c r="I5" s="595"/>
      <c r="J5" s="551"/>
    </row>
    <row r="6" spans="2:10" ht="58.2" thickBot="1" x14ac:dyDescent="0.35">
      <c r="B6" s="218" t="s">
        <v>483</v>
      </c>
      <c r="C6" s="202">
        <f t="shared" si="0"/>
        <v>0</v>
      </c>
      <c r="D6" s="180" t="s">
        <v>485</v>
      </c>
      <c r="E6" s="166" t="s">
        <v>269</v>
      </c>
      <c r="F6" s="261">
        <v>0</v>
      </c>
      <c r="G6" s="554"/>
      <c r="H6" s="578"/>
      <c r="I6" s="596"/>
      <c r="J6" s="551"/>
    </row>
    <row r="7" spans="2:10" ht="57.6" x14ac:dyDescent="0.3">
      <c r="B7" s="218" t="s">
        <v>454</v>
      </c>
      <c r="C7" s="201">
        <f>AVERAGE(F7)</f>
        <v>0.5</v>
      </c>
      <c r="D7" s="198" t="s">
        <v>307</v>
      </c>
      <c r="E7" s="250" t="s">
        <v>457</v>
      </c>
      <c r="F7" s="260">
        <v>0.5</v>
      </c>
      <c r="G7" s="554"/>
      <c r="H7" s="578"/>
      <c r="I7" s="288"/>
      <c r="J7" s="551"/>
    </row>
    <row r="8" spans="2:10" ht="29.4" thickBot="1" x14ac:dyDescent="0.35">
      <c r="B8" s="218" t="s">
        <v>455</v>
      </c>
      <c r="C8" s="201">
        <f>AVERAGE(F7)</f>
        <v>0.5</v>
      </c>
      <c r="D8" s="181"/>
      <c r="E8" s="178"/>
      <c r="F8" s="269"/>
      <c r="G8" s="554"/>
      <c r="H8" s="578"/>
      <c r="I8" s="288"/>
      <c r="J8" s="623"/>
    </row>
    <row r="9" spans="2:10" x14ac:dyDescent="0.3">
      <c r="B9" s="129" t="s">
        <v>9</v>
      </c>
      <c r="C9" s="152"/>
      <c r="D9" s="158" t="s">
        <v>1</v>
      </c>
      <c r="E9" s="159"/>
      <c r="F9" s="159"/>
      <c r="G9" s="554"/>
      <c r="H9" s="578"/>
      <c r="I9" s="160" t="s">
        <v>5</v>
      </c>
      <c r="J9" s="15" t="s">
        <v>14</v>
      </c>
    </row>
    <row r="10" spans="2:10" ht="28.8" x14ac:dyDescent="0.3">
      <c r="B10" s="234"/>
      <c r="C10" s="153"/>
      <c r="D10" s="285" t="s">
        <v>12</v>
      </c>
      <c r="E10" s="162"/>
      <c r="F10" s="162"/>
      <c r="G10" s="626"/>
      <c r="H10" s="581"/>
      <c r="I10" s="162"/>
      <c r="J10" s="163"/>
    </row>
    <row r="11" spans="2:10" x14ac:dyDescent="0.3">
      <c r="B11" s="573" t="s">
        <v>2</v>
      </c>
      <c r="C11" s="574"/>
      <c r="D11" s="574"/>
      <c r="E11" s="574"/>
      <c r="F11" s="574"/>
      <c r="G11" s="575"/>
      <c r="H11" s="576" t="s">
        <v>3</v>
      </c>
      <c r="I11" s="574"/>
      <c r="J11" s="577"/>
    </row>
    <row r="12" spans="2:10" ht="15" customHeight="1" thickBot="1" x14ac:dyDescent="0.35">
      <c r="B12" s="535"/>
      <c r="C12" s="536"/>
      <c r="D12" s="536"/>
      <c r="E12" s="536"/>
      <c r="F12" s="536"/>
      <c r="G12" s="537"/>
      <c r="H12" s="538"/>
      <c r="I12" s="536"/>
      <c r="J12" s="539"/>
    </row>
    <row r="14" spans="2:10" x14ac:dyDescent="0.3">
      <c r="B14" s="1" t="s">
        <v>227</v>
      </c>
      <c r="C14" s="1"/>
      <c r="D14" s="1" t="s">
        <v>223</v>
      </c>
      <c r="E14" s="136">
        <v>0</v>
      </c>
      <c r="F14" s="103"/>
      <c r="G14" s="95"/>
    </row>
    <row r="15" spans="2:10" x14ac:dyDescent="0.3">
      <c r="B15" s="114" t="s">
        <v>228</v>
      </c>
      <c r="C15" s="114"/>
      <c r="D15" s="114" t="s">
        <v>224</v>
      </c>
      <c r="E15" s="137">
        <v>0.1</v>
      </c>
      <c r="F15" s="104"/>
    </row>
    <row r="16" spans="2:10" x14ac:dyDescent="0.3">
      <c r="B16" s="116" t="s">
        <v>226</v>
      </c>
      <c r="C16" s="116"/>
      <c r="D16" s="115" t="s">
        <v>230</v>
      </c>
      <c r="E16" s="138">
        <v>0.5</v>
      </c>
      <c r="F16" s="105"/>
    </row>
    <row r="17" spans="2:7" x14ac:dyDescent="0.3">
      <c r="B17" s="1"/>
      <c r="C17" s="1"/>
      <c r="D17" s="116" t="s">
        <v>229</v>
      </c>
      <c r="E17" s="139">
        <v>0.8</v>
      </c>
      <c r="F17" s="102"/>
      <c r="G17" s="99"/>
    </row>
    <row r="18" spans="2:7" x14ac:dyDescent="0.3">
      <c r="B18" s="1"/>
      <c r="C18" s="1"/>
      <c r="D18" s="117" t="s">
        <v>225</v>
      </c>
      <c r="E18" s="140">
        <v>1</v>
      </c>
      <c r="F18" s="106"/>
      <c r="G18" s="96"/>
    </row>
  </sheetData>
  <mergeCells count="10">
    <mergeCell ref="B2:G2"/>
    <mergeCell ref="H2:J2"/>
    <mergeCell ref="G3:H3"/>
    <mergeCell ref="G4:H10"/>
    <mergeCell ref="I4:I6"/>
    <mergeCell ref="B11:G11"/>
    <mergeCell ref="H11:J11"/>
    <mergeCell ref="B12:G12"/>
    <mergeCell ref="H12:J12"/>
    <mergeCell ref="J4:J8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7"/>
  <sheetViews>
    <sheetView zoomScale="115" zoomScaleNormal="115" workbookViewId="0">
      <selection activeCell="D5" sqref="B4:J18"/>
    </sheetView>
  </sheetViews>
  <sheetFormatPr defaultRowHeight="14.4" x14ac:dyDescent="0.3"/>
  <cols>
    <col min="2" max="2" width="30.6640625" customWidth="1"/>
    <col min="3" max="3" width="7.5546875" customWidth="1"/>
    <col min="4" max="4" width="27" customWidth="1"/>
    <col min="5" max="6" width="6.554687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x14ac:dyDescent="0.3">
      <c r="B3" s="232" t="s">
        <v>10</v>
      </c>
      <c r="C3" s="290">
        <f>ROUND(AVERAGE(C4:C7)*100,0)</f>
        <v>25</v>
      </c>
      <c r="D3" s="235" t="s">
        <v>0</v>
      </c>
      <c r="E3" s="251"/>
      <c r="F3" s="168">
        <f>AVERAGE(F4:F7)</f>
        <v>0.125</v>
      </c>
      <c r="G3" s="571" t="s">
        <v>8</v>
      </c>
      <c r="H3" s="572"/>
      <c r="I3" s="156" t="s">
        <v>4</v>
      </c>
      <c r="J3" s="157" t="s">
        <v>13</v>
      </c>
    </row>
    <row r="4" spans="2:10" ht="30" customHeight="1" x14ac:dyDescent="0.3">
      <c r="B4" s="180" t="s">
        <v>491</v>
      </c>
      <c r="C4" s="164">
        <f>AVERAGE(F4:F6)</f>
        <v>0</v>
      </c>
      <c r="D4" s="215" t="s">
        <v>487</v>
      </c>
      <c r="E4" s="250" t="s">
        <v>248</v>
      </c>
      <c r="F4" s="261">
        <v>0</v>
      </c>
      <c r="G4" s="554" t="s">
        <v>53</v>
      </c>
      <c r="H4" s="578"/>
      <c r="I4" s="598"/>
      <c r="J4" s="583" t="s">
        <v>151</v>
      </c>
    </row>
    <row r="5" spans="2:10" ht="60" customHeight="1" x14ac:dyDescent="0.3">
      <c r="B5" s="215" t="s">
        <v>492</v>
      </c>
      <c r="C5" s="164">
        <f>AVERAGE(F7)</f>
        <v>0.5</v>
      </c>
      <c r="D5" s="180" t="s">
        <v>490</v>
      </c>
      <c r="E5" s="250" t="s">
        <v>248</v>
      </c>
      <c r="F5" s="261">
        <v>0</v>
      </c>
      <c r="G5" s="554"/>
      <c r="H5" s="578"/>
      <c r="I5" s="598"/>
      <c r="J5" s="583"/>
    </row>
    <row r="6" spans="2:10" ht="34.5" customHeight="1" x14ac:dyDescent="0.3">
      <c r="B6" s="180"/>
      <c r="C6" s="286"/>
      <c r="D6" s="180" t="s">
        <v>488</v>
      </c>
      <c r="E6" s="250" t="s">
        <v>248</v>
      </c>
      <c r="F6" s="261">
        <v>0</v>
      </c>
      <c r="G6" s="554"/>
      <c r="H6" s="578"/>
      <c r="I6" s="598"/>
      <c r="J6" s="583"/>
    </row>
    <row r="7" spans="2:10" ht="58.2" thickBot="1" x14ac:dyDescent="0.35">
      <c r="B7" s="284"/>
      <c r="C7" s="287"/>
      <c r="D7" s="216" t="s">
        <v>489</v>
      </c>
      <c r="E7" s="283" t="s">
        <v>267</v>
      </c>
      <c r="F7" s="269">
        <v>0.5</v>
      </c>
      <c r="G7" s="554"/>
      <c r="H7" s="578"/>
      <c r="I7" s="599"/>
      <c r="J7" s="600"/>
    </row>
    <row r="8" spans="2:10" x14ac:dyDescent="0.3">
      <c r="B8" s="129" t="s">
        <v>9</v>
      </c>
      <c r="C8" s="152"/>
      <c r="D8" s="158" t="s">
        <v>1</v>
      </c>
      <c r="E8" s="159"/>
      <c r="F8" s="159"/>
      <c r="G8" s="579"/>
      <c r="H8" s="578"/>
      <c r="I8" s="160" t="s">
        <v>5</v>
      </c>
      <c r="J8" s="161" t="s">
        <v>14</v>
      </c>
    </row>
    <row r="9" spans="2:10" ht="28.8" x14ac:dyDescent="0.3">
      <c r="B9" s="234"/>
      <c r="C9" s="153"/>
      <c r="D9" s="285" t="s">
        <v>12</v>
      </c>
      <c r="E9" s="162"/>
      <c r="F9" s="162"/>
      <c r="G9" s="580"/>
      <c r="H9" s="581"/>
      <c r="I9" s="162"/>
      <c r="J9" s="163"/>
    </row>
    <row r="10" spans="2:10" x14ac:dyDescent="0.3">
      <c r="B10" s="573" t="s">
        <v>2</v>
      </c>
      <c r="C10" s="574"/>
      <c r="D10" s="574"/>
      <c r="E10" s="574"/>
      <c r="F10" s="574"/>
      <c r="G10" s="575"/>
      <c r="H10" s="576" t="s">
        <v>3</v>
      </c>
      <c r="I10" s="574"/>
      <c r="J10" s="577"/>
    </row>
    <row r="11" spans="2:10" ht="15" thickBot="1" x14ac:dyDescent="0.35">
      <c r="B11" s="535"/>
      <c r="C11" s="536"/>
      <c r="D11" s="536"/>
      <c r="E11" s="536"/>
      <c r="F11" s="536"/>
      <c r="G11" s="537"/>
      <c r="H11" s="538"/>
      <c r="I11" s="536"/>
      <c r="J11" s="539"/>
    </row>
    <row r="13" spans="2:10" x14ac:dyDescent="0.3">
      <c r="B13" s="1" t="s">
        <v>227</v>
      </c>
      <c r="C13" s="1"/>
      <c r="D13" s="1" t="s">
        <v>223</v>
      </c>
      <c r="E13" s="136">
        <v>0</v>
      </c>
      <c r="F13" s="103"/>
      <c r="G13" s="95"/>
    </row>
    <row r="14" spans="2:10" x14ac:dyDescent="0.3">
      <c r="B14" s="114" t="s">
        <v>228</v>
      </c>
      <c r="C14" s="114"/>
      <c r="D14" s="114" t="s">
        <v>224</v>
      </c>
      <c r="E14" s="137">
        <v>0.1</v>
      </c>
      <c r="F14" s="104"/>
      <c r="G14" s="97"/>
    </row>
    <row r="15" spans="2:10" x14ac:dyDescent="0.3">
      <c r="B15" s="116" t="s">
        <v>226</v>
      </c>
      <c r="C15" s="116"/>
      <c r="D15" s="115" t="s">
        <v>230</v>
      </c>
      <c r="E15" s="138">
        <v>0.5</v>
      </c>
      <c r="F15" s="105"/>
      <c r="G15" s="98"/>
    </row>
    <row r="16" spans="2:10" x14ac:dyDescent="0.3">
      <c r="B16" s="1"/>
      <c r="C16" s="1"/>
      <c r="D16" s="116" t="s">
        <v>229</v>
      </c>
      <c r="E16" s="139">
        <v>0.8</v>
      </c>
      <c r="F16" s="102"/>
      <c r="G16" s="99"/>
    </row>
    <row r="17" spans="2:7" x14ac:dyDescent="0.3">
      <c r="B17" s="1"/>
      <c r="C17" s="1"/>
      <c r="D17" s="117" t="s">
        <v>225</v>
      </c>
      <c r="E17" s="140">
        <v>1</v>
      </c>
      <c r="F17" s="106"/>
      <c r="G17" s="96"/>
    </row>
  </sheetData>
  <mergeCells count="10">
    <mergeCell ref="B11:G11"/>
    <mergeCell ref="H11:J11"/>
    <mergeCell ref="B2:G2"/>
    <mergeCell ref="H2:J2"/>
    <mergeCell ref="G3:H3"/>
    <mergeCell ref="B10:G10"/>
    <mergeCell ref="H10:J10"/>
    <mergeCell ref="G4:H9"/>
    <mergeCell ref="I4:I7"/>
    <mergeCell ref="J4:J7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9"/>
  <sheetViews>
    <sheetView zoomScale="115" zoomScaleNormal="115" workbookViewId="0">
      <selection activeCell="D5" sqref="B4:J18"/>
    </sheetView>
  </sheetViews>
  <sheetFormatPr defaultRowHeight="14.4" x14ac:dyDescent="0.3"/>
  <cols>
    <col min="2" max="2" width="30.6640625" customWidth="1"/>
    <col min="3" max="3" width="6" customWidth="1"/>
    <col min="4" max="4" width="27" customWidth="1"/>
    <col min="5" max="6" width="6.8867187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540" t="s">
        <v>15</v>
      </c>
      <c r="C2" s="541"/>
      <c r="D2" s="541"/>
      <c r="E2" s="541"/>
      <c r="F2" s="541"/>
      <c r="G2" s="542"/>
      <c r="H2" s="543" t="s">
        <v>16</v>
      </c>
      <c r="I2" s="544"/>
      <c r="J2" s="542"/>
    </row>
    <row r="3" spans="2:10" x14ac:dyDescent="0.3">
      <c r="B3" s="232" t="s">
        <v>10</v>
      </c>
      <c r="C3" s="290">
        <f>ROUND(AVERAGE(C4:C9)*100,0)</f>
        <v>8</v>
      </c>
      <c r="D3" s="235" t="s">
        <v>0</v>
      </c>
      <c r="E3" s="251"/>
      <c r="F3" s="168">
        <f>AVERAGE(F4:F9)</f>
        <v>8.3333333333333329E-2</v>
      </c>
      <c r="G3" s="571" t="s">
        <v>8</v>
      </c>
      <c r="H3" s="572"/>
      <c r="I3" s="156" t="s">
        <v>4</v>
      </c>
      <c r="J3" s="157" t="s">
        <v>13</v>
      </c>
    </row>
    <row r="4" spans="2:10" ht="43.2" x14ac:dyDescent="0.3">
      <c r="B4" s="180" t="s">
        <v>493</v>
      </c>
      <c r="C4" s="164">
        <f>AVERAGE(F4)</f>
        <v>0</v>
      </c>
      <c r="D4" s="215" t="s">
        <v>520</v>
      </c>
      <c r="E4" s="166" t="s">
        <v>248</v>
      </c>
      <c r="F4" s="261">
        <v>0</v>
      </c>
      <c r="G4" s="554" t="s">
        <v>51</v>
      </c>
      <c r="H4" s="578"/>
      <c r="I4" s="598"/>
      <c r="J4" s="583" t="s">
        <v>54</v>
      </c>
    </row>
    <row r="5" spans="2:10" ht="28.8" x14ac:dyDescent="0.3">
      <c r="B5" s="180" t="s">
        <v>494</v>
      </c>
      <c r="C5" s="164">
        <f t="shared" ref="C5:C9" si="0">AVERAGE(F5)</f>
        <v>0</v>
      </c>
      <c r="D5" s="215" t="s">
        <v>519</v>
      </c>
      <c r="E5" s="166" t="s">
        <v>267</v>
      </c>
      <c r="F5" s="261">
        <v>0</v>
      </c>
      <c r="G5" s="554"/>
      <c r="H5" s="578"/>
      <c r="I5" s="598"/>
      <c r="J5" s="583"/>
    </row>
    <row r="6" spans="2:10" ht="28.8" x14ac:dyDescent="0.3">
      <c r="B6" s="180" t="s">
        <v>495</v>
      </c>
      <c r="C6" s="164">
        <f t="shared" si="0"/>
        <v>0</v>
      </c>
      <c r="D6" s="215" t="s">
        <v>513</v>
      </c>
      <c r="E6" s="166" t="s">
        <v>269</v>
      </c>
      <c r="F6" s="261">
        <v>0</v>
      </c>
      <c r="G6" s="554"/>
      <c r="H6" s="578"/>
      <c r="I6" s="598"/>
      <c r="J6" s="583"/>
    </row>
    <row r="7" spans="2:10" ht="28.8" x14ac:dyDescent="0.3">
      <c r="B7" s="180" t="s">
        <v>496</v>
      </c>
      <c r="C7" s="164">
        <f t="shared" si="0"/>
        <v>0</v>
      </c>
      <c r="D7" s="215" t="s">
        <v>515</v>
      </c>
      <c r="E7" s="166" t="s">
        <v>247</v>
      </c>
      <c r="F7" s="261">
        <v>0</v>
      </c>
      <c r="G7" s="554"/>
      <c r="H7" s="578"/>
      <c r="I7" s="598"/>
      <c r="J7" s="583"/>
    </row>
    <row r="8" spans="2:10" ht="57.6" x14ac:dyDescent="0.3">
      <c r="B8" s="180" t="s">
        <v>497</v>
      </c>
      <c r="C8" s="164">
        <f t="shared" si="0"/>
        <v>0.5</v>
      </c>
      <c r="D8" s="198" t="s">
        <v>517</v>
      </c>
      <c r="E8" s="166" t="s">
        <v>270</v>
      </c>
      <c r="F8" s="261">
        <v>0.5</v>
      </c>
      <c r="G8" s="554"/>
      <c r="H8" s="578"/>
      <c r="I8" s="598"/>
      <c r="J8" s="583"/>
    </row>
    <row r="9" spans="2:10" ht="29.4" thickBot="1" x14ac:dyDescent="0.35">
      <c r="B9" s="284" t="s">
        <v>498</v>
      </c>
      <c r="C9" s="165">
        <f t="shared" si="0"/>
        <v>0</v>
      </c>
      <c r="D9" s="181" t="s">
        <v>521</v>
      </c>
      <c r="E9" s="178" t="s">
        <v>268</v>
      </c>
      <c r="F9" s="269">
        <v>0</v>
      </c>
      <c r="G9" s="554"/>
      <c r="H9" s="578"/>
      <c r="I9" s="599"/>
      <c r="J9" s="600"/>
    </row>
    <row r="10" spans="2:10" x14ac:dyDescent="0.3">
      <c r="B10" s="129" t="s">
        <v>9</v>
      </c>
      <c r="C10" s="152"/>
      <c r="D10" s="158" t="s">
        <v>1</v>
      </c>
      <c r="E10" s="159"/>
      <c r="F10" s="159"/>
      <c r="G10" s="579"/>
      <c r="H10" s="578"/>
      <c r="I10" s="160" t="s">
        <v>5</v>
      </c>
      <c r="J10" s="161" t="s">
        <v>14</v>
      </c>
    </row>
    <row r="11" spans="2:10" ht="28.8" x14ac:dyDescent="0.3">
      <c r="B11" s="234"/>
      <c r="C11" s="153"/>
      <c r="D11" s="285" t="s">
        <v>12</v>
      </c>
      <c r="E11" s="162"/>
      <c r="F11" s="162"/>
      <c r="G11" s="580"/>
      <c r="H11" s="581"/>
      <c r="I11" s="162" t="s">
        <v>47</v>
      </c>
      <c r="J11" s="163"/>
    </row>
    <row r="12" spans="2:10" x14ac:dyDescent="0.3">
      <c r="B12" s="573" t="s">
        <v>2</v>
      </c>
      <c r="C12" s="574"/>
      <c r="D12" s="574"/>
      <c r="E12" s="574"/>
      <c r="F12" s="574"/>
      <c r="G12" s="575"/>
      <c r="H12" s="576" t="s">
        <v>3</v>
      </c>
      <c r="I12" s="574"/>
      <c r="J12" s="577"/>
    </row>
    <row r="13" spans="2:10" ht="15" thickBot="1" x14ac:dyDescent="0.35">
      <c r="B13" s="535"/>
      <c r="C13" s="536"/>
      <c r="D13" s="536"/>
      <c r="E13" s="536"/>
      <c r="F13" s="536"/>
      <c r="G13" s="537"/>
      <c r="H13" s="538"/>
      <c r="I13" s="536"/>
      <c r="J13" s="539"/>
    </row>
    <row r="15" spans="2:10" x14ac:dyDescent="0.3">
      <c r="B15" s="1" t="s">
        <v>227</v>
      </c>
      <c r="C15" s="1"/>
      <c r="D15" s="1" t="s">
        <v>223</v>
      </c>
      <c r="E15" s="136">
        <v>0</v>
      </c>
      <c r="F15" s="103"/>
      <c r="G15" s="95"/>
    </row>
    <row r="16" spans="2:10" x14ac:dyDescent="0.3">
      <c r="B16" s="114" t="s">
        <v>228</v>
      </c>
      <c r="C16" s="114"/>
      <c r="D16" s="114" t="s">
        <v>224</v>
      </c>
      <c r="E16" s="137">
        <v>0.1</v>
      </c>
      <c r="F16" s="104"/>
      <c r="G16" s="97"/>
    </row>
    <row r="17" spans="2:7" x14ac:dyDescent="0.3">
      <c r="B17" s="116" t="s">
        <v>226</v>
      </c>
      <c r="C17" s="116"/>
      <c r="D17" s="115" t="s">
        <v>230</v>
      </c>
      <c r="E17" s="138">
        <v>0.5</v>
      </c>
      <c r="F17" s="105"/>
      <c r="G17" s="98"/>
    </row>
    <row r="18" spans="2:7" x14ac:dyDescent="0.3">
      <c r="B18" s="1"/>
      <c r="C18" s="1"/>
      <c r="D18" s="116" t="s">
        <v>229</v>
      </c>
      <c r="E18" s="139">
        <v>0.8</v>
      </c>
      <c r="F18" s="102"/>
      <c r="G18" s="99"/>
    </row>
    <row r="19" spans="2:7" x14ac:dyDescent="0.3">
      <c r="B19" s="1"/>
      <c r="C19" s="1"/>
      <c r="D19" s="117" t="s">
        <v>225</v>
      </c>
      <c r="E19" s="140">
        <v>1</v>
      </c>
      <c r="F19" s="106"/>
      <c r="G19" s="96"/>
    </row>
  </sheetData>
  <mergeCells count="10">
    <mergeCell ref="B13:G13"/>
    <mergeCell ref="H13:J13"/>
    <mergeCell ref="B2:G2"/>
    <mergeCell ref="H2:J2"/>
    <mergeCell ref="G3:H3"/>
    <mergeCell ref="B12:G12"/>
    <mergeCell ref="H12:J12"/>
    <mergeCell ref="G4:H11"/>
    <mergeCell ref="J4:J9"/>
    <mergeCell ref="I4:I9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8"/>
  <sheetViews>
    <sheetView workbookViewId="0">
      <selection activeCell="K25" sqref="K25"/>
    </sheetView>
  </sheetViews>
  <sheetFormatPr defaultRowHeight="14.4" x14ac:dyDescent="0.3"/>
  <sheetData>
    <row r="2" spans="2:2" x14ac:dyDescent="0.3">
      <c r="B2" s="1" t="s">
        <v>17</v>
      </c>
    </row>
    <row r="3" spans="2:2" x14ac:dyDescent="0.3">
      <c r="B3" t="s">
        <v>7</v>
      </c>
    </row>
    <row r="7" spans="2:2" x14ac:dyDescent="0.3">
      <c r="B7" t="s">
        <v>6</v>
      </c>
    </row>
    <row r="8" spans="2:2" x14ac:dyDescent="0.3">
      <c r="B8" t="s">
        <v>25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"/>
  <sheetViews>
    <sheetView zoomScaleNormal="100" workbookViewId="0">
      <selection activeCell="K25" sqref="K25"/>
    </sheetView>
  </sheetViews>
  <sheetFormatPr defaultRowHeight="14.4" x14ac:dyDescent="0.3"/>
  <cols>
    <col min="2" max="2" width="30.6640625" customWidth="1"/>
    <col min="3" max="3" width="5.33203125" customWidth="1"/>
    <col min="4" max="4" width="27" customWidth="1"/>
    <col min="5" max="6" width="6.10937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543" t="s">
        <v>15</v>
      </c>
      <c r="C2" s="544"/>
      <c r="D2" s="544"/>
      <c r="E2" s="544"/>
      <c r="F2" s="544"/>
      <c r="G2" s="542"/>
      <c r="H2" s="543" t="s">
        <v>16</v>
      </c>
      <c r="I2" s="544"/>
      <c r="J2" s="542"/>
    </row>
    <row r="3" spans="2:10" x14ac:dyDescent="0.3">
      <c r="B3" s="8" t="s">
        <v>10</v>
      </c>
      <c r="C3" s="133" t="s">
        <v>499</v>
      </c>
      <c r="D3" s="4" t="s">
        <v>0</v>
      </c>
      <c r="E3" s="94" t="s">
        <v>282</v>
      </c>
      <c r="F3" s="94" t="s">
        <v>499</v>
      </c>
      <c r="G3" s="627" t="s">
        <v>8</v>
      </c>
      <c r="H3" s="628"/>
      <c r="I3" s="4" t="s">
        <v>4</v>
      </c>
      <c r="J3" s="3" t="s">
        <v>13</v>
      </c>
    </row>
    <row r="4" spans="2:10" ht="175.2" customHeight="1" x14ac:dyDescent="0.3">
      <c r="B4" s="154"/>
      <c r="C4" s="154"/>
      <c r="D4" s="155"/>
      <c r="E4" s="145"/>
      <c r="F4" s="145"/>
      <c r="G4" s="615"/>
      <c r="H4" s="614"/>
      <c r="I4" s="11"/>
      <c r="J4" s="17"/>
    </row>
    <row r="5" spans="2:10" x14ac:dyDescent="0.3">
      <c r="B5" s="10" t="s">
        <v>9</v>
      </c>
      <c r="C5" s="113"/>
      <c r="D5" s="9" t="s">
        <v>1</v>
      </c>
      <c r="E5" s="111"/>
      <c r="F5" s="111"/>
      <c r="G5" s="615"/>
      <c r="H5" s="614"/>
      <c r="I5" s="14" t="s">
        <v>5</v>
      </c>
      <c r="J5" s="16" t="s">
        <v>14</v>
      </c>
    </row>
    <row r="6" spans="2:10" ht="60" customHeight="1" x14ac:dyDescent="0.3">
      <c r="B6" s="6"/>
      <c r="C6" s="126"/>
      <c r="D6" s="2"/>
      <c r="E6" s="12"/>
      <c r="F6" s="12"/>
      <c r="G6" s="616"/>
      <c r="H6" s="617"/>
      <c r="I6" s="12"/>
      <c r="J6" s="13"/>
    </row>
    <row r="7" spans="2:10" x14ac:dyDescent="0.3">
      <c r="B7" s="629" t="s">
        <v>2</v>
      </c>
      <c r="C7" s="630"/>
      <c r="D7" s="630"/>
      <c r="E7" s="630"/>
      <c r="F7" s="630"/>
      <c r="G7" s="631"/>
      <c r="H7" s="632" t="s">
        <v>3</v>
      </c>
      <c r="I7" s="630"/>
      <c r="J7" s="633"/>
    </row>
    <row r="8" spans="2:10" ht="60" customHeight="1" thickBot="1" x14ac:dyDescent="0.35">
      <c r="B8" s="584"/>
      <c r="C8" s="585"/>
      <c r="D8" s="585"/>
      <c r="E8" s="585"/>
      <c r="F8" s="585"/>
      <c r="G8" s="586"/>
      <c r="H8" s="587"/>
      <c r="I8" s="585"/>
      <c r="J8" s="588"/>
    </row>
  </sheetData>
  <mergeCells count="8">
    <mergeCell ref="B8:G8"/>
    <mergeCell ref="H8:J8"/>
    <mergeCell ref="B2:G2"/>
    <mergeCell ref="H2:J2"/>
    <mergeCell ref="G3:H3"/>
    <mergeCell ref="G4:H6"/>
    <mergeCell ref="B7:G7"/>
    <mergeCell ref="H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57</vt:i4>
      </vt:variant>
    </vt:vector>
  </HeadingPairs>
  <TitlesOfParts>
    <vt:vector size="57" baseType="lpstr">
      <vt:lpstr>МоделиУпр</vt:lpstr>
      <vt:lpstr>Решения</vt:lpstr>
      <vt:lpstr>НИПИ_списком</vt:lpstr>
      <vt:lpstr>Проекты и бюджеты под контролем</vt:lpstr>
      <vt:lpstr>ПиБпК_после вебинара</vt:lpstr>
      <vt:lpstr>ПиБпК_сопоставление</vt:lpstr>
      <vt:lpstr>1+автоактуализация бюджетов</vt:lpstr>
      <vt:lpstr>КапСтрой и инвестиции</vt:lpstr>
      <vt:lpstr>от Лены</vt:lpstr>
      <vt:lpstr>Соло</vt:lpstr>
      <vt:lpstr>Соло-М</vt:lpstr>
      <vt:lpstr>МикроГД</vt:lpstr>
      <vt:lpstr>МикроГД-М</vt:lpstr>
      <vt:lpstr>МикроРП</vt:lpstr>
      <vt:lpstr>МикроРП-М</vt:lpstr>
      <vt:lpstr>МикроРСП</vt:lpstr>
      <vt:lpstr>МикроРСП-М</vt:lpstr>
      <vt:lpstr>Мал1-2ГД</vt:lpstr>
      <vt:lpstr>Мал1-2ФД</vt:lpstr>
      <vt:lpstr>Мал1РН</vt:lpstr>
      <vt:lpstr>Мал1РН-М</vt:lpstr>
      <vt:lpstr>Мал1-2РП</vt:lpstr>
      <vt:lpstr>Мал1-2РП-М</vt:lpstr>
      <vt:lpstr>Мал2ППО</vt:lpstr>
      <vt:lpstr>Мал2ППО-М</vt:lpstr>
      <vt:lpstr>Ср1ФД</vt:lpstr>
      <vt:lpstr>Ср1ПДО</vt:lpstr>
      <vt:lpstr>Ср2-5ГД</vt:lpstr>
      <vt:lpstr>Ср2-5ФД</vt:lpstr>
      <vt:lpstr>Ср2ДП</vt:lpstr>
      <vt:lpstr>Ср2ДП-М</vt:lpstr>
      <vt:lpstr>Ср2ППО</vt:lpstr>
      <vt:lpstr>Ср3ДП</vt:lpstr>
      <vt:lpstr>Ср3ППО</vt:lpstr>
      <vt:lpstr>Ср3РП</vt:lpstr>
      <vt:lpstr>Ср4ДПм-М</vt:lpstr>
      <vt:lpstr>Ср4РПО-М</vt:lpstr>
      <vt:lpstr>Ср4РП-М</vt:lpstr>
      <vt:lpstr>Ср5РПО</vt:lpstr>
      <vt:lpstr>Ср5ПрОф</vt:lpstr>
      <vt:lpstr>Ср5РП</vt:lpstr>
      <vt:lpstr>Кр11ЗГД</vt:lpstr>
      <vt:lpstr>Кр1ППО</vt:lpstr>
      <vt:lpstr>Кр1ППО-М</vt:lpstr>
      <vt:lpstr>Кр1РЦ</vt:lpstr>
      <vt:lpstr>Кр1РЦ-М</vt:lpstr>
      <vt:lpstr>Кр1ПДО</vt:lpstr>
      <vt:lpstr>Кр1ПДО-М</vt:lpstr>
      <vt:lpstr>Кр1РП</vt:lpstr>
      <vt:lpstr>Кр1РП-М</vt:lpstr>
      <vt:lpstr>Кр2МшДПр</vt:lpstr>
      <vt:lpstr>Х1_ППО</vt:lpstr>
      <vt:lpstr>Х1_ППО-М</vt:lpstr>
      <vt:lpstr>Х2_ДИД</vt:lpstr>
      <vt:lpstr>Х2_НИО</vt:lpstr>
      <vt:lpstr>LCM</vt:lpstr>
      <vt:lpstr>Шаблон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Лебедев</dc:creator>
  <cp:lastModifiedBy>Ксения Тимчик</cp:lastModifiedBy>
  <dcterms:created xsi:type="dcterms:W3CDTF">2023-05-29T14:46:34Z</dcterms:created>
  <dcterms:modified xsi:type="dcterms:W3CDTF">2026-05-27T13:50:42Z</dcterms:modified>
</cp:coreProperties>
</file>