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C:\Users\shimo\AppData\Roaming\1C\1cv8\2d6b12de-121e-4e97-aeaf-dc0094255552\8f2db155-b91a-45c1-bd82-be5d68c03d5b\App\"/>
    </mc:Choice>
  </mc:AlternateContent>
  <xr:revisionPtr revIDLastSave="0" documentId="13_ncr:1_{AA0F700E-B443-44CD-83DD-B4E68292C6DE}" xr6:coauthVersionLast="47" xr6:coauthVersionMax="47" xr10:uidLastSave="{00000000-0000-0000-0000-000000000000}"/>
  <bookViews>
    <workbookView xWindow="-120" yWindow="-120" windowWidth="29040" windowHeight="15840" tabRatio="895" xr2:uid="{00000000-000D-0000-FFFF-FFFF00000000}"/>
  </bookViews>
  <sheets>
    <sheet name="Лист3" sheetId="101" r:id="rId1"/>
    <sheet name="Инжиниринг" sheetId="98" r:id="rId2"/>
    <sheet name="Лист1" sheetId="99" r:id="rId3"/>
    <sheet name="Лист2" sheetId="100" r:id="rId4"/>
    <sheet name="Шаблон" sheetId="8"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99" l="1"/>
  <c r="F13" i="99"/>
  <c r="F3" i="99"/>
</calcChain>
</file>

<file path=xl/sharedStrings.xml><?xml version="1.0" encoding="utf-8"?>
<sst xmlns="http://schemas.openxmlformats.org/spreadsheetml/2006/main" count="262" uniqueCount="154">
  <si>
    <t>4. Решение</t>
  </si>
  <si>
    <t>8. Ключевые метрики</t>
  </si>
  <si>
    <t>7. Структура издержек</t>
  </si>
  <si>
    <t>6. Потоки прибыли</t>
  </si>
  <si>
    <t>9. Скрытое преимущество</t>
  </si>
  <si>
    <t>5. Каналы</t>
  </si>
  <si>
    <t>3. Уникальная ценность (УТП)</t>
  </si>
  <si>
    <t>2.2 Альтернативы</t>
  </si>
  <si>
    <t>2.1 Проблема</t>
  </si>
  <si>
    <t>1.1 Сегменты потребителей</t>
  </si>
  <si>
    <t>1.2 Ранние последователи</t>
  </si>
  <si>
    <t>Продукт</t>
  </si>
  <si>
    <t>Рынок</t>
  </si>
  <si>
    <t>Количество продаж;
Количество пользователей в ГРМ;
Количество отзывов</t>
  </si>
  <si>
    <t>Не занимались</t>
  </si>
  <si>
    <t>В работе</t>
  </si>
  <si>
    <t>Глубокая реализация</t>
  </si>
  <si>
    <t>решение сформулировано</t>
  </si>
  <si>
    <t>решение не сформулировано</t>
  </si>
  <si>
    <t>решение сформулировано частично</t>
  </si>
  <si>
    <t>Базовая реализация (в т.ч. удобно)</t>
  </si>
  <si>
    <t>Техническая реализация</t>
  </si>
  <si>
    <t>Связь</t>
  </si>
  <si>
    <t>%</t>
  </si>
  <si>
    <t>Что нужно доработать:</t>
  </si>
  <si>
    <t>Что нужно ОП для старта: демо-база, презентации.</t>
  </si>
  <si>
    <t xml:space="preserve">5. Хаос изменений. У РП/структурных подразделений количество прилетающих изменений/структурная разрозненность не дают составить единый план действий, на который все могут ориентироваться, не говоря уже об оптимальности этого плана.
Любое изменение планов порождает снежный ком изменений, которые невозможно предугадать. Неочевидно, как изменение планов в одном проекте влияет на подразделения-смежники в этом же проекте, в результате изменяются планы по другим проектам. </t>
  </si>
  <si>
    <t>Прототип РМ4</t>
  </si>
  <si>
    <t>Типовая ERP+РМ5</t>
  </si>
  <si>
    <t>Excel + Project + 1C (ERP, KA, УНФ)
Уровень 0 - есть системы, есть обмен данными, данные проходят без потери информации  
Уровень 1 - появляется специализированная функуиональность
Уровень 2 - проблема-решение для отдельных ролей
Уровень 3 - комплексный сквозной процесс</t>
  </si>
  <si>
    <t>1. Необходимость формирования заказов поставщику по потребностям из нескольких проектов</t>
  </si>
  <si>
    <t>Заказы поставщикам (проблематика):</t>
  </si>
  <si>
    <t xml:space="preserve">2. Необходимость актуализации сроков в разных проектах по данным сводного заказа поставщику </t>
  </si>
  <si>
    <t>3. Номенклатура потребности (спецификации) в проекте не соответствует номенклатуре обеспечения</t>
  </si>
  <si>
    <t>Шаг</t>
  </si>
  <si>
    <t>Потребности</t>
  </si>
  <si>
    <t>10 эл.дв-й</t>
  </si>
  <si>
    <t>Сущность</t>
  </si>
  <si>
    <t>2 эл.дв-й №1</t>
  </si>
  <si>
    <t>3 эл.дв-й №2</t>
  </si>
  <si>
    <t>5 эл.дв-й №3</t>
  </si>
  <si>
    <t>Заказ пост-ку 1</t>
  </si>
  <si>
    <t>ПТУ 1</t>
  </si>
  <si>
    <t>ЭП 1</t>
  </si>
  <si>
    <t>ПТУ 2</t>
  </si>
  <si>
    <t>ПТУ 3</t>
  </si>
  <si>
    <t>Срок</t>
  </si>
  <si>
    <t>Результат</t>
  </si>
  <si>
    <t>Рез-т 1</t>
  </si>
  <si>
    <t>ЭП 1 Проект 1</t>
  </si>
  <si>
    <t>ЭП 2 Проект 1</t>
  </si>
  <si>
    <t>Рез-т 2</t>
  </si>
  <si>
    <t>1 насос</t>
  </si>
  <si>
    <t>УТП для рекламы</t>
  </si>
  <si>
    <t>Планирование ведётся по каждому проекту отдельно, без учёта критического пути и ограничений по всему портфелю.</t>
  </si>
  <si>
    <t xml:space="preserve">​Нельзя проверить: можно ли сдвинуть сроки по одному контракту, не завалив критический (не остановив работы) путь по другим проектам и не уронив общую рентабельность. </t>
  </si>
  <si>
    <t>Нет понятной связи: как изменение в проекте влияет на загрузку смежных подразделений и сроки по другим проектам</t>
  </si>
  <si>
    <t>Подход к определению момента возникновения затрат в проектах и регламентированном учете отличается</t>
  </si>
  <si>
    <t xml:space="preserve"> Количество прилетающих изменений и разрозненность данных не позволяют собрать единый, согласованный и оптимальный план действий по портфелю.
​- </t>
  </si>
  <si>
    <t>Нет понятной связи: как изменение в одном контракте влияет на загрузку подразделений и сроки по другим проектам, поэтому управляют «по пожарам», а не системой</t>
  </si>
  <si>
    <r>
      <rPr>
        <b/>
        <sz val="11"/>
        <color theme="1"/>
        <rFont val="Calibri"/>
        <family val="2"/>
        <charset val="204"/>
        <scheme val="minor"/>
      </rPr>
      <t>Невозможность управлять портфелем проектов как единой системой</t>
    </r>
    <r>
      <rPr>
        <sz val="11"/>
        <color theme="1"/>
        <rFont val="Calibri"/>
        <family val="2"/>
        <charset val="204"/>
        <scheme val="minor"/>
      </rPr>
      <t xml:space="preserve">
 - Планирование ведётся по каждому проекту отдельно, без учёта критического пути и ограничений по всему портфелю.
​</t>
    </r>
  </si>
  <si>
    <t>Нельзя проверить: можно ли сдвинуть сроки по одному контракту, не завалив критический путь по другим проектам и общую рентабельность.
​-</t>
  </si>
  <si>
    <t xml:space="preserve"> Нет инструмента, который одновременно видит проекты, закупки, производство, деньги и ресурсы как единый сквозной процесс</t>
  </si>
  <si>
    <t>Невозможность управлять портфелем проектов как единой системой</t>
  </si>
  <si>
    <t xml:space="preserve">
 - У проектных менеджеров и у функциональных руководителей всегда разные версии «правильного» плана, никто не уверен, какой из них актуален.
​</t>
  </si>
  <si>
    <t>Хаос изменений и отсутствие единого плана, которому доверяют все</t>
  </si>
  <si>
    <t>ДЛИННОЦИКЛОВОЕ ПРОИЗВОДСТВО</t>
  </si>
  <si>
    <t>Многопередельное производство</t>
  </si>
  <si>
    <t>Нужно стыковать работу с одной стороны выпуска сложной продукции, с др. стороны ритмичность работы пр-ва, которое делает много выпусков под разные заказы</t>
  </si>
  <si>
    <t>Позаказное, попроектное, длинноцикловое производство</t>
  </si>
  <si>
    <t>Везде, где слово "-строение"</t>
  </si>
  <si>
    <t>Те, кто производит уникальную продукцию</t>
  </si>
  <si>
    <t>Оборот 0,8-10 млрд</t>
  </si>
  <si>
    <t>ФЗ - Директор по производству</t>
  </si>
  <si>
    <t>Дирекция заказов (могут называться как угодно: служба заказчика, дирекция по заказам, проектный офис, дирекция по поставкам, ПДО)</t>
  </si>
  <si>
    <t>(Фин.дир не является здесь ФЗ, он не основный)</t>
  </si>
  <si>
    <t>Гл. инженер - ?</t>
  </si>
  <si>
    <t>(ИТ могут быть как и везде могут быть движком, но точно не ФЗ. Т.к. сама система сложная, то служба ИТ может выступать как главный системный аналитик с точки зрения стыковки подсистем в рамках сквозного процесса)</t>
  </si>
  <si>
    <t>Сквозной процесс: Конструирование - Закупки - Произвоство, Проект (Заказ) объединяет сквозную аналитику и объект управления с точки зрения соблюдения сроков и бюджетов</t>
  </si>
  <si>
    <t xml:space="preserve"> - Везде, где слово "-строение"
- Те, кто производит уникальную продукцию
Оборот 0,8-10 млрд
ФЗ 
- Директор по производству
- Дирекция заказов (могут называться как угодно: служба заказчика, дирекция по заказам, проектный офис, дирекция по поставкам, ПДО)</t>
  </si>
  <si>
    <t>ИНЖИНИРИНГ</t>
  </si>
  <si>
    <t xml:space="preserve"> 1-5</t>
  </si>
  <si>
    <t>1. Выгрузка потребностей в ERP или во внешнюю систему
(в прототипе есть выгрузка в систему, но по 1 проекту
в типовой выгрузки нет)</t>
  </si>
  <si>
    <r>
      <rPr>
        <b/>
        <sz val="11"/>
        <color theme="1"/>
        <rFont val="Calibri"/>
        <family val="2"/>
        <charset val="204"/>
        <scheme val="minor"/>
      </rPr>
      <t>2. Долго рассчитываются адекатные ценовые предложения, с</t>
    </r>
    <r>
      <rPr>
        <sz val="11"/>
        <color theme="1"/>
        <rFont val="Calibri"/>
        <family val="2"/>
        <charset val="204"/>
        <scheme val="minor"/>
      </rPr>
      <t xml:space="preserve">оответствующие реальным возможностям и </t>
    </r>
    <r>
      <rPr>
        <b/>
        <sz val="11"/>
        <color theme="1"/>
        <rFont val="Calibri"/>
        <family val="2"/>
        <charset val="204"/>
        <scheme val="minor"/>
      </rPr>
      <t>нет понимания в ошибках по срокам и стоимостям</t>
    </r>
    <r>
      <rPr>
        <sz val="11"/>
        <color theme="1"/>
        <rFont val="Calibri"/>
        <family val="2"/>
        <charset val="204"/>
        <scheme val="minor"/>
      </rPr>
      <t>. Есть риск изначально взять убыточный проект, так как стоимость и сроки (включая стоимость денег) влияют на конечную рентабельность.</t>
    </r>
  </si>
  <si>
    <t>2. Загрузка прогнозных и фактических сроков и стоимости обеспечения потребностей ТМЦ из ERP или внешней системы
(в прототипе есть по 1 проекту, по всем нет)</t>
  </si>
  <si>
    <t>1 и 3.1. и 3.6.</t>
  </si>
  <si>
    <r>
      <t xml:space="preserve">3. </t>
    </r>
    <r>
      <rPr>
        <b/>
        <sz val="11"/>
        <color theme="1"/>
        <rFont val="Calibri"/>
        <family val="2"/>
        <charset val="204"/>
        <scheme val="minor"/>
      </rPr>
      <t>В ходе проекта происходят изменения, которые мы можем пропустить или не отследить,</t>
    </r>
    <r>
      <rPr>
        <sz val="11"/>
        <color theme="1"/>
        <rFont val="Calibri"/>
        <family val="2"/>
        <charset val="204"/>
        <scheme val="minor"/>
      </rPr>
      <t xml:space="preserve"> но в любом случае они влияют на сроки и стоимости проекта, могут сделать проект убыточным, в связи с этим нужно их оперативно пересчитывать. Раннее обнаружение дает возможность раннего реагирования.</t>
    </r>
  </si>
  <si>
    <t>3. Актуализация сроков проекта по данным прогнозных и фактических сроков закупки
(есть актализация сроков проектных задач в прототипе)</t>
  </si>
  <si>
    <t>1 и 3.6.</t>
  </si>
  <si>
    <t>3.1 Изменение сроков закупок (в т.ч.сложность с логистикой)</t>
  </si>
  <si>
    <t>4. Формирование заказов а производство по планируемым объемам из проекта в проекте и получеие из ERP прогнозной фактической даты выпуска
(а). В типовой формирование заказа из проектной задачи - не правильно, в результате будут упускаются изделия на производство. Проблему можно снять (Леша, Семен).
б). Проблема многопередельного производство - вопрос как выстроить планирование (как не задублировать объемы пр-ва, как не задублировать заказ материалов), это должно быть продумано на уровне сценария, может не получиться т.к. это не продумано. Павел: нужно это учитывать в дебрях ERP)</t>
  </si>
  <si>
    <t>3.2 Изменение сроков поставок заказчику (в т.ч.сложность с логистикой)</t>
  </si>
  <si>
    <t>5. Актуализация сроков проекта по прогнозной и фактической датам выпуска</t>
  </si>
  <si>
    <t>1 и 3.4.</t>
  </si>
  <si>
    <t>6. РЦК (расчет цены контракта). Концепция РЦК для РМ5</t>
  </si>
  <si>
    <t>3.4. Изменение сроков производства (из-за изменения приоритетов загрузки оборудования)</t>
  </si>
  <si>
    <t>7. Учет стоимости денег при расчете и пересмотре бюджета проекта
(есть отчет на РМ4, но в бюджет он не попадает и нет в РМ5)</t>
  </si>
  <si>
    <t>2 и 3.8. и 4</t>
  </si>
  <si>
    <t>8, 10</t>
  </si>
  <si>
    <t>8. Календарное планирование задачи поставки Заказчику</t>
  </si>
  <si>
    <t>3.2. и 3.5.</t>
  </si>
  <si>
    <t>2, 3, 11, 12</t>
  </si>
  <si>
    <t>9. Замена спецификации оборудования (надо прорабатывать идеи - идеи кроме хранения в версиях нет)</t>
  </si>
  <si>
    <t>3.3.</t>
  </si>
  <si>
    <t>3.7.  Курсовые изменения, влияющие на стоимость оборудования</t>
  </si>
  <si>
    <t>13, 14</t>
  </si>
  <si>
    <t>10. Учёт загрузки бригад на проектах</t>
  </si>
  <si>
    <t>3.5.</t>
  </si>
  <si>
    <t>3.8  Общее изменение сроков влияет на стоимость денег (% по кредитам)</t>
  </si>
  <si>
    <t xml:space="preserve">11. Отмена обеспеченности ТМЦ в закруках, отмена факта ресурсов и БДДС, </t>
  </si>
  <si>
    <t>3.6.</t>
  </si>
  <si>
    <t>4. Посчитать PNL и CashFlow по компании с учетом всех изменений и прогноза продаж (по нескольним разным сценариям)</t>
  </si>
  <si>
    <t>7, 15, 16, 21</t>
  </si>
  <si>
    <t>12. Замена способа обеспечения и перепланирование закупок и производства</t>
  </si>
  <si>
    <t>13. Прогнозировать курсы и постоянно пересчитывать экономику проекта</t>
  </si>
  <si>
    <t xml:space="preserve"> 3.7.</t>
  </si>
  <si>
    <t>6. Разный взгляд на учет затрат у экономистов и производственников</t>
  </si>
  <si>
    <t>18 - 20</t>
  </si>
  <si>
    <t>14. Мультивалютный учет</t>
  </si>
  <si>
    <t>15. Возможность одновременно планировать и актуализировать проект в разных сценариях
(можем вести несколько планов по разным сценариям и вести БДР БДДС)</t>
  </si>
  <si>
    <t xml:space="preserve">4. </t>
  </si>
  <si>
    <t>16. При расчете экономики проекта мы задаем параметры расчета как общий для всех сценарий, так и индивидуальный для каждого сценарий и при изменении какого-либо параметра пересчитываетсяплан проекта (проверить - возможно учтено в концепции РЦК на РМ5)</t>
  </si>
  <si>
    <t>17. Сроки можно менять только если они не влияют на критический путь проекта. Надо отдельно продумать ограничения - что можно включить при проверке не только на 1 проект, но и на портфель. Алексей: возможно посмотреть концепцию работы со "свободным резервом" в Примавере. Семен: а ещё впихнуть ИИ - загрузить в неё графики и посмотреть, какие коллизии выявит ИИ.</t>
  </si>
  <si>
    <t>5.</t>
  </si>
  <si>
    <t>18. Механизм трансляции между уровнями - на основе одних и тех же данных формируется бюджет расходов ресурсов и БДР
(80-100%, возможно нужна будет трансляция из результатов в ресурсы или обратно, этого нет)</t>
  </si>
  <si>
    <t>6.</t>
  </si>
  <si>
    <t>80-100%</t>
  </si>
  <si>
    <t>19. Трансляция факта из проектных документов по разным правилам из первичных документов в БДР и Расходы ресурсов (расходные объемы)
(в БДР есть механизм, который можно настроить с помощью программиста, в расходе ресурсов - нет)</t>
  </si>
  <si>
    <t>30-50%</t>
  </si>
  <si>
    <t>20. Срезы планов и факт
(Срезы планов формально есть, но нам всегда чего-то не хватало как минимум срезов в факте - конкретику надо анализировать в конкретном сценарии)</t>
  </si>
  <si>
    <t>21. Штрафы - автопланирование и учет штрафных санкций при срыве сроков в P&amp;L и CashFlow
(ручное планирование и учет - есть, автопланирование - 0)</t>
  </si>
  <si>
    <t xml:space="preserve">4. и 3. </t>
  </si>
  <si>
    <t>Создание уникальных продуктов, которые сложно оценить, так как оценка зависит от множества факторов.</t>
  </si>
  <si>
    <t xml:space="preserve">Отрасли: 
 - Везде, где слово "-строение"
- Те, кто производит уникальную продукцию
Размер компаний:
800 млн. - 10 млрд 
Триггер 
- постоянные срывы в проектах, которые привели к серьезной бизнес-проблеме или приведут в будущем к проблеме, причем эти срывы ты делегировал коллегам
- либо получили штрафы, либо боятся штрафов по ГОЗ
Заказчики-люди:  
- №1 Владелец контрактов (портфеля заказов)(могут называться как угодно: служба заказчика, дирекция по заказам, проектный офис, дирекция по поставкам, ПДО, КД, Гл инженер или ФД), он отвечает перед заказчиками и зависит от смежных структур
- №2 Директор по производству
Подумать:
- Гл. инженер 
- Генеральный директор (контроль рентабельности портфеля, денежный поток, стратегия).
 - Коммерческий директор - ответсвенный за контракты
- Финансовый директор (бюджетирование, себестоимость, план-факт).
- Директор по закупкам
- Директор проектного офиса, Директор по производству (сроки, ресурсы, загрузка подразделений, управление графиками).
</t>
  </si>
  <si>
    <r>
      <t xml:space="preserve">3.5. Изменение сроков пусконаладки (из-за накладок в загрузке бригад)
</t>
    </r>
    <r>
      <rPr>
        <b/>
        <sz val="11"/>
        <rFont val="Calibri"/>
        <family val="2"/>
        <charset val="204"/>
        <scheme val="minor"/>
      </rPr>
      <t xml:space="preserve">3.5 Изменение сроков испытаний и сдачи заказчику </t>
    </r>
  </si>
  <si>
    <t>3.6. Комплектующие со склада может уйти на другиой проект, а не под тот, под который его закупили. В итоге на текущем проекте срыв сроков со всеми последствиями.</t>
  </si>
  <si>
    <r>
      <rPr>
        <b/>
        <sz val="11"/>
        <color theme="1"/>
        <rFont val="Calibri"/>
        <family val="2"/>
        <charset val="204"/>
        <scheme val="minor"/>
      </rPr>
      <t xml:space="preserve">1. Увязка сроков проекта с материальными ресурсами </t>
    </r>
    <r>
      <rPr>
        <sz val="11"/>
        <color theme="1"/>
        <rFont val="Calibri"/>
        <family val="2"/>
        <charset val="204"/>
        <scheme val="minor"/>
      </rPr>
      <t xml:space="preserve">(есть-нет, в какие сроки будут поставлены, т.е. не только закупка, но и производство) и со сроками производства.
Увязка сроков контракта/доходного проекта со сроками реализации проекта и сроками смежных подразделений: службой закупа и производственных. 
Трудоемкость увязки графика проекта с графиком поставки необходимого оборудования и графиком производства.
Отсутствие механизма формирования графика проекта на основе графиков смежных подразделений, актуализации графика проекта на основании прогноза исполнения от смежных подразделений). 
</t>
    </r>
  </si>
  <si>
    <t>Срыв сроков по кооперации - отдельная LCM</t>
  </si>
  <si>
    <t xml:space="preserve">Монолит: 
- Галактика
- Глобал
- Альфа
- 1С:ERP
Композит:
Excel + Project/Primavera/... + 1C (ERP, KA, УНФ)/Иносистема
</t>
  </si>
  <si>
    <r>
      <rPr>
        <u/>
        <sz val="11"/>
        <color theme="1"/>
        <rFont val="Calibri"/>
        <family val="2"/>
        <charset val="204"/>
        <scheme val="minor"/>
      </rPr>
      <t>На ком тестируем</t>
    </r>
    <r>
      <rPr>
        <sz val="11"/>
        <color theme="1"/>
        <rFont val="Calibri"/>
        <family val="2"/>
        <charset val="204"/>
        <scheme val="minor"/>
      </rPr>
      <t xml:space="preserve">:
ЧЭАЗ, Ситек, Стенксим,  Волгограднефтемаш
</t>
    </r>
    <r>
      <rPr>
        <u/>
        <sz val="11"/>
        <color theme="1"/>
        <rFont val="Calibri"/>
        <family val="2"/>
        <charset val="204"/>
        <scheme val="minor"/>
      </rPr>
      <t>С кого поднимать информацию:</t>
    </r>
    <r>
      <rPr>
        <sz val="11"/>
        <color theme="1"/>
        <rFont val="Calibri"/>
        <family val="2"/>
        <charset val="204"/>
        <scheme val="minor"/>
      </rPr>
      <t xml:space="preserve">
ЦКБМ, Заслон, Климов, Тайфун (?), ЗИО</t>
    </r>
    <r>
      <rPr>
        <b/>
        <sz val="11"/>
        <color theme="1"/>
        <rFont val="Calibri"/>
        <family val="2"/>
        <charset val="204"/>
        <scheme val="minor"/>
      </rPr>
      <t xml:space="preserve">
</t>
    </r>
    <r>
      <rPr>
        <b/>
        <sz val="11"/>
        <color rgb="FFFF0000"/>
        <rFont val="Calibri"/>
        <family val="2"/>
        <charset val="204"/>
        <scheme val="minor"/>
      </rPr>
      <t>Х</t>
    </r>
    <r>
      <rPr>
        <b/>
        <sz val="11"/>
        <color theme="1"/>
        <rFont val="Calibri"/>
        <family val="2"/>
        <charset val="204"/>
        <scheme val="minor"/>
      </rPr>
      <t xml:space="preserve"> проект - продаж до конца 2026г;
</t>
    </r>
    <r>
      <rPr>
        <b/>
        <sz val="11"/>
        <color rgb="FFFF0000"/>
        <rFont val="Calibri"/>
        <family val="2"/>
        <charset val="204"/>
        <scheme val="minor"/>
      </rPr>
      <t xml:space="preserve">Х </t>
    </r>
    <r>
      <rPr>
        <b/>
        <sz val="11"/>
        <color theme="1"/>
        <rFont val="Calibri"/>
        <family val="2"/>
        <charset val="204"/>
        <scheme val="minor"/>
      </rPr>
      <t xml:space="preserve">проекта - продаж за 2027г.
Ожидаемая стоимость = </t>
    </r>
    <r>
      <rPr>
        <b/>
        <sz val="11"/>
        <color rgb="FFFF0000"/>
        <rFont val="Calibri"/>
        <family val="2"/>
        <charset val="204"/>
        <scheme val="minor"/>
      </rPr>
      <t>ХХ</t>
    </r>
    <r>
      <rPr>
        <b/>
        <sz val="11"/>
        <color theme="1"/>
        <rFont val="Calibri"/>
        <family val="2"/>
        <charset val="204"/>
        <scheme val="minor"/>
      </rPr>
      <t xml:space="preserve">млн за проект
</t>
    </r>
  </si>
  <si>
    <t xml:space="preserve">По сути мы получаем ERP для проектного (позаказного) производства:
- с объемным/ тематическим планированием на 3-5 лет
- со сквозным процессом КД-закупки-производство
- Нужно стыковать работу с одной стороны выпуска сложной продукции, с др. стороны ритмичность работы пр-ва, которое делает много выпусков под разные заказы
- Мониторинг исполнения бюджетов заказов (проектов)
</t>
  </si>
  <si>
    <t>0.</t>
  </si>
  <si>
    <t>00.</t>
  </si>
  <si>
    <t>000.</t>
  </si>
  <si>
    <t>00. Загрузка производства: равномерная загрузка подразделений/рабочих центров
Обеспеченность загрузкой Подразделений/РЦ и возможность исполнения заказов (принятых обяхательств).</t>
  </si>
  <si>
    <t>00. Загрузка подразделений сформированная по технологическим планам заказов (Технологический план заказа это отдельный план с какой-то структурой) и загрузкой в каких-то подразделений.</t>
  </si>
  <si>
    <t>000. Управление (расчет) графика произодства
Длинные графики проектов (1-3 года), не увязанные с учетной системой. 
Сложно управлять графиком в несколько тысяч задач, сложно актализировать, сложно получать информацию для разных служб (факт-прогноз для годового плана, договорного плана, ПЭО, работ подразделений/цехов). Сложно перепланировать.</t>
  </si>
  <si>
    <t>000. Планирование производственного графика в ERP
Решение: многомерные проекты (когда 1 проект и у него несколько планов - договорной, объемный, технологический, сетевой график); планирование по методу набегающей волны; возможно иерархические проекты; связь с заказами и первичными документами.</t>
  </si>
  <si>
    <r>
      <t xml:space="preserve">3.3 </t>
    </r>
    <r>
      <rPr>
        <sz val="11"/>
        <color rgb="FF00B050"/>
        <rFont val="Calibri"/>
        <family val="2"/>
        <charset val="204"/>
        <scheme val="minor"/>
      </rPr>
      <t xml:space="preserve">Изменения КД и следовательно замена </t>
    </r>
    <r>
      <rPr>
        <sz val="11"/>
        <rFont val="Calibri"/>
        <family val="2"/>
        <charset val="204"/>
        <scheme val="minor"/>
      </rPr>
      <t>спецификации оборудования (отсутствие на рынке комплектующих, поиски альтернатив) -</t>
    </r>
    <r>
      <rPr>
        <strike/>
        <sz val="11"/>
        <rFont val="Calibri"/>
        <family val="2"/>
        <charset val="204"/>
        <scheme val="minor"/>
      </rPr>
      <t xml:space="preserve"> замена не самого документа, а поставка по факту какого-то другого аналога</t>
    </r>
    <r>
      <rPr>
        <sz val="11"/>
        <rFont val="Calibri"/>
        <family val="2"/>
        <charset val="204"/>
        <scheme val="minor"/>
      </rPr>
      <t xml:space="preserve"> =&gt; нужно перепланирвоать кусок проекта</t>
    </r>
  </si>
  <si>
    <t>4.4. Учет и отчетность по ГОЗ, чтобы отчитаться, закрыть акты, получить деньги и не попасть</t>
  </si>
  <si>
    <t>Управление разработкой КД в рамках отдельной LCM (БЗ Производство)</t>
  </si>
  <si>
    <r>
      <rPr>
        <b/>
        <sz val="11"/>
        <color rgb="FFFF0000"/>
        <rFont val="Calibri"/>
        <family val="2"/>
        <charset val="204"/>
        <scheme val="minor"/>
      </rPr>
      <t>ГЛАВНАЯ ПРОБЛЕМАТИКА</t>
    </r>
    <r>
      <rPr>
        <b/>
        <sz val="11"/>
        <color theme="1"/>
        <rFont val="Calibri"/>
        <family val="2"/>
        <charset val="204"/>
        <scheme val="minor"/>
      </rPr>
      <t xml:space="preserve">
0. Объемное тематическое планирование (годовой план загрузки (в руб.))
Обеспечение эффективной загрузки производства на планируемый горизонт стратегического планирования (год/3/5)
Обеспеченность заказами производства и возможность исполнения заказов (принятых обяхательств) (Верхнеуровнего без погружения до цехов и РЦ).</t>
    </r>
  </si>
  <si>
    <t>Подсветить возможность Интеграции:
1. PDM/PLM &lt;-&gt; PM 
2. PM&lt;-&gt; Производственная система не 1С: ERP</t>
  </si>
  <si>
    <r>
      <t xml:space="preserve">Перспективная производственная программа, и перспективная загрузка на горизонт 3/5 лет
0.  Портфель заказов и годовой план </t>
    </r>
    <r>
      <rPr>
        <b/>
        <sz val="11"/>
        <color rgb="FFFF0000"/>
        <rFont val="Calibri"/>
        <family val="2"/>
        <charset val="204"/>
        <scheme val="minor"/>
      </rPr>
      <t xml:space="preserve">загрузки </t>
    </r>
    <r>
      <rPr>
        <b/>
        <sz val="11"/>
        <rFont val="Calibri"/>
        <family val="2"/>
        <charset val="204"/>
        <scheme val="minor"/>
      </rPr>
      <t>(Производственная программа)</t>
    </r>
    <r>
      <rPr>
        <b/>
        <sz val="11"/>
        <color theme="1"/>
        <rFont val="Calibri"/>
        <family val="2"/>
        <charset val="204"/>
        <scheme val="minor"/>
      </rPr>
      <t xml:space="preserve">
 (Тематический план из кейса как в Инжиниринге, но вместо виджета загрузки тем план помесячно в рублях, не накопительно)</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</si>
</sst>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204"/>
      <scheme val="minor"/>
    </font>
    <font>
      <b/>
      <sz val="11"/>
      <color theme="1"/>
      <name val="Calibri"/>
      <family val="2"/>
      <charset val="204"/>
      <scheme val="minor"/>
    </font>
    <font>
      <b/>
      <i/>
      <sz val="11"/>
      <color theme="1"/>
      <name val="Calibri"/>
      <family val="2"/>
      <charset val="204"/>
      <scheme val="minor"/>
    </font>
    <font>
      <b/>
      <sz val="11"/>
      <name val="Calibri"/>
      <family val="2"/>
      <charset val="204"/>
      <scheme val="minor"/>
    </font>
    <font>
      <b/>
      <sz val="11"/>
      <color theme="9" tint="-0.499984740745262"/>
      <name val="Calibri"/>
      <family val="2"/>
      <charset val="204"/>
      <scheme val="minor"/>
    </font>
    <font>
      <b/>
      <sz val="11"/>
      <color theme="3" tint="0.39997558519241921"/>
      <name val="Calibri"/>
      <family val="2"/>
      <charset val="204"/>
      <scheme val="minor"/>
    </font>
    <font>
      <b/>
      <sz val="11"/>
      <color theme="7" tint="-0.249977111117893"/>
      <name val="Calibri"/>
      <family val="2"/>
      <charset val="204"/>
      <scheme val="minor"/>
    </font>
    <font>
      <b/>
      <sz val="11"/>
      <color rgb="FF0070C0"/>
      <name val="Calibri"/>
      <family val="2"/>
      <charset val="204"/>
      <scheme val="minor"/>
    </font>
    <font>
      <b/>
      <sz val="9"/>
      <color theme="1"/>
      <name val="Calibri"/>
      <family val="2"/>
      <charset val="204"/>
      <scheme val="minor"/>
    </font>
    <font>
      <b/>
      <sz val="9"/>
      <color theme="7" tint="-0.249977111117893"/>
      <name val="Calibri"/>
      <family val="2"/>
      <charset val="204"/>
      <scheme val="minor"/>
    </font>
    <font>
      <b/>
      <sz val="9"/>
      <color theme="3" tint="0.39997558519241921"/>
      <name val="Calibri"/>
      <family val="2"/>
      <charset val="204"/>
      <scheme val="minor"/>
    </font>
    <font>
      <b/>
      <sz val="9"/>
      <color theme="9" tint="-0.499984740745262"/>
      <name val="Calibri"/>
      <family val="2"/>
      <charset val="204"/>
      <scheme val="minor"/>
    </font>
    <font>
      <b/>
      <sz val="9"/>
      <color rgb="FF0070C0"/>
      <name val="Calibri"/>
      <family val="2"/>
      <charset val="204"/>
      <scheme val="minor"/>
    </font>
    <font>
      <sz val="11"/>
      <color theme="1"/>
      <name val="Calibri"/>
      <family val="2"/>
      <charset val="204"/>
      <scheme val="minor"/>
    </font>
    <font>
      <sz val="10"/>
      <color theme="1"/>
      <name val="Calibri"/>
      <family val="2"/>
      <charset val="204"/>
      <scheme val="minor"/>
    </font>
    <font>
      <sz val="11"/>
      <name val="Calibri"/>
      <family val="2"/>
      <charset val="204"/>
      <scheme val="minor"/>
    </font>
    <font>
      <sz val="11"/>
      <color theme="9" tint="-0.499984740745262"/>
      <name val="Calibri"/>
      <family val="2"/>
      <charset val="204"/>
      <scheme val="minor"/>
    </font>
    <font>
      <u/>
      <sz val="11"/>
      <color theme="1"/>
      <name val="Calibri"/>
      <family val="2"/>
      <charset val="204"/>
      <scheme val="minor"/>
    </font>
    <font>
      <b/>
      <strike/>
      <sz val="11"/>
      <color theme="1"/>
      <name val="Calibri"/>
      <family val="2"/>
      <charset val="204"/>
      <scheme val="minor"/>
    </font>
    <font>
      <sz val="11"/>
      <color rgb="FF00B050"/>
      <name val="Calibri"/>
      <family val="2"/>
      <charset val="204"/>
      <scheme val="minor"/>
    </font>
    <font>
      <b/>
      <strike/>
      <sz val="11"/>
      <name val="Calibri"/>
      <family val="2"/>
      <charset val="204"/>
      <scheme val="minor"/>
    </font>
    <font>
      <strike/>
      <sz val="11"/>
      <name val="Calibri"/>
      <family val="2"/>
      <charset val="204"/>
      <scheme val="minor"/>
    </font>
    <font>
      <sz val="11"/>
      <color theme="0" tint="-0.249977111117893"/>
      <name val="Calibri"/>
      <family val="2"/>
      <charset val="204"/>
      <scheme val="minor"/>
    </font>
    <font>
      <b/>
      <sz val="11"/>
      <color rgb="FFFF0000"/>
      <name val="Calibri"/>
      <family val="2"/>
      <charset val="204"/>
      <scheme val="minor"/>
    </font>
  </fonts>
  <fills count="8">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79998168889431442"/>
        <bgColor indexed="64"/>
      </patternFill>
    </fill>
  </fills>
  <borders count="62">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rgb="FFFF0000"/>
      </left>
      <right style="medium">
        <color rgb="FFFF0000"/>
      </right>
      <top style="medium">
        <color rgb="FFFF0000"/>
      </top>
      <bottom style="medium">
        <color rgb="FFFF0000"/>
      </bottom>
      <diagonal/>
    </border>
  </borders>
  <cellStyleXfs count="2">
    <xf numFmtId="0" fontId="0" fillId="0" borderId="0"/>
    <xf numFmtId="9" fontId="13" fillId="0" borderId="0" applyFont="0" applyFill="0" applyBorder="0" applyAlignment="0" applyProtection="0"/>
  </cellStyleXfs>
  <cellXfs count="198">
    <xf numFmtId="0" fontId="0" fillId="0" borderId="0" xfId="0"/>
    <xf numFmtId="0" fontId="1" fillId="0" borderId="0" xfId="0" applyFont="1"/>
    <xf numFmtId="0" fontId="0" fillId="2" borderId="2" xfId="0" applyFill="1" applyBorder="1" applyAlignment="1">
      <alignment wrapText="1"/>
    </xf>
    <xf numFmtId="0" fontId="0" fillId="0" borderId="14" xfId="0" applyBorder="1" applyAlignment="1">
      <alignment vertical="top" wrapText="1"/>
    </xf>
    <xf numFmtId="0" fontId="0" fillId="0" borderId="11" xfId="0" applyBorder="1" applyAlignment="1">
      <alignment vertical="top" wrapText="1"/>
    </xf>
    <xf numFmtId="0" fontId="0" fillId="2" borderId="15" xfId="0" applyFill="1" applyBorder="1" applyAlignment="1">
      <alignment vertical="top" wrapText="1"/>
    </xf>
    <xf numFmtId="0" fontId="0" fillId="0" borderId="10" xfId="0" applyBorder="1" applyAlignment="1">
      <alignment horizontal="left" vertical="top" wrapText="1"/>
    </xf>
    <xf numFmtId="0" fontId="0" fillId="0" borderId="1" xfId="0" applyBorder="1" applyAlignment="1">
      <alignment wrapText="1"/>
    </xf>
    <xf numFmtId="0" fontId="0" fillId="0" borderId="24" xfId="0" applyBorder="1" applyAlignment="1">
      <alignment vertical="top" wrapText="1"/>
    </xf>
    <xf numFmtId="0" fontId="1" fillId="2" borderId="2" xfId="0" applyFont="1" applyFill="1" applyBorder="1" applyAlignment="1">
      <alignment horizontal="left" vertical="top" wrapText="1"/>
    </xf>
    <xf numFmtId="0" fontId="0" fillId="2" borderId="7" xfId="0" applyFill="1" applyBorder="1" applyAlignment="1">
      <alignment wrapText="1"/>
    </xf>
    <xf numFmtId="0" fontId="0" fillId="2" borderId="16" xfId="0" applyFill="1" applyBorder="1" applyAlignment="1">
      <alignment vertical="top" wrapText="1"/>
    </xf>
    <xf numFmtId="0" fontId="0" fillId="0" borderId="3" xfId="0" applyBorder="1" applyAlignment="1">
      <alignment wrapText="1"/>
    </xf>
    <xf numFmtId="0" fontId="0" fillId="0" borderId="29" xfId="0" applyBorder="1" applyAlignment="1">
      <alignment vertical="top" wrapText="1"/>
    </xf>
    <xf numFmtId="0" fontId="1" fillId="2" borderId="28" xfId="0" applyFont="1" applyFill="1" applyBorder="1" applyAlignment="1">
      <alignment vertical="top" wrapText="1"/>
    </xf>
    <xf numFmtId="0" fontId="0" fillId="0" borderId="12" xfId="0" applyBorder="1" applyAlignment="1">
      <alignment vertical="top" wrapText="1"/>
    </xf>
    <xf numFmtId="0" fontId="0" fillId="0" borderId="0" xfId="0" applyAlignment="1">
      <alignment wrapText="1"/>
    </xf>
    <xf numFmtId="0" fontId="4" fillId="0" borderId="0" xfId="0" applyFont="1" applyAlignment="1">
      <alignment wrapText="1"/>
    </xf>
    <xf numFmtId="0" fontId="0" fillId="0" borderId="5" xfId="0" applyBorder="1" applyAlignment="1">
      <alignment wrapText="1"/>
    </xf>
    <xf numFmtId="0" fontId="0" fillId="0" borderId="4" xfId="0" applyBorder="1" applyAlignment="1">
      <alignment vertical="top" wrapText="1"/>
    </xf>
    <xf numFmtId="0" fontId="1" fillId="0" borderId="0" xfId="0" applyFont="1" applyAlignment="1">
      <alignment wrapText="1"/>
    </xf>
    <xf numFmtId="0" fontId="6" fillId="0" borderId="0" xfId="0" applyFont="1" applyAlignment="1">
      <alignment wrapText="1"/>
    </xf>
    <xf numFmtId="0" fontId="0" fillId="2" borderId="8" xfId="0" applyFill="1" applyBorder="1" applyAlignment="1">
      <alignment vertical="top" wrapText="1"/>
    </xf>
    <xf numFmtId="0" fontId="0" fillId="0" borderId="13" xfId="0" applyBorder="1" applyAlignment="1">
      <alignment horizontal="left" vertical="top" wrapText="1"/>
    </xf>
    <xf numFmtId="0" fontId="0" fillId="2" borderId="5" xfId="0" applyFill="1" applyBorder="1" applyAlignment="1">
      <alignment horizontal="left" vertical="top" wrapText="1"/>
    </xf>
    <xf numFmtId="0" fontId="2" fillId="2" borderId="30" xfId="0" applyFont="1" applyFill="1" applyBorder="1" applyAlignment="1">
      <alignment vertical="top" wrapText="1"/>
    </xf>
    <xf numFmtId="0" fontId="0" fillId="2" borderId="30" xfId="0" applyFill="1" applyBorder="1" applyAlignment="1">
      <alignment horizontal="left" vertical="top" wrapText="1"/>
    </xf>
    <xf numFmtId="0" fontId="1" fillId="0" borderId="33" xfId="0" applyFont="1" applyBorder="1" applyAlignment="1">
      <alignment vertical="top" wrapText="1"/>
    </xf>
    <xf numFmtId="0" fontId="1" fillId="0" borderId="38" xfId="0" applyFont="1" applyBorder="1" applyAlignment="1">
      <alignment vertical="top" wrapText="1"/>
    </xf>
    <xf numFmtId="0" fontId="1" fillId="0" borderId="38" xfId="0" applyFont="1" applyBorder="1" applyAlignment="1">
      <alignment wrapText="1"/>
    </xf>
    <xf numFmtId="0" fontId="1" fillId="0" borderId="36" xfId="0" applyFont="1" applyBorder="1" applyAlignment="1">
      <alignment vertical="top" wrapText="1"/>
    </xf>
    <xf numFmtId="0" fontId="1" fillId="0" borderId="12" xfId="0" applyFont="1" applyBorder="1" applyAlignment="1">
      <alignment wrapText="1"/>
    </xf>
    <xf numFmtId="0" fontId="1" fillId="0" borderId="14" xfId="0" applyFont="1" applyBorder="1" applyAlignment="1">
      <alignment wrapText="1"/>
    </xf>
    <xf numFmtId="0" fontId="1" fillId="0" borderId="22" xfId="0" applyFont="1" applyBorder="1" applyAlignment="1">
      <alignment horizontal="left" vertical="top" wrapText="1"/>
    </xf>
    <xf numFmtId="0" fontId="1" fillId="0" borderId="40" xfId="0" applyFont="1" applyBorder="1" applyAlignment="1">
      <alignment horizontal="left" vertical="top" wrapText="1"/>
    </xf>
    <xf numFmtId="0" fontId="1" fillId="0" borderId="39" xfId="0" applyFont="1" applyBorder="1" applyAlignment="1">
      <alignment horizontal="left" vertical="top" wrapText="1"/>
    </xf>
    <xf numFmtId="0" fontId="1" fillId="0" borderId="42" xfId="0" applyFont="1" applyBorder="1" applyAlignment="1">
      <alignment horizontal="left" vertical="top" wrapText="1"/>
    </xf>
    <xf numFmtId="0" fontId="0" fillId="0" borderId="41" xfId="0" applyBorder="1" applyAlignment="1">
      <alignment wrapText="1"/>
    </xf>
    <xf numFmtId="0" fontId="15" fillId="0" borderId="41" xfId="0" applyFont="1" applyBorder="1" applyAlignment="1">
      <alignment horizontal="left" vertical="center" wrapText="1"/>
    </xf>
    <xf numFmtId="0" fontId="4" fillId="0" borderId="41" xfId="0" applyFont="1" applyBorder="1" applyAlignment="1">
      <alignment horizontal="left" vertical="center" wrapText="1"/>
    </xf>
    <xf numFmtId="0" fontId="0" fillId="0" borderId="30" xfId="0" applyBorder="1" applyAlignment="1">
      <alignment wrapText="1"/>
    </xf>
    <xf numFmtId="9" fontId="8" fillId="0" borderId="0" xfId="0" applyNumberFormat="1" applyFont="1" applyAlignment="1">
      <alignment wrapText="1"/>
    </xf>
    <xf numFmtId="9" fontId="9" fillId="0" borderId="0" xfId="0" applyNumberFormat="1" applyFont="1" applyAlignment="1">
      <alignment wrapText="1"/>
    </xf>
    <xf numFmtId="9" fontId="10" fillId="0" borderId="0" xfId="0" applyNumberFormat="1" applyFont="1" applyAlignment="1">
      <alignment wrapText="1"/>
    </xf>
    <xf numFmtId="9" fontId="11" fillId="0" borderId="0" xfId="0" applyNumberFormat="1" applyFont="1" applyAlignment="1">
      <alignment wrapText="1"/>
    </xf>
    <xf numFmtId="9" fontId="12" fillId="0" borderId="0" xfId="0" applyNumberFormat="1" applyFont="1" applyAlignment="1">
      <alignment wrapText="1"/>
    </xf>
    <xf numFmtId="0" fontId="5" fillId="0" borderId="0" xfId="0" applyFont="1" applyAlignment="1">
      <alignment wrapText="1"/>
    </xf>
    <xf numFmtId="0" fontId="7" fillId="0" borderId="0" xfId="0" applyFont="1" applyAlignment="1">
      <alignment wrapText="1"/>
    </xf>
    <xf numFmtId="0" fontId="0" fillId="0" borderId="0" xfId="0" applyAlignment="1">
      <alignment horizontal="left"/>
    </xf>
    <xf numFmtId="0" fontId="1" fillId="0" borderId="0" xfId="0" applyFont="1" applyAlignment="1">
      <alignment horizontal="left"/>
    </xf>
    <xf numFmtId="0" fontId="6" fillId="0" borderId="0" xfId="0" applyFont="1" applyAlignment="1">
      <alignment horizontal="left"/>
    </xf>
    <xf numFmtId="0" fontId="4" fillId="0" borderId="0" xfId="0" applyFont="1" applyAlignment="1">
      <alignment horizontal="left"/>
    </xf>
    <xf numFmtId="0" fontId="0" fillId="0" borderId="30" xfId="0" applyBorder="1"/>
    <xf numFmtId="16" fontId="0" fillId="0" borderId="0" xfId="0" applyNumberFormat="1"/>
    <xf numFmtId="16" fontId="0" fillId="4" borderId="0" xfId="0" applyNumberFormat="1" applyFill="1"/>
    <xf numFmtId="0" fontId="0" fillId="4" borderId="30" xfId="0" applyFill="1" applyBorder="1"/>
    <xf numFmtId="0" fontId="0" fillId="0" borderId="30" xfId="0" applyBorder="1" applyAlignment="1">
      <alignment horizontal="center" vertical="center"/>
    </xf>
    <xf numFmtId="0" fontId="1" fillId="0" borderId="36" xfId="0" applyFont="1" applyBorder="1" applyAlignment="1">
      <alignment horizontal="left" vertical="top" wrapText="1"/>
    </xf>
    <xf numFmtId="16" fontId="0" fillId="0" borderId="45" xfId="0" applyNumberFormat="1" applyBorder="1" applyAlignment="1">
      <alignment horizontal="left"/>
    </xf>
    <xf numFmtId="0" fontId="0" fillId="0" borderId="30" xfId="0" applyBorder="1" applyAlignment="1">
      <alignment horizontal="left" wrapText="1"/>
    </xf>
    <xf numFmtId="0" fontId="0" fillId="5" borderId="30" xfId="0" applyFill="1" applyBorder="1" applyAlignment="1">
      <alignment wrapText="1"/>
    </xf>
    <xf numFmtId="0" fontId="1" fillId="3" borderId="23" xfId="0" applyFont="1" applyFill="1" applyBorder="1" applyAlignment="1">
      <alignment vertical="top" wrapText="1"/>
    </xf>
    <xf numFmtId="0" fontId="1" fillId="2" borderId="30" xfId="0" applyFont="1" applyFill="1" applyBorder="1" applyAlignment="1">
      <alignment wrapText="1"/>
    </xf>
    <xf numFmtId="0" fontId="0" fillId="0" borderId="46" xfId="0" applyBorder="1" applyAlignment="1">
      <alignment horizontal="left"/>
    </xf>
    <xf numFmtId="0" fontId="0" fillId="0" borderId="47" xfId="0" applyBorder="1" applyAlignment="1">
      <alignment horizontal="left"/>
    </xf>
    <xf numFmtId="0" fontId="1" fillId="0" borderId="48" xfId="0" applyFont="1" applyBorder="1" applyAlignment="1">
      <alignment horizontal="center" vertical="top" wrapText="1"/>
    </xf>
    <xf numFmtId="16" fontId="0" fillId="0" borderId="47" xfId="0" applyNumberFormat="1" applyBorder="1" applyAlignment="1">
      <alignment horizontal="left"/>
    </xf>
    <xf numFmtId="0" fontId="1" fillId="0" borderId="41" xfId="0" applyFont="1" applyBorder="1" applyAlignment="1">
      <alignment horizontal="left" vertical="top" wrapText="1"/>
    </xf>
    <xf numFmtId="0" fontId="1" fillId="0" borderId="49" xfId="0" applyFont="1" applyBorder="1" applyAlignment="1">
      <alignment horizontal="center" vertical="top" wrapText="1"/>
    </xf>
    <xf numFmtId="9" fontId="0" fillId="0" borderId="41" xfId="1" applyFont="1" applyFill="1" applyBorder="1" applyAlignment="1">
      <alignment horizontal="left" vertical="center" wrapText="1"/>
    </xf>
    <xf numFmtId="0" fontId="0" fillId="0" borderId="41" xfId="0" applyBorder="1" applyAlignment="1">
      <alignment horizontal="left" wrapText="1"/>
    </xf>
    <xf numFmtId="0" fontId="0" fillId="0" borderId="43" xfId="0" applyBorder="1" applyAlignment="1">
      <alignment horizontal="left" wrapText="1"/>
    </xf>
    <xf numFmtId="0" fontId="1" fillId="0" borderId="38" xfId="0" applyFont="1" applyBorder="1" applyAlignment="1">
      <alignment horizontal="center" vertical="top" wrapText="1"/>
    </xf>
    <xf numFmtId="0" fontId="0" fillId="0" borderId="41" xfId="0" applyBorder="1" applyAlignment="1">
      <alignment horizontal="right" wrapText="1"/>
    </xf>
    <xf numFmtId="16" fontId="0" fillId="0" borderId="41" xfId="0" applyNumberFormat="1" applyBorder="1" applyAlignment="1">
      <alignment horizontal="right" wrapText="1"/>
    </xf>
    <xf numFmtId="0" fontId="5" fillId="0" borderId="41" xfId="0" applyFont="1" applyBorder="1" applyAlignment="1">
      <alignment horizontal="center" vertical="center" wrapText="1"/>
    </xf>
    <xf numFmtId="0" fontId="5" fillId="0" borderId="43" xfId="0" applyFont="1" applyBorder="1" applyAlignment="1">
      <alignment horizontal="center" vertical="center" wrapText="1"/>
    </xf>
    <xf numFmtId="9" fontId="1" fillId="0" borderId="38" xfId="0" applyNumberFormat="1" applyFont="1" applyBorder="1" applyAlignment="1">
      <alignment horizontal="center" vertical="top" wrapText="1"/>
    </xf>
    <xf numFmtId="9" fontId="1" fillId="0" borderId="41" xfId="1" applyFont="1" applyFill="1" applyBorder="1" applyAlignment="1">
      <alignment horizontal="center" vertical="center" wrapText="1"/>
    </xf>
    <xf numFmtId="9" fontId="6" fillId="0" borderId="43" xfId="0" applyNumberFormat="1" applyFont="1" applyBorder="1" applyAlignment="1">
      <alignment horizontal="center" vertical="center"/>
    </xf>
    <xf numFmtId="9" fontId="6" fillId="0" borderId="41" xfId="0" applyNumberFormat="1" applyFont="1" applyBorder="1" applyAlignment="1">
      <alignment horizontal="center" vertical="center"/>
    </xf>
    <xf numFmtId="0" fontId="1" fillId="0" borderId="36" xfId="0" applyFont="1" applyBorder="1" applyAlignment="1">
      <alignment wrapText="1"/>
    </xf>
    <xf numFmtId="0" fontId="1" fillId="0" borderId="23" xfId="0" applyFont="1" applyBorder="1" applyAlignment="1">
      <alignment horizontal="left" vertical="top" wrapText="1"/>
    </xf>
    <xf numFmtId="0" fontId="3" fillId="0" borderId="39" xfId="0" applyFont="1" applyBorder="1" applyAlignment="1">
      <alignment horizontal="left" vertical="center" wrapText="1"/>
    </xf>
    <xf numFmtId="0" fontId="0" fillId="0" borderId="18" xfId="0" applyBorder="1" applyAlignment="1">
      <alignment horizontal="left"/>
    </xf>
    <xf numFmtId="0" fontId="0" fillId="0" borderId="9" xfId="0" applyBorder="1" applyAlignment="1">
      <alignment horizontal="left"/>
    </xf>
    <xf numFmtId="0" fontId="0" fillId="0" borderId="35" xfId="0" applyBorder="1" applyAlignment="1">
      <alignment horizontal="left"/>
    </xf>
    <xf numFmtId="0" fontId="1" fillId="0" borderId="13" xfId="0" applyFont="1" applyBorder="1" applyAlignment="1">
      <alignment wrapText="1"/>
    </xf>
    <xf numFmtId="0" fontId="1" fillId="4" borderId="21" xfId="0" applyFont="1" applyFill="1" applyBorder="1" applyAlignment="1">
      <alignment horizontal="left" vertical="top" wrapText="1"/>
    </xf>
    <xf numFmtId="0" fontId="0" fillId="0" borderId="34" xfId="0" applyBorder="1" applyAlignment="1">
      <alignment horizontal="left"/>
    </xf>
    <xf numFmtId="0" fontId="2" fillId="0" borderId="50" xfId="0" applyFont="1" applyBorder="1" applyAlignment="1">
      <alignment vertical="top" wrapText="1"/>
    </xf>
    <xf numFmtId="0" fontId="1" fillId="0" borderId="51" xfId="0" applyFont="1" applyBorder="1" applyAlignment="1">
      <alignment horizontal="left" vertical="top" wrapText="1"/>
    </xf>
    <xf numFmtId="0" fontId="1" fillId="0" borderId="52" xfId="0" applyFont="1" applyBorder="1" applyAlignment="1">
      <alignment horizontal="left" vertical="top" wrapText="1"/>
    </xf>
    <xf numFmtId="0" fontId="1" fillId="0" borderId="32" xfId="0" applyFont="1" applyBorder="1" applyAlignment="1">
      <alignment horizontal="left" wrapText="1"/>
    </xf>
    <xf numFmtId="0" fontId="1" fillId="0" borderId="13" xfId="0" applyFont="1" applyBorder="1" applyAlignment="1">
      <alignment horizontal="left" wrapText="1"/>
    </xf>
    <xf numFmtId="0" fontId="1" fillId="2" borderId="19" xfId="0" applyFont="1" applyFill="1" applyBorder="1" applyAlignment="1">
      <alignment horizontal="left" vertical="top" wrapText="1"/>
    </xf>
    <xf numFmtId="0" fontId="1" fillId="2" borderId="20" xfId="0" applyFont="1" applyFill="1" applyBorder="1" applyAlignment="1">
      <alignment horizontal="left" vertical="top" wrapText="1"/>
    </xf>
    <xf numFmtId="0" fontId="1" fillId="2" borderId="21" xfId="0" applyFont="1" applyFill="1" applyBorder="1" applyAlignment="1">
      <alignment horizontal="left" vertical="top" wrapText="1"/>
    </xf>
    <xf numFmtId="0" fontId="1" fillId="0" borderId="35" xfId="0" applyFont="1" applyBorder="1" applyAlignment="1">
      <alignment horizontal="center" vertical="top" wrapText="1"/>
    </xf>
    <xf numFmtId="9" fontId="1" fillId="0" borderId="34" xfId="0" applyNumberFormat="1" applyFont="1" applyBorder="1" applyAlignment="1">
      <alignment horizontal="center" vertical="top" wrapText="1"/>
    </xf>
    <xf numFmtId="9" fontId="1" fillId="0" borderId="32" xfId="0" applyNumberFormat="1" applyFont="1" applyBorder="1" applyAlignment="1">
      <alignment horizontal="center" vertical="top" wrapText="1"/>
    </xf>
    <xf numFmtId="0" fontId="0" fillId="2" borderId="41" xfId="0" applyFill="1" applyBorder="1" applyAlignment="1">
      <alignment wrapText="1"/>
    </xf>
    <xf numFmtId="16" fontId="0" fillId="0" borderId="30" xfId="0" applyNumberFormat="1" applyBorder="1" applyAlignment="1">
      <alignment horizontal="left"/>
    </xf>
    <xf numFmtId="9" fontId="1" fillId="0" borderId="34" xfId="1" applyFont="1" applyFill="1" applyBorder="1" applyAlignment="1">
      <alignment horizontal="center" vertical="center" wrapText="1"/>
    </xf>
    <xf numFmtId="9" fontId="1" fillId="0" borderId="0" xfId="1" applyFont="1" applyFill="1" applyBorder="1" applyAlignment="1">
      <alignment horizontal="center" vertical="center" wrapText="1"/>
    </xf>
    <xf numFmtId="0" fontId="0" fillId="0" borderId="30" xfId="0" applyBorder="1" applyAlignment="1">
      <alignment horizontal="left"/>
    </xf>
    <xf numFmtId="0" fontId="0" fillId="0" borderId="30" xfId="0" applyBorder="1" applyAlignment="1">
      <alignment horizontal="right" wrapText="1"/>
    </xf>
    <xf numFmtId="0" fontId="3" fillId="2" borderId="41" xfId="0" applyFont="1" applyFill="1" applyBorder="1" applyAlignment="1">
      <alignment horizontal="left" vertical="center" wrapText="1"/>
    </xf>
    <xf numFmtId="0" fontId="3" fillId="6" borderId="41" xfId="0" applyFont="1" applyFill="1" applyBorder="1" applyAlignment="1">
      <alignment horizontal="left" vertical="center" wrapText="1"/>
    </xf>
    <xf numFmtId="0" fontId="15" fillId="2" borderId="41" xfId="0" applyFont="1" applyFill="1" applyBorder="1" applyAlignment="1">
      <alignment horizontal="left" vertical="center" wrapText="1"/>
    </xf>
    <xf numFmtId="16" fontId="0" fillId="0" borderId="30" xfId="0" applyNumberFormat="1" applyBorder="1" applyAlignment="1">
      <alignment horizontal="right" wrapText="1"/>
    </xf>
    <xf numFmtId="0" fontId="16" fillId="7" borderId="41" xfId="0" applyFont="1" applyFill="1" applyBorder="1" applyAlignment="1">
      <alignment horizontal="left" vertical="center" wrapText="1"/>
    </xf>
    <xf numFmtId="0" fontId="1" fillId="0" borderId="43" xfId="0" applyFont="1" applyBorder="1" applyAlignment="1">
      <alignment horizontal="left" vertical="top" wrapText="1"/>
    </xf>
    <xf numFmtId="0" fontId="5" fillId="0" borderId="30" xfId="0" applyFont="1" applyBorder="1" applyAlignment="1">
      <alignment horizontal="center" vertical="center" wrapText="1"/>
    </xf>
    <xf numFmtId="9" fontId="6" fillId="0" borderId="0" xfId="0" applyNumberFormat="1" applyFont="1" applyAlignment="1">
      <alignment horizontal="center" vertical="center"/>
    </xf>
    <xf numFmtId="0" fontId="3" fillId="0" borderId="56" xfId="0" applyFont="1" applyBorder="1" applyAlignment="1">
      <alignment horizontal="left" vertical="center" wrapText="1"/>
    </xf>
    <xf numFmtId="0" fontId="5" fillId="0" borderId="5" xfId="0" applyFont="1" applyBorder="1" applyAlignment="1">
      <alignment horizontal="center" vertical="center" wrapText="1"/>
    </xf>
    <xf numFmtId="9" fontId="6" fillId="0" borderId="37" xfId="0" applyNumberFormat="1" applyFont="1" applyBorder="1" applyAlignment="1">
      <alignment horizontal="center" vertical="center"/>
    </xf>
    <xf numFmtId="0" fontId="1" fillId="0" borderId="31" xfId="0" applyFont="1" applyBorder="1" applyAlignment="1">
      <alignment vertical="top" wrapText="1"/>
    </xf>
    <xf numFmtId="0" fontId="1" fillId="0" borderId="57" xfId="0" applyFont="1" applyBorder="1" applyAlignment="1">
      <alignment wrapText="1"/>
    </xf>
    <xf numFmtId="0" fontId="2" fillId="0" borderId="19" xfId="0" applyFont="1" applyBorder="1" applyAlignment="1">
      <alignment vertical="top" wrapText="1"/>
    </xf>
    <xf numFmtId="0" fontId="1" fillId="0" borderId="58" xfId="0" applyFont="1" applyBorder="1" applyAlignment="1">
      <alignment horizontal="left" vertical="top" wrapText="1"/>
    </xf>
    <xf numFmtId="0" fontId="1" fillId="4" borderId="59" xfId="0" applyFont="1" applyFill="1" applyBorder="1" applyAlignment="1">
      <alignment horizontal="left" vertical="top" wrapText="1"/>
    </xf>
    <xf numFmtId="0" fontId="1" fillId="0" borderId="20" xfId="0" applyFont="1" applyBorder="1" applyAlignment="1">
      <alignment horizontal="left" vertical="top" wrapText="1"/>
    </xf>
    <xf numFmtId="0" fontId="1" fillId="2" borderId="58" xfId="0" applyFont="1" applyFill="1" applyBorder="1" applyAlignment="1">
      <alignment wrapText="1"/>
    </xf>
    <xf numFmtId="0" fontId="1" fillId="3" borderId="58" xfId="0" applyFont="1" applyFill="1" applyBorder="1" applyAlignment="1">
      <alignment vertical="top" wrapText="1"/>
    </xf>
    <xf numFmtId="0" fontId="1" fillId="0" borderId="53" xfId="0" applyFont="1" applyBorder="1" applyAlignment="1">
      <alignment horizontal="left" wrapText="1"/>
    </xf>
    <xf numFmtId="0" fontId="18" fillId="2" borderId="41" xfId="0" applyFont="1" applyFill="1" applyBorder="1" applyAlignment="1">
      <alignment wrapText="1"/>
    </xf>
    <xf numFmtId="0" fontId="20" fillId="6" borderId="41" xfId="0" applyFont="1" applyFill="1" applyBorder="1" applyAlignment="1">
      <alignment horizontal="left" vertical="center" wrapText="1"/>
    </xf>
    <xf numFmtId="0" fontId="22" fillId="0" borderId="41" xfId="0" applyFont="1" applyBorder="1" applyAlignment="1">
      <alignment horizontal="left" vertical="center" wrapText="1"/>
    </xf>
    <xf numFmtId="0" fontId="1" fillId="0" borderId="60" xfId="0" applyFont="1" applyBorder="1" applyAlignment="1">
      <alignment horizontal="left" vertical="top" wrapText="1"/>
    </xf>
    <xf numFmtId="0" fontId="1" fillId="0" borderId="2" xfId="0" applyFont="1" applyBorder="1" applyAlignment="1">
      <alignment horizontal="center" vertical="top" wrapText="1"/>
    </xf>
    <xf numFmtId="9" fontId="1" fillId="0" borderId="0" xfId="0" applyNumberFormat="1" applyFont="1" applyAlignment="1">
      <alignment horizontal="center" vertical="top" wrapText="1"/>
    </xf>
    <xf numFmtId="0" fontId="1" fillId="0" borderId="31" xfId="0" applyFont="1" applyBorder="1" applyAlignment="1">
      <alignment horizontal="left" vertical="top" wrapText="1"/>
    </xf>
    <xf numFmtId="0" fontId="1" fillId="0" borderId="37" xfId="0" applyFont="1" applyBorder="1" applyAlignment="1">
      <alignment horizontal="left" vertical="top" wrapText="1"/>
    </xf>
    <xf numFmtId="0" fontId="1" fillId="0" borderId="39" xfId="0" applyFont="1" applyBorder="1" applyAlignment="1">
      <alignment vertical="top" wrapText="1"/>
    </xf>
    <xf numFmtId="0" fontId="23" fillId="2" borderId="41" xfId="0" applyFont="1" applyFill="1" applyBorder="1" applyAlignment="1">
      <alignment wrapText="1"/>
    </xf>
    <xf numFmtId="0" fontId="1" fillId="4" borderId="54" xfId="0" applyFont="1" applyFill="1" applyBorder="1" applyAlignment="1">
      <alignment vertical="top" wrapText="1"/>
    </xf>
    <xf numFmtId="9" fontId="0" fillId="4" borderId="54" xfId="1" applyFont="1" applyFill="1" applyBorder="1" applyAlignment="1">
      <alignment horizontal="left" vertical="center" wrapText="1"/>
    </xf>
    <xf numFmtId="9" fontId="0" fillId="4" borderId="56" xfId="1" applyFont="1" applyFill="1" applyBorder="1" applyAlignment="1">
      <alignment horizontal="left" vertical="center" wrapText="1"/>
    </xf>
    <xf numFmtId="0" fontId="0" fillId="4" borderId="55" xfId="0" applyFill="1" applyBorder="1" applyAlignment="1">
      <alignment wrapText="1"/>
    </xf>
    <xf numFmtId="0" fontId="0" fillId="4" borderId="55" xfId="0" applyFill="1" applyBorder="1" applyAlignment="1">
      <alignment horizontal="left" wrapText="1"/>
    </xf>
    <xf numFmtId="0" fontId="1" fillId="0" borderId="32" xfId="0" applyFont="1" applyBorder="1" applyAlignment="1">
      <alignment horizontal="left" wrapText="1"/>
    </xf>
    <xf numFmtId="0" fontId="1" fillId="0" borderId="13" xfId="0" applyFont="1" applyBorder="1" applyAlignment="1">
      <alignment horizontal="left" wrapText="1"/>
    </xf>
    <xf numFmtId="0" fontId="1" fillId="0" borderId="12" xfId="0" applyFont="1" applyBorder="1" applyAlignment="1">
      <alignment horizontal="left" wrapText="1"/>
    </xf>
    <xf numFmtId="0" fontId="1" fillId="0" borderId="36" xfId="0" applyFont="1" applyBorder="1" applyAlignment="1">
      <alignment horizontal="left" wrapText="1"/>
    </xf>
    <xf numFmtId="0" fontId="1" fillId="2" borderId="19" xfId="0" applyFont="1" applyFill="1" applyBorder="1" applyAlignment="1">
      <alignment horizontal="left" vertical="top" wrapText="1"/>
    </xf>
    <xf numFmtId="0" fontId="1" fillId="2" borderId="20" xfId="0" applyFont="1" applyFill="1" applyBorder="1" applyAlignment="1">
      <alignment horizontal="left" vertical="top" wrapText="1"/>
    </xf>
    <xf numFmtId="0" fontId="1" fillId="2" borderId="21"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2" borderId="23" xfId="0" applyFont="1" applyFill="1" applyBorder="1" applyAlignment="1">
      <alignment horizontal="left" vertical="top" wrapText="1"/>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53" xfId="0" applyFont="1" applyBorder="1" applyAlignment="1">
      <alignment horizontal="left" vertical="top" wrapText="1"/>
    </xf>
    <xf numFmtId="0" fontId="1" fillId="0" borderId="36" xfId="0" applyFont="1" applyBorder="1" applyAlignment="1">
      <alignment horizontal="left" vertical="top" wrapText="1"/>
    </xf>
    <xf numFmtId="0" fontId="14" fillId="4" borderId="31" xfId="0" applyFont="1" applyFill="1" applyBorder="1" applyAlignment="1">
      <alignment horizontal="left" vertical="top" wrapText="1"/>
    </xf>
    <xf numFmtId="0" fontId="14" fillId="4" borderId="37" xfId="0" applyFont="1" applyFill="1" applyBorder="1" applyAlignment="1">
      <alignment horizontal="left" vertical="top" wrapText="1"/>
    </xf>
    <xf numFmtId="0" fontId="14" fillId="4" borderId="19" xfId="0" applyFont="1" applyFill="1" applyBorder="1" applyAlignment="1">
      <alignment horizontal="left" vertical="top" wrapText="1"/>
    </xf>
    <xf numFmtId="0" fontId="14" fillId="4" borderId="23" xfId="0" applyFont="1" applyFill="1" applyBorder="1" applyAlignment="1">
      <alignment horizontal="left" vertical="top" wrapText="1"/>
    </xf>
    <xf numFmtId="0" fontId="0" fillId="4" borderId="39" xfId="0" applyFill="1"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1" fillId="0" borderId="31" xfId="0" applyFont="1" applyBorder="1" applyAlignment="1">
      <alignment horizontal="left" wrapText="1"/>
    </xf>
    <xf numFmtId="0" fontId="1" fillId="0" borderId="0" xfId="0" applyFont="1" applyAlignment="1">
      <alignment horizontal="left" wrapText="1"/>
    </xf>
    <xf numFmtId="0" fontId="1" fillId="0" borderId="32" xfId="0" applyFont="1" applyBorder="1" applyAlignment="1">
      <alignment horizontal="left" vertical="top" wrapText="1"/>
    </xf>
    <xf numFmtId="0" fontId="14" fillId="0" borderId="0" xfId="0" applyFont="1" applyAlignment="1">
      <alignment horizontal="left" vertical="top" wrapText="1"/>
    </xf>
    <xf numFmtId="0" fontId="14" fillId="0" borderId="37" xfId="0" applyFont="1" applyBorder="1" applyAlignment="1">
      <alignment horizontal="left" vertical="top" wrapText="1"/>
    </xf>
    <xf numFmtId="0" fontId="14" fillId="0" borderId="31" xfId="0" applyFont="1" applyBorder="1" applyAlignment="1">
      <alignment horizontal="left" vertical="top" wrapText="1"/>
    </xf>
    <xf numFmtId="0" fontId="14" fillId="0" borderId="19" xfId="0" applyFont="1" applyBorder="1" applyAlignment="1">
      <alignment horizontal="left" vertical="top" wrapText="1"/>
    </xf>
    <xf numFmtId="0" fontId="14" fillId="0" borderId="23" xfId="0" applyFont="1" applyBorder="1" applyAlignment="1">
      <alignment horizontal="left" vertical="top" wrapText="1"/>
    </xf>
    <xf numFmtId="0" fontId="14" fillId="0" borderId="39" xfId="0" applyFont="1" applyBorder="1" applyAlignment="1">
      <alignment horizontal="left" vertical="top" wrapText="1"/>
    </xf>
    <xf numFmtId="0" fontId="0" fillId="0" borderId="30" xfId="0" applyBorder="1" applyAlignment="1">
      <alignment horizontal="center" vertical="center"/>
    </xf>
    <xf numFmtId="0" fontId="0" fillId="0" borderId="30"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4" xfId="0" applyBorder="1" applyAlignment="1">
      <alignment horizontal="center" vertical="center"/>
    </xf>
    <xf numFmtId="0" fontId="0" fillId="2" borderId="19" xfId="0" applyFill="1" applyBorder="1" applyAlignment="1">
      <alignment horizontal="left" vertical="top" wrapText="1"/>
    </xf>
    <xf numFmtId="0" fontId="0" fillId="2" borderId="20" xfId="0" applyFill="1" applyBorder="1" applyAlignment="1">
      <alignment horizontal="left" vertical="top" wrapText="1"/>
    </xf>
    <xf numFmtId="0" fontId="0" fillId="2" borderId="21" xfId="0" applyFill="1" applyBorder="1" applyAlignment="1">
      <alignment horizontal="left" vertical="top" wrapText="1"/>
    </xf>
    <xf numFmtId="0" fontId="0" fillId="2" borderId="22" xfId="0" applyFill="1" applyBorder="1" applyAlignment="1">
      <alignment horizontal="left" vertical="top" wrapText="1"/>
    </xf>
    <xf numFmtId="0" fontId="0" fillId="2" borderId="23" xfId="0" applyFill="1"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0" fillId="0" borderId="17" xfId="0" applyBorder="1" applyAlignment="1">
      <alignment horizontal="left" wrapText="1"/>
    </xf>
    <xf numFmtId="0" fontId="0" fillId="0" borderId="9" xfId="0" applyBorder="1" applyAlignment="1">
      <alignment horizontal="left" wrapText="1"/>
    </xf>
    <xf numFmtId="0" fontId="0" fillId="0" borderId="4" xfId="0" applyBorder="1" applyAlignment="1">
      <alignment horizontal="left" wrapText="1"/>
    </xf>
    <xf numFmtId="0" fontId="0" fillId="0" borderId="3" xfId="0" applyBorder="1" applyAlignment="1">
      <alignment horizontal="left" wrapText="1"/>
    </xf>
    <xf numFmtId="0" fontId="0" fillId="0" borderId="18" xfId="0" applyBorder="1" applyAlignment="1">
      <alignment horizontal="left" wrapText="1"/>
    </xf>
    <xf numFmtId="0" fontId="15" fillId="6" borderId="41" xfId="0" applyFont="1" applyFill="1" applyBorder="1" applyAlignment="1">
      <alignment horizontal="left" vertical="center" wrapText="1"/>
    </xf>
    <xf numFmtId="0" fontId="1" fillId="0" borderId="38" xfId="0" applyFont="1" applyBorder="1" applyAlignment="1">
      <alignment horizontal="left" vertical="top" wrapText="1"/>
    </xf>
    <xf numFmtId="0" fontId="0" fillId="0" borderId="0" xfId="0" applyBorder="1"/>
    <xf numFmtId="0" fontId="1" fillId="0" borderId="47" xfId="0" applyFont="1" applyBorder="1" applyAlignment="1">
      <alignment horizontal="center" vertical="top" wrapText="1"/>
    </xf>
    <xf numFmtId="0" fontId="1" fillId="0" borderId="61" xfId="0" applyFont="1" applyBorder="1" applyAlignment="1">
      <alignment horizontal="left" vertical="top" wrapText="1"/>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2;&#1086;&#1076;&#1077;&#1083;&#1080;&#1059;&#1087;&#1088;!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2;&#1086;&#1076;&#1077;&#1083;&#1080;&#1059;&#1087;&#1088;!A1"/></Relationships>
</file>

<file path=xl/drawings/drawing1.xml><?xml version="1.0" encoding="utf-8"?>
<xdr:wsDr xmlns:xdr="http://schemas.openxmlformats.org/drawingml/2006/spreadsheetDrawing" xmlns:a="http://schemas.openxmlformats.org/drawingml/2006/main">
  <xdr:oneCellAnchor>
    <xdr:from>
      <xdr:col>0</xdr:col>
      <xdr:colOff>149087</xdr:colOff>
      <xdr:row>0</xdr:row>
      <xdr:rowOff>190501</xdr:rowOff>
    </xdr:from>
    <xdr:ext cx="184298" cy="229224"/>
    <xdr:pic>
      <xdr:nvPicPr>
        <xdr:cNvPr id="2" name="Picture 2" descr="Назад – Бесплатные иконки: стрелы">
          <a:hlinkClick xmlns:r="http://schemas.openxmlformats.org/officeDocument/2006/relationships" r:id="rId1"/>
          <a:extLst>
            <a:ext uri="{FF2B5EF4-FFF2-40B4-BE49-F238E27FC236}">
              <a16:creationId xmlns:a16="http://schemas.microsoft.com/office/drawing/2014/main" id="{94347A0B-E0D2-482A-8C05-1DAF3C8DE9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367" y="190501"/>
          <a:ext cx="184298" cy="2292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149087</xdr:colOff>
      <xdr:row>0</xdr:row>
      <xdr:rowOff>190501</xdr:rowOff>
    </xdr:from>
    <xdr:ext cx="184298" cy="229224"/>
    <xdr:pic>
      <xdr:nvPicPr>
        <xdr:cNvPr id="2" name="Picture 2" descr="Назад – Бесплатные иконки: стрелы">
          <a:hlinkClick xmlns:r="http://schemas.openxmlformats.org/officeDocument/2006/relationships" r:id="rId1"/>
          <a:extLst>
            <a:ext uri="{FF2B5EF4-FFF2-40B4-BE49-F238E27FC236}">
              <a16:creationId xmlns:a16="http://schemas.microsoft.com/office/drawing/2014/main" id="{58BF6968-3D7E-4506-BD8E-089CA46265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9087" y="182881"/>
          <a:ext cx="184298" cy="2292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C7C6-91A3-4352-B9A8-7A3353702977}">
  <dimension ref="A1:N45"/>
  <sheetViews>
    <sheetView tabSelected="1" zoomScaleNormal="100" workbookViewId="0">
      <selection activeCell="B6" sqref="B6:B7"/>
    </sheetView>
  </sheetViews>
  <sheetFormatPr defaultRowHeight="15" x14ac:dyDescent="0.25"/>
  <cols>
    <col min="1" max="1" width="1.5703125" customWidth="1"/>
    <col min="2" max="2" width="104.140625" style="16" customWidth="1"/>
    <col min="3" max="3" width="12.140625" style="48" bestFit="1" customWidth="1"/>
    <col min="4" max="4" width="89.28515625" style="16" customWidth="1"/>
    <col min="5" max="5" width="11" style="16" customWidth="1"/>
    <col min="6" max="6" width="10.7109375" customWidth="1"/>
    <col min="7" max="7" width="10.140625" customWidth="1"/>
    <col min="8" max="8" width="15.7109375" customWidth="1"/>
    <col min="9" max="9" width="21.42578125" customWidth="1"/>
    <col min="10" max="10" width="27.7109375" customWidth="1"/>
    <col min="11" max="11" width="41.7109375" customWidth="1"/>
    <col min="14" max="14" width="44.7109375" customWidth="1"/>
  </cols>
  <sheetData>
    <row r="1" spans="1:14" ht="15.75" thickBot="1" x14ac:dyDescent="0.3">
      <c r="B1" s="20" t="s">
        <v>80</v>
      </c>
    </row>
    <row r="2" spans="1:14" ht="15.75" thickBot="1" x14ac:dyDescent="0.3">
      <c r="B2" s="151" t="s">
        <v>11</v>
      </c>
      <c r="C2" s="152"/>
      <c r="D2" s="152"/>
      <c r="E2" s="152"/>
      <c r="F2" s="152"/>
      <c r="G2" s="152"/>
      <c r="H2" s="153"/>
      <c r="I2" s="151" t="s">
        <v>12</v>
      </c>
      <c r="J2" s="152"/>
      <c r="K2" s="153"/>
    </row>
    <row r="3" spans="1:14" ht="30.75" thickBot="1" x14ac:dyDescent="0.3">
      <c r="B3" s="194" t="s">
        <v>8</v>
      </c>
      <c r="C3" s="98" t="s">
        <v>22</v>
      </c>
      <c r="D3" s="27" t="s">
        <v>0</v>
      </c>
      <c r="E3" s="98" t="s">
        <v>22</v>
      </c>
      <c r="F3" s="99" t="s">
        <v>28</v>
      </c>
      <c r="G3" s="100" t="s">
        <v>27</v>
      </c>
      <c r="H3" s="154" t="s">
        <v>6</v>
      </c>
      <c r="I3" s="155"/>
      <c r="J3" s="28" t="s">
        <v>4</v>
      </c>
      <c r="K3" s="30" t="s">
        <v>9</v>
      </c>
    </row>
    <row r="4" spans="1:14" ht="90.75" thickBot="1" x14ac:dyDescent="0.3">
      <c r="A4" s="195"/>
      <c r="B4" s="197" t="s">
        <v>151</v>
      </c>
      <c r="C4" s="196" t="s">
        <v>141</v>
      </c>
      <c r="D4" s="137" t="s">
        <v>153</v>
      </c>
      <c r="E4" s="131" t="s">
        <v>141</v>
      </c>
      <c r="F4" s="99"/>
      <c r="G4" s="132"/>
      <c r="H4" s="133"/>
      <c r="I4" s="134"/>
      <c r="J4" s="135"/>
      <c r="K4" s="30"/>
    </row>
    <row r="5" spans="1:14" ht="45.75" thickBot="1" x14ac:dyDescent="0.3">
      <c r="B5" s="130" t="s">
        <v>144</v>
      </c>
      <c r="C5" s="131" t="s">
        <v>142</v>
      </c>
      <c r="D5" s="137" t="s">
        <v>145</v>
      </c>
      <c r="E5" s="131"/>
      <c r="F5" s="99"/>
      <c r="G5" s="132"/>
      <c r="H5" s="133"/>
      <c r="I5" s="134"/>
      <c r="J5" s="135"/>
      <c r="K5" s="30"/>
    </row>
    <row r="6" spans="1:14" ht="75.75" thickBot="1" x14ac:dyDescent="0.3">
      <c r="B6" s="130" t="s">
        <v>146</v>
      </c>
      <c r="C6" s="131" t="s">
        <v>143</v>
      </c>
      <c r="D6" s="137" t="s">
        <v>147</v>
      </c>
      <c r="E6" s="131" t="s">
        <v>143</v>
      </c>
      <c r="F6" s="99"/>
      <c r="G6" s="132"/>
      <c r="H6" s="133"/>
      <c r="I6" s="134"/>
      <c r="J6" s="135"/>
      <c r="K6" s="30"/>
    </row>
    <row r="7" spans="1:14" ht="135.75" thickBot="1" x14ac:dyDescent="0.3">
      <c r="B7" s="101" t="s">
        <v>136</v>
      </c>
      <c r="C7" s="102" t="s">
        <v>81</v>
      </c>
      <c r="D7" s="138" t="s">
        <v>82</v>
      </c>
      <c r="E7" s="40">
        <v>1</v>
      </c>
      <c r="F7" s="103">
        <v>0</v>
      </c>
      <c r="G7" s="104">
        <v>0.5</v>
      </c>
      <c r="H7" s="133"/>
      <c r="I7" s="134"/>
      <c r="J7" s="135"/>
      <c r="K7" s="30"/>
    </row>
    <row r="8" spans="1:14" ht="30.75" thickBot="1" x14ac:dyDescent="0.3">
      <c r="B8" s="136" t="s">
        <v>137</v>
      </c>
      <c r="C8" s="102"/>
      <c r="D8" s="139"/>
      <c r="E8" s="40"/>
      <c r="F8" s="103"/>
      <c r="G8" s="104"/>
      <c r="H8" s="156" t="s">
        <v>140</v>
      </c>
      <c r="I8" s="157"/>
      <c r="J8" s="160"/>
      <c r="K8" s="161" t="s">
        <v>133</v>
      </c>
      <c r="N8" s="16" t="s">
        <v>69</v>
      </c>
    </row>
    <row r="9" spans="1:14" ht="60.75" thickBot="1" x14ac:dyDescent="0.3">
      <c r="B9" s="37" t="s">
        <v>83</v>
      </c>
      <c r="C9" s="105">
        <v>6</v>
      </c>
      <c r="D9" s="140" t="s">
        <v>84</v>
      </c>
      <c r="E9" s="106" t="s">
        <v>85</v>
      </c>
      <c r="F9" s="103">
        <v>0</v>
      </c>
      <c r="G9" s="104">
        <v>0.5</v>
      </c>
      <c r="H9" s="156"/>
      <c r="I9" s="157"/>
      <c r="J9" s="160"/>
      <c r="K9" s="162"/>
      <c r="N9" s="16"/>
    </row>
    <row r="10" spans="1:14" ht="45.75" thickBot="1" x14ac:dyDescent="0.3">
      <c r="B10" s="101" t="s">
        <v>86</v>
      </c>
      <c r="C10" s="105"/>
      <c r="D10" s="140" t="s">
        <v>87</v>
      </c>
      <c r="E10" s="106" t="s">
        <v>88</v>
      </c>
      <c r="F10" s="103">
        <v>0</v>
      </c>
      <c r="G10" s="104">
        <v>0.3</v>
      </c>
      <c r="H10" s="156"/>
      <c r="I10" s="157"/>
      <c r="J10" s="160"/>
      <c r="K10" s="162"/>
      <c r="N10" s="16" t="s">
        <v>67</v>
      </c>
    </row>
    <row r="11" spans="1:14" ht="135.75" thickBot="1" x14ac:dyDescent="0.3">
      <c r="B11" s="107" t="s">
        <v>89</v>
      </c>
      <c r="C11" s="105">
        <v>2</v>
      </c>
      <c r="D11" s="140" t="s">
        <v>90</v>
      </c>
      <c r="E11" s="106">
        <v>1</v>
      </c>
      <c r="F11" s="103">
        <v>0.5</v>
      </c>
      <c r="G11" s="104">
        <v>0</v>
      </c>
      <c r="H11" s="156"/>
      <c r="I11" s="157"/>
      <c r="J11" s="160"/>
      <c r="K11" s="162"/>
      <c r="N11" s="16" t="s">
        <v>68</v>
      </c>
    </row>
    <row r="12" spans="1:14" ht="15.75" thickBot="1" x14ac:dyDescent="0.3">
      <c r="B12" s="127" t="s">
        <v>91</v>
      </c>
      <c r="C12" s="105">
        <v>8</v>
      </c>
      <c r="D12" s="141" t="s">
        <v>92</v>
      </c>
      <c r="E12" s="106" t="s">
        <v>93</v>
      </c>
      <c r="F12" s="103">
        <v>0</v>
      </c>
      <c r="G12" s="104">
        <v>0</v>
      </c>
      <c r="H12" s="156"/>
      <c r="I12" s="157"/>
      <c r="J12" s="160"/>
      <c r="K12" s="162"/>
      <c r="N12" s="16" t="s">
        <v>70</v>
      </c>
    </row>
    <row r="13" spans="1:14" ht="45.75" thickBot="1" x14ac:dyDescent="0.3">
      <c r="B13" s="193" t="s">
        <v>148</v>
      </c>
      <c r="C13" s="105">
        <v>9</v>
      </c>
      <c r="D13" s="141" t="s">
        <v>94</v>
      </c>
      <c r="E13" s="106">
        <v>2</v>
      </c>
      <c r="F13" s="103">
        <v>0</v>
      </c>
      <c r="G13" s="104">
        <v>0</v>
      </c>
      <c r="H13" s="156"/>
      <c r="I13" s="157"/>
      <c r="J13" s="160"/>
      <c r="K13" s="162"/>
      <c r="N13" s="16" t="s">
        <v>71</v>
      </c>
    </row>
    <row r="14" spans="1:14" ht="45.75" thickBot="1" x14ac:dyDescent="0.3">
      <c r="B14" s="108" t="s">
        <v>95</v>
      </c>
      <c r="C14" s="105">
        <v>5</v>
      </c>
      <c r="D14" s="141" t="s">
        <v>96</v>
      </c>
      <c r="E14" s="106" t="s">
        <v>97</v>
      </c>
      <c r="F14" s="103">
        <v>0</v>
      </c>
      <c r="G14" s="104">
        <v>0</v>
      </c>
      <c r="H14" s="156"/>
      <c r="I14" s="157"/>
      <c r="J14" s="160"/>
      <c r="K14" s="162"/>
      <c r="N14" s="16" t="s">
        <v>72</v>
      </c>
    </row>
    <row r="15" spans="1:14" ht="30.75" thickBot="1" x14ac:dyDescent="0.3">
      <c r="B15" s="128" t="s">
        <v>134</v>
      </c>
      <c r="C15" s="105" t="s">
        <v>98</v>
      </c>
      <c r="D15" s="141" t="s">
        <v>99</v>
      </c>
      <c r="E15" s="106" t="s">
        <v>100</v>
      </c>
      <c r="F15" s="103">
        <v>1</v>
      </c>
      <c r="G15" s="104">
        <v>0</v>
      </c>
      <c r="H15" s="156"/>
      <c r="I15" s="157"/>
      <c r="J15" s="160"/>
      <c r="K15" s="162"/>
    </row>
    <row r="16" spans="1:14" ht="30.75" thickBot="1" x14ac:dyDescent="0.3">
      <c r="B16" s="37" t="s">
        <v>135</v>
      </c>
      <c r="C16" s="105" t="s">
        <v>101</v>
      </c>
      <c r="D16" s="141" t="s">
        <v>102</v>
      </c>
      <c r="E16" s="106" t="s">
        <v>103</v>
      </c>
      <c r="F16" s="103">
        <v>0</v>
      </c>
      <c r="G16" s="104">
        <v>0.8</v>
      </c>
      <c r="H16" s="156"/>
      <c r="I16" s="157"/>
      <c r="J16" s="160"/>
      <c r="K16" s="162"/>
      <c r="N16" s="16" t="s">
        <v>73</v>
      </c>
    </row>
    <row r="17" spans="2:14" ht="60.75" thickBot="1" x14ac:dyDescent="0.3">
      <c r="B17" s="129" t="s">
        <v>104</v>
      </c>
      <c r="C17" s="105" t="s">
        <v>105</v>
      </c>
      <c r="D17" s="141" t="s">
        <v>106</v>
      </c>
      <c r="E17" s="106" t="s">
        <v>107</v>
      </c>
      <c r="F17" s="103">
        <v>1</v>
      </c>
      <c r="G17" s="104">
        <v>0</v>
      </c>
      <c r="H17" s="156"/>
      <c r="I17" s="157"/>
      <c r="J17" s="160"/>
      <c r="K17" s="162"/>
      <c r="N17" s="16" t="s">
        <v>74</v>
      </c>
    </row>
    <row r="18" spans="2:14" ht="15.75" thickBot="1" x14ac:dyDescent="0.3">
      <c r="B18" s="38" t="s">
        <v>108</v>
      </c>
      <c r="C18" s="105">
        <v>7</v>
      </c>
      <c r="D18" s="141" t="s">
        <v>109</v>
      </c>
      <c r="E18" s="106" t="s">
        <v>110</v>
      </c>
      <c r="F18" s="103">
        <v>0</v>
      </c>
      <c r="G18" s="104">
        <v>0.1</v>
      </c>
      <c r="H18" s="156"/>
      <c r="I18" s="157"/>
      <c r="J18" s="160"/>
      <c r="K18" s="162"/>
      <c r="N18" s="16" t="s">
        <v>76</v>
      </c>
    </row>
    <row r="19" spans="2:14" ht="30.75" thickBot="1" x14ac:dyDescent="0.3">
      <c r="B19" s="109" t="s">
        <v>111</v>
      </c>
      <c r="C19" s="105" t="s">
        <v>112</v>
      </c>
      <c r="D19" s="141" t="s">
        <v>113</v>
      </c>
      <c r="E19" s="106" t="s">
        <v>110</v>
      </c>
      <c r="F19" s="103">
        <v>0.5</v>
      </c>
      <c r="G19" s="104">
        <v>0</v>
      </c>
      <c r="H19" s="156"/>
      <c r="I19" s="157"/>
      <c r="J19" s="160"/>
      <c r="K19" s="162"/>
    </row>
    <row r="20" spans="2:14" ht="30.75" thickBot="1" x14ac:dyDescent="0.3">
      <c r="B20" s="109" t="s">
        <v>149</v>
      </c>
      <c r="C20" s="105"/>
      <c r="D20" s="141"/>
      <c r="E20" s="106"/>
      <c r="F20" s="103"/>
      <c r="G20" s="104"/>
      <c r="H20" s="156"/>
      <c r="I20" s="157"/>
      <c r="J20" s="160"/>
      <c r="K20" s="162"/>
      <c r="N20" s="16" t="s">
        <v>75</v>
      </c>
    </row>
    <row r="21" spans="2:14" ht="90.75" thickBot="1" x14ac:dyDescent="0.3">
      <c r="B21" s="38" t="s">
        <v>26</v>
      </c>
      <c r="C21" s="105">
        <v>17</v>
      </c>
      <c r="D21" s="141" t="s">
        <v>114</v>
      </c>
      <c r="E21" s="110" t="s">
        <v>115</v>
      </c>
      <c r="F21" s="103">
        <v>0</v>
      </c>
      <c r="G21" s="104">
        <v>0</v>
      </c>
      <c r="H21" s="156"/>
      <c r="I21" s="157"/>
      <c r="J21" s="160"/>
      <c r="K21" s="162"/>
      <c r="N21" s="16"/>
    </row>
    <row r="22" spans="2:14" ht="90.75" thickBot="1" x14ac:dyDescent="0.3">
      <c r="B22" s="111" t="s">
        <v>116</v>
      </c>
      <c r="C22" s="105" t="s">
        <v>117</v>
      </c>
      <c r="D22" s="141" t="s">
        <v>118</v>
      </c>
      <c r="E22" s="110" t="s">
        <v>115</v>
      </c>
      <c r="F22" s="103">
        <v>0</v>
      </c>
      <c r="G22" s="104">
        <v>0</v>
      </c>
      <c r="H22" s="156"/>
      <c r="I22" s="157"/>
      <c r="J22" s="160"/>
      <c r="K22" s="162"/>
      <c r="N22" s="16" t="s">
        <v>77</v>
      </c>
    </row>
    <row r="23" spans="2:14" ht="30.75" thickBot="1" x14ac:dyDescent="0.3">
      <c r="B23" s="136" t="s">
        <v>150</v>
      </c>
      <c r="C23" s="105"/>
      <c r="D23" s="141" t="s">
        <v>119</v>
      </c>
      <c r="E23" s="110" t="s">
        <v>120</v>
      </c>
      <c r="F23" s="103">
        <v>1</v>
      </c>
      <c r="G23" s="104">
        <v>0</v>
      </c>
      <c r="H23" s="156"/>
      <c r="I23" s="157"/>
      <c r="J23" s="160"/>
      <c r="K23" s="162"/>
    </row>
    <row r="24" spans="2:14" ht="60.75" thickBot="1" x14ac:dyDescent="0.3">
      <c r="B24" s="37"/>
      <c r="C24" s="105"/>
      <c r="D24" s="141" t="s">
        <v>121</v>
      </c>
      <c r="E24" s="110" t="s">
        <v>120</v>
      </c>
      <c r="F24" s="103">
        <v>0</v>
      </c>
      <c r="G24" s="104">
        <v>0</v>
      </c>
      <c r="H24" s="156"/>
      <c r="I24" s="157"/>
      <c r="J24" s="160"/>
      <c r="K24" s="162"/>
      <c r="N24" s="16" t="s">
        <v>78</v>
      </c>
    </row>
    <row r="25" spans="2:14" ht="75.75" thickBot="1" x14ac:dyDescent="0.3">
      <c r="B25" s="37"/>
      <c r="C25" s="105"/>
      <c r="D25" s="141" t="s">
        <v>122</v>
      </c>
      <c r="E25" s="110" t="s">
        <v>123</v>
      </c>
      <c r="F25" s="103">
        <v>0</v>
      </c>
      <c r="G25" s="104">
        <v>0</v>
      </c>
      <c r="H25" s="156"/>
      <c r="I25" s="157"/>
      <c r="J25" s="160"/>
      <c r="K25" s="162"/>
    </row>
    <row r="26" spans="2:14" ht="60.75" thickBot="1" x14ac:dyDescent="0.3">
      <c r="B26" s="37"/>
      <c r="C26" s="105"/>
      <c r="D26" s="141" t="s">
        <v>124</v>
      </c>
      <c r="E26" s="110" t="s">
        <v>125</v>
      </c>
      <c r="F26" s="103" t="s">
        <v>126</v>
      </c>
      <c r="G26" s="104">
        <v>0</v>
      </c>
      <c r="H26" s="156"/>
      <c r="I26" s="157"/>
      <c r="J26" s="160"/>
      <c r="K26" s="162"/>
    </row>
    <row r="27" spans="2:14" ht="60.75" thickBot="1" x14ac:dyDescent="0.3">
      <c r="B27" s="37"/>
      <c r="C27" s="105"/>
      <c r="D27" s="141" t="s">
        <v>127</v>
      </c>
      <c r="E27" s="110" t="s">
        <v>125</v>
      </c>
      <c r="F27" s="103" t="s">
        <v>128</v>
      </c>
      <c r="G27" s="103" t="s">
        <v>128</v>
      </c>
      <c r="H27" s="156"/>
      <c r="I27" s="157"/>
      <c r="J27" s="160"/>
      <c r="K27" s="162"/>
    </row>
    <row r="28" spans="2:14" ht="45.75" thickBot="1" x14ac:dyDescent="0.3">
      <c r="B28" s="37"/>
      <c r="C28" s="105"/>
      <c r="D28" s="141" t="s">
        <v>129</v>
      </c>
      <c r="E28" s="110" t="s">
        <v>125</v>
      </c>
      <c r="F28" s="103">
        <v>0.5</v>
      </c>
      <c r="G28" s="104">
        <v>0</v>
      </c>
      <c r="H28" s="156"/>
      <c r="I28" s="157"/>
      <c r="J28" s="160"/>
      <c r="K28" s="162"/>
    </row>
    <row r="29" spans="2:14" ht="30.75" thickBot="1" x14ac:dyDescent="0.3">
      <c r="B29" s="39"/>
      <c r="C29" s="105"/>
      <c r="D29" s="141" t="s">
        <v>130</v>
      </c>
      <c r="E29" s="110" t="s">
        <v>131</v>
      </c>
      <c r="F29" s="103">
        <v>0</v>
      </c>
      <c r="G29" s="104">
        <v>0</v>
      </c>
      <c r="H29" s="156"/>
      <c r="I29" s="157"/>
      <c r="J29" s="160"/>
      <c r="K29" s="162"/>
    </row>
    <row r="30" spans="2:14" ht="45.75" thickBot="1" x14ac:dyDescent="0.3">
      <c r="B30" s="112"/>
      <c r="C30" s="105"/>
      <c r="D30" s="141" t="s">
        <v>152</v>
      </c>
      <c r="E30" s="113"/>
      <c r="F30" s="103"/>
      <c r="G30" s="114"/>
      <c r="H30" s="156"/>
      <c r="I30" s="157"/>
      <c r="J30" s="160"/>
      <c r="K30" s="162"/>
    </row>
    <row r="31" spans="2:14" ht="15.75" thickBot="1" x14ac:dyDescent="0.3">
      <c r="B31" s="115" t="s">
        <v>132</v>
      </c>
      <c r="C31" s="105"/>
      <c r="D31" s="141"/>
      <c r="E31" s="116"/>
      <c r="F31" s="117"/>
      <c r="G31" s="114"/>
      <c r="H31" s="156"/>
      <c r="I31" s="157"/>
      <c r="J31" s="160"/>
      <c r="K31" s="162"/>
    </row>
    <row r="32" spans="2:14" ht="15.75" thickBot="1" x14ac:dyDescent="0.3">
      <c r="B32" s="118" t="s">
        <v>7</v>
      </c>
      <c r="C32" s="105"/>
      <c r="D32" s="119" t="s">
        <v>1</v>
      </c>
      <c r="E32" s="31"/>
      <c r="F32" s="32"/>
      <c r="G32" s="20"/>
      <c r="H32" s="156"/>
      <c r="I32" s="157"/>
      <c r="J32" s="35"/>
      <c r="K32" s="35"/>
    </row>
    <row r="33" spans="2:11" ht="135.75" thickBot="1" x14ac:dyDescent="0.3">
      <c r="B33" s="120" t="s">
        <v>138</v>
      </c>
      <c r="C33" s="121"/>
      <c r="D33" s="122" t="s">
        <v>13</v>
      </c>
      <c r="E33" s="33"/>
      <c r="F33" s="34"/>
      <c r="G33" s="123"/>
      <c r="H33" s="156"/>
      <c r="I33" s="157"/>
      <c r="J33" s="29" t="s">
        <v>5</v>
      </c>
      <c r="K33" s="28" t="s">
        <v>10</v>
      </c>
    </row>
    <row r="34" spans="2:11" ht="150.75" thickBot="1" x14ac:dyDescent="0.3">
      <c r="B34" s="126" t="s">
        <v>2</v>
      </c>
      <c r="C34" s="93"/>
      <c r="D34" s="93"/>
      <c r="E34" s="93"/>
      <c r="F34" s="93"/>
      <c r="G34" s="93"/>
      <c r="H34" s="158"/>
      <c r="I34" s="159"/>
      <c r="J34" s="124"/>
      <c r="K34" s="125" t="s">
        <v>139</v>
      </c>
    </row>
    <row r="35" spans="2:11" ht="15.75" thickBot="1" x14ac:dyDescent="0.3">
      <c r="B35" s="95"/>
      <c r="C35" s="96"/>
      <c r="D35" s="96"/>
      <c r="E35" s="96"/>
      <c r="F35" s="96"/>
      <c r="G35" s="96"/>
      <c r="H35" s="94"/>
      <c r="I35" s="144" t="s">
        <v>3</v>
      </c>
      <c r="J35" s="142"/>
      <c r="K35" s="145"/>
    </row>
    <row r="36" spans="2:11" ht="15.75" thickBot="1" x14ac:dyDescent="0.3">
      <c r="H36" s="97"/>
      <c r="I36" s="149"/>
      <c r="J36" s="147"/>
      <c r="K36" s="150"/>
    </row>
    <row r="37" spans="2:11" x14ac:dyDescent="0.25">
      <c r="B37" s="20" t="s">
        <v>18</v>
      </c>
      <c r="C37" s="49"/>
      <c r="D37" s="20" t="s">
        <v>14</v>
      </c>
      <c r="E37" s="41">
        <v>0</v>
      </c>
    </row>
    <row r="38" spans="2:11" x14ac:dyDescent="0.25">
      <c r="B38" s="21" t="s">
        <v>19</v>
      </c>
      <c r="C38" s="50"/>
      <c r="D38" s="21" t="s">
        <v>15</v>
      </c>
      <c r="E38" s="42">
        <v>0.1</v>
      </c>
      <c r="H38" s="1" t="s">
        <v>24</v>
      </c>
    </row>
    <row r="39" spans="2:11" x14ac:dyDescent="0.25">
      <c r="B39" s="17" t="s">
        <v>17</v>
      </c>
      <c r="C39" s="51"/>
      <c r="D39" s="46" t="s">
        <v>21</v>
      </c>
      <c r="E39" s="43">
        <v>0.5</v>
      </c>
    </row>
    <row r="40" spans="2:11" x14ac:dyDescent="0.25">
      <c r="B40" s="20"/>
      <c r="C40" s="49"/>
      <c r="D40" s="17" t="s">
        <v>20</v>
      </c>
      <c r="E40" s="44">
        <v>0.8</v>
      </c>
    </row>
    <row r="41" spans="2:11" x14ac:dyDescent="0.25">
      <c r="B41" s="20"/>
      <c r="C41" s="49"/>
      <c r="D41" s="47" t="s">
        <v>16</v>
      </c>
      <c r="E41" s="45">
        <v>1</v>
      </c>
    </row>
    <row r="42" spans="2:11" x14ac:dyDescent="0.25">
      <c r="B42" s="20" t="s">
        <v>31</v>
      </c>
      <c r="H42" t="s">
        <v>25</v>
      </c>
    </row>
    <row r="43" spans="2:11" x14ac:dyDescent="0.25">
      <c r="B43" s="16" t="s">
        <v>30</v>
      </c>
    </row>
    <row r="44" spans="2:11" x14ac:dyDescent="0.25">
      <c r="B44" s="16" t="s">
        <v>32</v>
      </c>
    </row>
    <row r="45" spans="2:11" x14ac:dyDescent="0.25">
      <c r="B45" s="16" t="s">
        <v>33</v>
      </c>
    </row>
  </sheetData>
  <mergeCells count="8">
    <mergeCell ref="I35:K35"/>
    <mergeCell ref="I36:K36"/>
    <mergeCell ref="B2:H2"/>
    <mergeCell ref="I2:K2"/>
    <mergeCell ref="H3:I3"/>
    <mergeCell ref="H8:I34"/>
    <mergeCell ref="J8:J31"/>
    <mergeCell ref="K8:K31"/>
  </mergeCells>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7ABC-67E8-4C0C-BA42-80A8CD7DA1AA}">
  <dimension ref="B1:P40"/>
  <sheetViews>
    <sheetView topLeftCell="J1" zoomScaleNormal="100" workbookViewId="0">
      <pane ySplit="3" topLeftCell="A4" activePane="bottomLeft" state="frozen"/>
      <selection pane="bottomLeft" activeCell="M4" sqref="M4:M25"/>
    </sheetView>
  </sheetViews>
  <sheetFormatPr defaultRowHeight="15" x14ac:dyDescent="0.25"/>
  <cols>
    <col min="1" max="1" width="1.5703125" customWidth="1"/>
    <col min="2" max="2" width="104.140625" style="16" customWidth="1"/>
    <col min="3" max="3" width="12.140625" style="48" bestFit="1" customWidth="1"/>
    <col min="4" max="4" width="7.42578125" style="48" customWidth="1"/>
    <col min="5" max="5" width="89.28515625" style="16" customWidth="1"/>
    <col min="6" max="6" width="11" style="16" customWidth="1"/>
    <col min="7" max="7" width="10.7109375" customWidth="1"/>
    <col min="8" max="8" width="10.140625" customWidth="1"/>
    <col min="9" max="9" width="15.7109375" customWidth="1"/>
    <col min="10" max="10" width="21.42578125" customWidth="1"/>
    <col min="11" max="11" width="33.140625" customWidth="1"/>
    <col min="12" max="12" width="27.7109375" customWidth="1"/>
    <col min="13" max="13" width="41.7109375" customWidth="1"/>
    <col min="16" max="16" width="44.7109375" customWidth="1"/>
  </cols>
  <sheetData>
    <row r="1" spans="2:16" ht="15.75" thickBot="1" x14ac:dyDescent="0.3">
      <c r="B1" s="20" t="s">
        <v>66</v>
      </c>
    </row>
    <row r="2" spans="2:16" ht="15.75" thickBot="1" x14ac:dyDescent="0.3">
      <c r="B2" s="151" t="s">
        <v>11</v>
      </c>
      <c r="C2" s="152"/>
      <c r="D2" s="152"/>
      <c r="E2" s="152"/>
      <c r="F2" s="152"/>
      <c r="G2" s="152"/>
      <c r="H2" s="152"/>
      <c r="I2" s="153"/>
      <c r="J2" s="151" t="s">
        <v>12</v>
      </c>
      <c r="K2" s="152"/>
      <c r="L2" s="152"/>
      <c r="M2" s="153"/>
    </row>
    <row r="3" spans="2:16" ht="30.75" thickBot="1" x14ac:dyDescent="0.3">
      <c r="B3" s="36" t="s">
        <v>8</v>
      </c>
      <c r="C3" s="65" t="s">
        <v>22</v>
      </c>
      <c r="D3" s="68"/>
      <c r="E3" s="28" t="s">
        <v>0</v>
      </c>
      <c r="F3" s="72" t="s">
        <v>22</v>
      </c>
      <c r="G3" s="77" t="s">
        <v>28</v>
      </c>
      <c r="H3" s="77" t="s">
        <v>27</v>
      </c>
      <c r="I3" s="165" t="s">
        <v>6</v>
      </c>
      <c r="J3" s="155"/>
      <c r="K3" s="57" t="s">
        <v>53</v>
      </c>
      <c r="L3" s="28" t="s">
        <v>4</v>
      </c>
      <c r="M3" s="30" t="s">
        <v>9</v>
      </c>
    </row>
    <row r="4" spans="2:16" ht="30" x14ac:dyDescent="0.25">
      <c r="B4" s="37"/>
      <c r="C4" s="66"/>
      <c r="D4" s="58"/>
      <c r="E4" s="69"/>
      <c r="F4" s="37"/>
      <c r="G4" s="78"/>
      <c r="H4" s="78"/>
      <c r="I4" s="166"/>
      <c r="J4" s="167"/>
      <c r="K4" s="171"/>
      <c r="L4" s="162"/>
      <c r="M4" s="161" t="s">
        <v>79</v>
      </c>
      <c r="P4" s="16" t="s">
        <v>69</v>
      </c>
    </row>
    <row r="5" spans="2:16" x14ac:dyDescent="0.25">
      <c r="B5" s="37"/>
      <c r="C5" s="64"/>
      <c r="D5" s="63"/>
      <c r="E5" s="37"/>
      <c r="F5" s="73"/>
      <c r="G5" s="78"/>
      <c r="H5" s="78"/>
      <c r="I5" s="166"/>
      <c r="J5" s="167"/>
      <c r="K5" s="171"/>
      <c r="L5" s="162"/>
      <c r="M5" s="162"/>
      <c r="P5" s="16" t="s">
        <v>67</v>
      </c>
    </row>
    <row r="6" spans="2:16" ht="60" x14ac:dyDescent="0.25">
      <c r="B6" s="37"/>
      <c r="C6" s="64"/>
      <c r="D6" s="63"/>
      <c r="E6" s="37"/>
      <c r="F6" s="73"/>
      <c r="G6" s="78"/>
      <c r="H6" s="78"/>
      <c r="I6" s="166"/>
      <c r="J6" s="167"/>
      <c r="K6" s="171"/>
      <c r="L6" s="162"/>
      <c r="M6" s="162"/>
      <c r="P6" s="16" t="s">
        <v>68</v>
      </c>
    </row>
    <row r="7" spans="2:16" x14ac:dyDescent="0.25">
      <c r="B7" s="37"/>
      <c r="C7" s="64"/>
      <c r="D7" s="63"/>
      <c r="E7" s="37"/>
      <c r="F7" s="73"/>
      <c r="G7" s="78"/>
      <c r="H7" s="78"/>
      <c r="I7" s="166"/>
      <c r="J7" s="167"/>
      <c r="K7" s="171"/>
      <c r="L7" s="162"/>
      <c r="M7" s="162"/>
      <c r="P7" s="16" t="s">
        <v>70</v>
      </c>
    </row>
    <row r="8" spans="2:16" x14ac:dyDescent="0.25">
      <c r="B8" s="37"/>
      <c r="C8" s="64"/>
      <c r="D8" s="63"/>
      <c r="E8" s="70"/>
      <c r="F8" s="73"/>
      <c r="G8" s="78"/>
      <c r="H8" s="78"/>
      <c r="I8" s="166"/>
      <c r="J8" s="167"/>
      <c r="K8" s="171"/>
      <c r="L8" s="162"/>
      <c r="M8" s="162"/>
      <c r="P8" s="16" t="s">
        <v>71</v>
      </c>
    </row>
    <row r="9" spans="2:16" x14ac:dyDescent="0.25">
      <c r="B9" s="37"/>
      <c r="C9" s="64"/>
      <c r="D9" s="63"/>
      <c r="E9" s="70"/>
      <c r="F9" s="73"/>
      <c r="G9" s="78"/>
      <c r="H9" s="78"/>
      <c r="I9" s="166"/>
      <c r="J9" s="167"/>
      <c r="K9" s="171"/>
      <c r="L9" s="162"/>
      <c r="M9" s="162"/>
      <c r="P9" s="16" t="s">
        <v>72</v>
      </c>
    </row>
    <row r="10" spans="2:16" x14ac:dyDescent="0.25">
      <c r="B10" s="37"/>
      <c r="C10" s="64"/>
      <c r="D10" s="63"/>
      <c r="E10" s="70"/>
      <c r="F10" s="73"/>
      <c r="G10" s="78"/>
      <c r="H10" s="78"/>
      <c r="I10" s="166"/>
      <c r="J10" s="167"/>
      <c r="K10" s="171"/>
      <c r="L10" s="162"/>
      <c r="M10" s="162"/>
    </row>
    <row r="11" spans="2:16" x14ac:dyDescent="0.25">
      <c r="B11" s="37"/>
      <c r="C11" s="64"/>
      <c r="D11" s="63"/>
      <c r="E11" s="70"/>
      <c r="F11" s="73"/>
      <c r="G11" s="78"/>
      <c r="H11" s="78"/>
      <c r="I11" s="166"/>
      <c r="J11" s="167"/>
      <c r="K11" s="171"/>
      <c r="L11" s="162"/>
      <c r="M11" s="162"/>
      <c r="P11" s="16" t="s">
        <v>73</v>
      </c>
    </row>
    <row r="12" spans="2:16" ht="60" x14ac:dyDescent="0.25">
      <c r="B12" s="37"/>
      <c r="C12" s="64"/>
      <c r="D12" s="63"/>
      <c r="E12" s="70"/>
      <c r="F12" s="73"/>
      <c r="G12" s="78"/>
      <c r="H12" s="78"/>
      <c r="I12" s="166"/>
      <c r="J12" s="167"/>
      <c r="K12" s="171"/>
      <c r="L12" s="162"/>
      <c r="M12" s="162"/>
      <c r="P12" s="16" t="s">
        <v>74</v>
      </c>
    </row>
    <row r="13" spans="2:16" x14ac:dyDescent="0.25">
      <c r="B13" s="37"/>
      <c r="C13" s="64"/>
      <c r="D13" s="63"/>
      <c r="E13" s="70"/>
      <c r="F13" s="73"/>
      <c r="G13" s="78"/>
      <c r="H13" s="78"/>
      <c r="I13" s="166"/>
      <c r="J13" s="167"/>
      <c r="K13" s="171"/>
      <c r="L13" s="162"/>
      <c r="M13" s="162"/>
      <c r="P13" s="16" t="s">
        <v>76</v>
      </c>
    </row>
    <row r="14" spans="2:16" x14ac:dyDescent="0.25">
      <c r="B14" s="37"/>
      <c r="C14" s="64"/>
      <c r="D14" s="63"/>
      <c r="E14" s="70"/>
      <c r="F14" s="73"/>
      <c r="G14" s="78"/>
      <c r="H14" s="78"/>
      <c r="I14" s="166"/>
      <c r="J14" s="167"/>
      <c r="K14" s="171"/>
      <c r="L14" s="162"/>
      <c r="M14" s="162"/>
    </row>
    <row r="15" spans="2:16" ht="30" x14ac:dyDescent="0.25">
      <c r="B15" s="37"/>
      <c r="C15" s="64"/>
      <c r="D15" s="63"/>
      <c r="E15" s="70"/>
      <c r="F15" s="73"/>
      <c r="G15" s="78"/>
      <c r="H15" s="78"/>
      <c r="I15" s="166"/>
      <c r="J15" s="167"/>
      <c r="K15" s="171"/>
      <c r="L15" s="162"/>
      <c r="M15" s="162"/>
      <c r="P15" s="16" t="s">
        <v>75</v>
      </c>
    </row>
    <row r="16" spans="2:16" ht="90" x14ac:dyDescent="0.25">
      <c r="B16" s="37"/>
      <c r="C16" s="64"/>
      <c r="D16" s="63"/>
      <c r="E16" s="70"/>
      <c r="F16" s="74"/>
      <c r="G16" s="78"/>
      <c r="H16" s="78"/>
      <c r="I16" s="166"/>
      <c r="J16" s="167"/>
      <c r="K16" s="171"/>
      <c r="L16" s="162"/>
      <c r="M16" s="162"/>
      <c r="P16" s="16" t="s">
        <v>77</v>
      </c>
    </row>
    <row r="17" spans="2:16" x14ac:dyDescent="0.25">
      <c r="B17" s="37"/>
      <c r="C17" s="64"/>
      <c r="D17" s="63"/>
      <c r="E17" s="70"/>
      <c r="F17" s="74"/>
      <c r="G17" s="78"/>
      <c r="H17" s="78"/>
      <c r="I17" s="166"/>
      <c r="J17" s="167"/>
      <c r="K17" s="171"/>
      <c r="L17" s="162"/>
      <c r="M17" s="162"/>
    </row>
    <row r="18" spans="2:16" ht="60" x14ac:dyDescent="0.25">
      <c r="B18" s="37"/>
      <c r="C18" s="64"/>
      <c r="D18" s="63"/>
      <c r="E18" s="70"/>
      <c r="F18" s="74"/>
      <c r="G18" s="78"/>
      <c r="H18" s="78"/>
      <c r="I18" s="166"/>
      <c r="J18" s="167"/>
      <c r="K18" s="171"/>
      <c r="L18" s="162"/>
      <c r="M18" s="162"/>
      <c r="P18" s="16" t="s">
        <v>78</v>
      </c>
    </row>
    <row r="19" spans="2:16" x14ac:dyDescent="0.25">
      <c r="B19" s="37"/>
      <c r="C19" s="64"/>
      <c r="D19" s="63"/>
      <c r="E19" s="70"/>
      <c r="F19" s="74"/>
      <c r="G19" s="78"/>
      <c r="H19" s="78"/>
      <c r="I19" s="166"/>
      <c r="J19" s="167"/>
      <c r="K19" s="171"/>
      <c r="L19" s="162"/>
      <c r="M19" s="162"/>
    </row>
    <row r="20" spans="2:16" x14ac:dyDescent="0.25">
      <c r="B20" s="37"/>
      <c r="C20" s="64"/>
      <c r="D20" s="63"/>
      <c r="E20" s="70"/>
      <c r="F20" s="74"/>
      <c r="G20" s="78"/>
      <c r="H20" s="78"/>
      <c r="I20" s="166"/>
      <c r="J20" s="167"/>
      <c r="K20" s="171"/>
      <c r="L20" s="162"/>
      <c r="M20" s="162"/>
    </row>
    <row r="21" spans="2:16" x14ac:dyDescent="0.25">
      <c r="B21" s="37"/>
      <c r="C21" s="64"/>
      <c r="D21" s="63"/>
      <c r="E21" s="70"/>
      <c r="F21" s="74"/>
      <c r="G21" s="78"/>
      <c r="H21" s="78"/>
      <c r="I21" s="166"/>
      <c r="J21" s="167"/>
      <c r="K21" s="171"/>
      <c r="L21" s="162"/>
      <c r="M21" s="162"/>
    </row>
    <row r="22" spans="2:16" x14ac:dyDescent="0.25">
      <c r="B22" s="37"/>
      <c r="C22" s="64"/>
      <c r="D22" s="63"/>
      <c r="E22" s="70"/>
      <c r="F22" s="74"/>
      <c r="G22" s="78"/>
      <c r="H22" s="78"/>
      <c r="I22" s="166"/>
      <c r="J22" s="167"/>
      <c r="K22" s="171"/>
      <c r="L22" s="162"/>
      <c r="M22" s="162"/>
    </row>
    <row r="23" spans="2:16" x14ac:dyDescent="0.25">
      <c r="B23" s="37"/>
      <c r="C23" s="64"/>
      <c r="D23" s="63"/>
      <c r="E23" s="70"/>
      <c r="F23" s="74"/>
      <c r="G23" s="78"/>
      <c r="H23" s="78"/>
      <c r="I23" s="166"/>
      <c r="J23" s="167"/>
      <c r="K23" s="171"/>
      <c r="L23" s="162"/>
      <c r="M23" s="162"/>
    </row>
    <row r="24" spans="2:16" x14ac:dyDescent="0.25">
      <c r="B24" s="39"/>
      <c r="C24" s="64"/>
      <c r="D24" s="63"/>
      <c r="E24" s="70"/>
      <c r="F24" s="74"/>
      <c r="G24" s="78"/>
      <c r="H24" s="78"/>
      <c r="I24" s="166"/>
      <c r="J24" s="167"/>
      <c r="K24" s="171"/>
      <c r="L24" s="162"/>
      <c r="M24" s="162"/>
    </row>
    <row r="25" spans="2:16" x14ac:dyDescent="0.25">
      <c r="B25" s="67"/>
      <c r="C25" s="64"/>
      <c r="D25" s="63"/>
      <c r="E25" s="70"/>
      <c r="F25" s="75"/>
      <c r="G25" s="78"/>
      <c r="H25" s="80"/>
      <c r="I25" s="166"/>
      <c r="J25" s="167"/>
      <c r="K25" s="171"/>
      <c r="L25" s="162"/>
      <c r="M25" s="162"/>
    </row>
    <row r="26" spans="2:16" ht="15.75" thickBot="1" x14ac:dyDescent="0.3">
      <c r="B26" s="83"/>
      <c r="C26" s="84"/>
      <c r="D26" s="85"/>
      <c r="E26" s="71"/>
      <c r="F26" s="76"/>
      <c r="G26" s="79"/>
      <c r="H26" s="79"/>
      <c r="I26" s="166"/>
      <c r="J26" s="167"/>
      <c r="K26" s="171"/>
      <c r="L26" s="35"/>
      <c r="M26" s="35"/>
    </row>
    <row r="27" spans="2:16" x14ac:dyDescent="0.25">
      <c r="B27" s="27" t="s">
        <v>7</v>
      </c>
      <c r="C27" s="86"/>
      <c r="D27" s="89"/>
      <c r="E27" s="87" t="s">
        <v>1</v>
      </c>
      <c r="F27" s="31"/>
      <c r="G27" s="32"/>
      <c r="H27" s="81"/>
      <c r="I27" s="168"/>
      <c r="J27" s="167"/>
      <c r="K27" s="171"/>
      <c r="L27" s="29" t="s">
        <v>5</v>
      </c>
      <c r="M27" s="28" t="s">
        <v>10</v>
      </c>
    </row>
    <row r="28" spans="2:16" ht="75.75" thickBot="1" x14ac:dyDescent="0.3">
      <c r="B28" s="90" t="s">
        <v>29</v>
      </c>
      <c r="C28" s="91"/>
      <c r="D28" s="92"/>
      <c r="E28" s="88" t="s">
        <v>13</v>
      </c>
      <c r="F28" s="33"/>
      <c r="G28" s="34"/>
      <c r="H28" s="82"/>
      <c r="I28" s="169"/>
      <c r="J28" s="170"/>
      <c r="K28" s="169"/>
      <c r="L28" s="62"/>
      <c r="M28" s="61"/>
    </row>
    <row r="29" spans="2:16" x14ac:dyDescent="0.25">
      <c r="B29" s="163" t="s">
        <v>2</v>
      </c>
      <c r="C29" s="164"/>
      <c r="D29" s="164"/>
      <c r="E29" s="142"/>
      <c r="F29" s="142"/>
      <c r="G29" s="142"/>
      <c r="H29" s="142"/>
      <c r="I29" s="143"/>
      <c r="J29" s="144" t="s">
        <v>3</v>
      </c>
      <c r="K29" s="142"/>
      <c r="L29" s="164"/>
      <c r="M29" s="145"/>
    </row>
    <row r="30" spans="2:16" ht="15.75" thickBot="1" x14ac:dyDescent="0.3">
      <c r="B30" s="146"/>
      <c r="C30" s="147"/>
      <c r="D30" s="147"/>
      <c r="E30" s="147"/>
      <c r="F30" s="147"/>
      <c r="G30" s="147"/>
      <c r="H30" s="147"/>
      <c r="I30" s="148"/>
      <c r="J30" s="149"/>
      <c r="K30" s="147"/>
      <c r="L30" s="147"/>
      <c r="M30" s="150"/>
    </row>
    <row r="32" spans="2:16" x14ac:dyDescent="0.25">
      <c r="B32" s="20" t="s">
        <v>18</v>
      </c>
      <c r="C32" s="49"/>
      <c r="D32" s="49"/>
      <c r="E32" s="20" t="s">
        <v>14</v>
      </c>
      <c r="F32" s="41">
        <v>0</v>
      </c>
      <c r="I32" s="1" t="s">
        <v>24</v>
      </c>
    </row>
    <row r="33" spans="2:9" x14ac:dyDescent="0.25">
      <c r="B33" s="21" t="s">
        <v>19</v>
      </c>
      <c r="C33" s="50"/>
      <c r="D33" s="50"/>
      <c r="E33" s="21" t="s">
        <v>15</v>
      </c>
      <c r="F33" s="42">
        <v>0.1</v>
      </c>
    </row>
    <row r="34" spans="2:9" x14ac:dyDescent="0.25">
      <c r="B34" s="17" t="s">
        <v>17</v>
      </c>
      <c r="C34" s="51"/>
      <c r="D34" s="51"/>
      <c r="E34" s="46" t="s">
        <v>21</v>
      </c>
      <c r="F34" s="43">
        <v>0.5</v>
      </c>
    </row>
    <row r="35" spans="2:9" x14ac:dyDescent="0.25">
      <c r="B35" s="20"/>
      <c r="C35" s="49"/>
      <c r="D35" s="49"/>
      <c r="E35" s="17" t="s">
        <v>20</v>
      </c>
      <c r="F35" s="44">
        <v>0.8</v>
      </c>
    </row>
    <row r="36" spans="2:9" x14ac:dyDescent="0.25">
      <c r="B36" s="20"/>
      <c r="C36" s="49"/>
      <c r="D36" s="49"/>
      <c r="E36" s="47" t="s">
        <v>16</v>
      </c>
      <c r="F36" s="45">
        <v>1</v>
      </c>
      <c r="I36" t="s">
        <v>25</v>
      </c>
    </row>
    <row r="37" spans="2:9" x14ac:dyDescent="0.25">
      <c r="B37" s="20" t="s">
        <v>31</v>
      </c>
    </row>
    <row r="38" spans="2:9" x14ac:dyDescent="0.25">
      <c r="B38" s="16" t="s">
        <v>30</v>
      </c>
    </row>
    <row r="39" spans="2:9" x14ac:dyDescent="0.25">
      <c r="B39" s="16" t="s">
        <v>32</v>
      </c>
    </row>
    <row r="40" spans="2:9" x14ac:dyDescent="0.25">
      <c r="B40" s="16" t="s">
        <v>33</v>
      </c>
    </row>
  </sheetData>
  <mergeCells count="11">
    <mergeCell ref="B29:I29"/>
    <mergeCell ref="J29:M29"/>
    <mergeCell ref="B30:I30"/>
    <mergeCell ref="J30:M30"/>
    <mergeCell ref="B2:I2"/>
    <mergeCell ref="J2:M2"/>
    <mergeCell ref="I3:J3"/>
    <mergeCell ref="I4:J28"/>
    <mergeCell ref="L4:L25"/>
    <mergeCell ref="M4:M25"/>
    <mergeCell ref="K4:K2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BFAE-6839-46EC-B034-9A5B4486DD45}">
  <dimension ref="C2:G23"/>
  <sheetViews>
    <sheetView zoomScale="160" zoomScaleNormal="160" workbookViewId="0">
      <selection activeCell="D13" sqref="D13:D14"/>
    </sheetView>
  </sheetViews>
  <sheetFormatPr defaultRowHeight="15" x14ac:dyDescent="0.25"/>
  <cols>
    <col min="4" max="4" width="12.85546875" bestFit="1" customWidth="1"/>
    <col min="5" max="5" width="14.5703125" bestFit="1" customWidth="1"/>
  </cols>
  <sheetData>
    <row r="2" spans="3:7" x14ac:dyDescent="0.25">
      <c r="C2" s="1" t="s">
        <v>34</v>
      </c>
      <c r="D2" s="1" t="s">
        <v>35</v>
      </c>
      <c r="E2" s="1" t="s">
        <v>37</v>
      </c>
      <c r="F2" s="1" t="s">
        <v>46</v>
      </c>
      <c r="G2" s="1" t="s">
        <v>47</v>
      </c>
    </row>
    <row r="3" spans="3:7" x14ac:dyDescent="0.25">
      <c r="C3" s="56">
        <v>1</v>
      </c>
      <c r="D3" s="52" t="s">
        <v>36</v>
      </c>
      <c r="E3" s="52" t="s">
        <v>43</v>
      </c>
      <c r="F3" s="53">
        <f>F7</f>
        <v>46266</v>
      </c>
      <c r="G3" t="s">
        <v>48</v>
      </c>
    </row>
    <row r="4" spans="3:7" x14ac:dyDescent="0.25">
      <c r="C4" s="56">
        <v>2</v>
      </c>
      <c r="D4" s="52" t="s">
        <v>36</v>
      </c>
      <c r="E4" s="52" t="s">
        <v>41</v>
      </c>
    </row>
    <row r="5" spans="3:7" x14ac:dyDescent="0.25">
      <c r="C5" s="172">
        <v>3</v>
      </c>
      <c r="D5" s="52" t="s">
        <v>38</v>
      </c>
      <c r="E5" s="52" t="s">
        <v>41</v>
      </c>
      <c r="F5" s="53">
        <v>46113</v>
      </c>
      <c r="G5" t="s">
        <v>48</v>
      </c>
    </row>
    <row r="6" spans="3:7" x14ac:dyDescent="0.25">
      <c r="C6" s="172"/>
      <c r="D6" s="52" t="s">
        <v>39</v>
      </c>
      <c r="E6" s="52" t="s">
        <v>41</v>
      </c>
      <c r="F6" s="53">
        <v>46174</v>
      </c>
      <c r="G6" t="s">
        <v>48</v>
      </c>
    </row>
    <row r="7" spans="3:7" x14ac:dyDescent="0.25">
      <c r="C7" s="172"/>
      <c r="D7" s="52" t="s">
        <v>40</v>
      </c>
      <c r="E7" s="52" t="s">
        <v>41</v>
      </c>
      <c r="F7" s="53">
        <v>46266</v>
      </c>
      <c r="G7" t="s">
        <v>48</v>
      </c>
    </row>
    <row r="8" spans="3:7" x14ac:dyDescent="0.25">
      <c r="C8" s="172">
        <v>4</v>
      </c>
      <c r="D8" s="52" t="s">
        <v>38</v>
      </c>
      <c r="E8" s="52" t="s">
        <v>42</v>
      </c>
    </row>
    <row r="9" spans="3:7" x14ac:dyDescent="0.25">
      <c r="C9" s="172"/>
      <c r="D9" s="52" t="s">
        <v>39</v>
      </c>
      <c r="E9" s="52" t="s">
        <v>44</v>
      </c>
    </row>
    <row r="10" spans="3:7" x14ac:dyDescent="0.25">
      <c r="C10" s="172"/>
      <c r="D10" s="52" t="s">
        <v>40</v>
      </c>
      <c r="E10" s="52" t="s">
        <v>45</v>
      </c>
    </row>
    <row r="12" spans="3:7" x14ac:dyDescent="0.25">
      <c r="C12" s="1" t="s">
        <v>34</v>
      </c>
      <c r="D12" s="1" t="s">
        <v>35</v>
      </c>
      <c r="E12" s="1" t="s">
        <v>37</v>
      </c>
      <c r="F12" s="1" t="s">
        <v>46</v>
      </c>
      <c r="G12" s="1" t="s">
        <v>47</v>
      </c>
    </row>
    <row r="13" spans="3:7" x14ac:dyDescent="0.25">
      <c r="C13" s="174">
        <v>1</v>
      </c>
      <c r="D13" s="52" t="s">
        <v>36</v>
      </c>
      <c r="E13" s="52" t="s">
        <v>49</v>
      </c>
      <c r="F13" s="54">
        <f>F19</f>
        <v>46266</v>
      </c>
      <c r="G13" t="s">
        <v>48</v>
      </c>
    </row>
    <row r="14" spans="3:7" x14ac:dyDescent="0.25">
      <c r="C14" s="175"/>
      <c r="D14" s="52" t="s">
        <v>52</v>
      </c>
      <c r="E14" s="52" t="s">
        <v>50</v>
      </c>
      <c r="F14" s="53">
        <f>F20</f>
        <v>46357</v>
      </c>
      <c r="G14" t="s">
        <v>51</v>
      </c>
    </row>
    <row r="15" spans="3:7" x14ac:dyDescent="0.25">
      <c r="C15" s="174">
        <v>2</v>
      </c>
      <c r="D15" s="52" t="s">
        <v>36</v>
      </c>
      <c r="E15" s="52" t="s">
        <v>41</v>
      </c>
    </row>
    <row r="16" spans="3:7" x14ac:dyDescent="0.25">
      <c r="C16" s="175"/>
      <c r="D16" s="52" t="s">
        <v>52</v>
      </c>
      <c r="E16" s="52" t="s">
        <v>41</v>
      </c>
    </row>
    <row r="17" spans="3:7" x14ac:dyDescent="0.25">
      <c r="C17" s="174">
        <v>3</v>
      </c>
      <c r="D17" s="52" t="s">
        <v>38</v>
      </c>
      <c r="E17" s="52" t="s">
        <v>41</v>
      </c>
      <c r="F17" s="53">
        <v>46113</v>
      </c>
      <c r="G17" t="s">
        <v>48</v>
      </c>
    </row>
    <row r="18" spans="3:7" x14ac:dyDescent="0.25">
      <c r="C18" s="176"/>
      <c r="D18" s="52" t="s">
        <v>39</v>
      </c>
      <c r="E18" s="52" t="s">
        <v>41</v>
      </c>
      <c r="F18" s="53">
        <v>46174</v>
      </c>
      <c r="G18" t="s">
        <v>48</v>
      </c>
    </row>
    <row r="19" spans="3:7" x14ac:dyDescent="0.25">
      <c r="C19" s="176"/>
      <c r="D19" s="52" t="s">
        <v>40</v>
      </c>
      <c r="E19" s="52" t="s">
        <v>41</v>
      </c>
      <c r="F19" s="53">
        <v>46266</v>
      </c>
      <c r="G19" t="s">
        <v>48</v>
      </c>
    </row>
    <row r="20" spans="3:7" x14ac:dyDescent="0.25">
      <c r="C20" s="175"/>
      <c r="D20" s="52" t="s">
        <v>52</v>
      </c>
      <c r="E20" s="55" t="s">
        <v>41</v>
      </c>
      <c r="F20" s="53">
        <v>46357</v>
      </c>
      <c r="G20" t="s">
        <v>51</v>
      </c>
    </row>
    <row r="21" spans="3:7" x14ac:dyDescent="0.25">
      <c r="C21" s="173">
        <v>4</v>
      </c>
      <c r="D21" s="52" t="s">
        <v>38</v>
      </c>
      <c r="E21" s="52" t="s">
        <v>42</v>
      </c>
    </row>
    <row r="22" spans="3:7" x14ac:dyDescent="0.25">
      <c r="C22" s="173"/>
      <c r="D22" s="52" t="s">
        <v>39</v>
      </c>
      <c r="E22" s="52" t="s">
        <v>44</v>
      </c>
    </row>
    <row r="23" spans="3:7" x14ac:dyDescent="0.25">
      <c r="C23" s="173"/>
      <c r="D23" s="52" t="s">
        <v>40</v>
      </c>
      <c r="E23" s="52" t="s">
        <v>45</v>
      </c>
    </row>
  </sheetData>
  <mergeCells count="6">
    <mergeCell ref="C5:C7"/>
    <mergeCell ref="C8:C10"/>
    <mergeCell ref="C21:C23"/>
    <mergeCell ref="C13:C14"/>
    <mergeCell ref="C17:C20"/>
    <mergeCell ref="C15:C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3B1F-BBAA-45D9-97B7-9E5EAB394AC7}">
  <dimension ref="B2:D8"/>
  <sheetViews>
    <sheetView topLeftCell="A580" workbookViewId="0">
      <selection activeCell="B10" sqref="B10"/>
    </sheetView>
  </sheetViews>
  <sheetFormatPr defaultRowHeight="15" x14ac:dyDescent="0.25"/>
  <cols>
    <col min="2" max="2" width="84.5703125" style="16" customWidth="1"/>
    <col min="3" max="3" width="80.28515625" style="16" customWidth="1"/>
    <col min="4" max="4" width="69.140625" customWidth="1"/>
  </cols>
  <sheetData>
    <row r="2" spans="2:4" x14ac:dyDescent="0.25">
      <c r="C2" s="20" t="s">
        <v>65</v>
      </c>
      <c r="D2" s="20" t="s">
        <v>63</v>
      </c>
    </row>
    <row r="3" spans="2:4" ht="105" x14ac:dyDescent="0.25">
      <c r="B3" s="38" t="s">
        <v>26</v>
      </c>
      <c r="C3" s="59" t="s">
        <v>64</v>
      </c>
      <c r="D3" s="40" t="s">
        <v>54</v>
      </c>
    </row>
    <row r="4" spans="2:4" ht="45" x14ac:dyDescent="0.25">
      <c r="C4" s="40" t="s">
        <v>58</v>
      </c>
      <c r="D4" s="40" t="s">
        <v>55</v>
      </c>
    </row>
    <row r="5" spans="2:4" ht="45" x14ac:dyDescent="0.25">
      <c r="C5" s="60" t="s">
        <v>59</v>
      </c>
      <c r="D5" s="60" t="s">
        <v>56</v>
      </c>
    </row>
    <row r="6" spans="2:4" ht="60" x14ac:dyDescent="0.25">
      <c r="C6" s="59" t="s">
        <v>60</v>
      </c>
      <c r="D6" s="40" t="s">
        <v>57</v>
      </c>
    </row>
    <row r="7" spans="2:4" ht="45" x14ac:dyDescent="0.25">
      <c r="C7" s="40" t="s">
        <v>61</v>
      </c>
      <c r="D7" s="40"/>
    </row>
    <row r="8" spans="2:4" ht="30" x14ac:dyDescent="0.25">
      <c r="C8" s="40" t="s">
        <v>62</v>
      </c>
      <c r="D8" s="40"/>
    </row>
  </sheetData>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J8"/>
  <sheetViews>
    <sheetView zoomScaleNormal="100" workbookViewId="0">
      <selection activeCell="D4" sqref="D4"/>
    </sheetView>
  </sheetViews>
  <sheetFormatPr defaultRowHeight="15" x14ac:dyDescent="0.25"/>
  <cols>
    <col min="2" max="2" width="30.7109375" customWidth="1"/>
    <col min="3" max="3" width="5.28515625" customWidth="1"/>
    <col min="4" max="4" width="27" customWidth="1"/>
    <col min="5" max="6" width="6.140625" customWidth="1"/>
    <col min="7" max="8" width="15.7109375" customWidth="1"/>
    <col min="9" max="10" width="30.7109375" customWidth="1"/>
  </cols>
  <sheetData>
    <row r="1" spans="2:10" ht="15.75" thickBot="1" x14ac:dyDescent="0.3"/>
    <row r="2" spans="2:10" ht="15.75" thickBot="1" x14ac:dyDescent="0.3">
      <c r="B2" s="151" t="s">
        <v>11</v>
      </c>
      <c r="C2" s="152"/>
      <c r="D2" s="152"/>
      <c r="E2" s="152"/>
      <c r="F2" s="152"/>
      <c r="G2" s="153"/>
      <c r="H2" s="151" t="s">
        <v>12</v>
      </c>
      <c r="I2" s="152"/>
      <c r="J2" s="153"/>
    </row>
    <row r="3" spans="2:10" x14ac:dyDescent="0.25">
      <c r="B3" s="6" t="s">
        <v>8</v>
      </c>
      <c r="C3" s="23" t="s">
        <v>23</v>
      </c>
      <c r="D3" s="4" t="s">
        <v>0</v>
      </c>
      <c r="E3" s="15" t="s">
        <v>22</v>
      </c>
      <c r="F3" s="15" t="s">
        <v>23</v>
      </c>
      <c r="G3" s="182" t="s">
        <v>6</v>
      </c>
      <c r="H3" s="183"/>
      <c r="I3" s="4" t="s">
        <v>4</v>
      </c>
      <c r="J3" s="3" t="s">
        <v>9</v>
      </c>
    </row>
    <row r="4" spans="2:10" ht="175.15" customHeight="1" x14ac:dyDescent="0.25">
      <c r="B4" s="25"/>
      <c r="C4" s="25"/>
      <c r="D4" s="26"/>
      <c r="E4" s="24"/>
      <c r="F4" s="24"/>
      <c r="G4" s="184"/>
      <c r="H4" s="185"/>
      <c r="I4" s="9"/>
      <c r="J4" s="14"/>
    </row>
    <row r="5" spans="2:10" x14ac:dyDescent="0.25">
      <c r="B5" s="8" t="s">
        <v>7</v>
      </c>
      <c r="C5" s="19"/>
      <c r="D5" s="7" t="s">
        <v>1</v>
      </c>
      <c r="E5" s="18"/>
      <c r="F5" s="18"/>
      <c r="G5" s="184"/>
      <c r="H5" s="185"/>
      <c r="I5" s="12" t="s">
        <v>5</v>
      </c>
      <c r="J5" s="13" t="s">
        <v>10</v>
      </c>
    </row>
    <row r="6" spans="2:10" ht="60" customHeight="1" x14ac:dyDescent="0.25">
      <c r="B6" s="5"/>
      <c r="C6" s="22"/>
      <c r="D6" s="2"/>
      <c r="E6" s="10"/>
      <c r="F6" s="10"/>
      <c r="G6" s="186"/>
      <c r="H6" s="187"/>
      <c r="I6" s="10"/>
      <c r="J6" s="11"/>
    </row>
    <row r="7" spans="2:10" x14ac:dyDescent="0.25">
      <c r="B7" s="188" t="s">
        <v>2</v>
      </c>
      <c r="C7" s="189"/>
      <c r="D7" s="189"/>
      <c r="E7" s="189"/>
      <c r="F7" s="189"/>
      <c r="G7" s="190"/>
      <c r="H7" s="191" t="s">
        <v>3</v>
      </c>
      <c r="I7" s="189"/>
      <c r="J7" s="192"/>
    </row>
    <row r="8" spans="2:10" ht="60" customHeight="1" thickBot="1" x14ac:dyDescent="0.3">
      <c r="B8" s="177"/>
      <c r="C8" s="178"/>
      <c r="D8" s="178"/>
      <c r="E8" s="178"/>
      <c r="F8" s="178"/>
      <c r="G8" s="179"/>
      <c r="H8" s="180"/>
      <c r="I8" s="178"/>
      <c r="J8" s="181"/>
    </row>
  </sheetData>
  <mergeCells count="8">
    <mergeCell ref="B8:G8"/>
    <mergeCell ref="H8:J8"/>
    <mergeCell ref="B2:G2"/>
    <mergeCell ref="H2:J2"/>
    <mergeCell ref="G3:H3"/>
    <mergeCell ref="G4:H6"/>
    <mergeCell ref="B7:G7"/>
    <mergeCell ref="H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Лист3</vt:lpstr>
      <vt:lpstr>Инжиниринг</vt:lpstr>
      <vt:lpstr>Лист1</vt:lpstr>
      <vt:lpstr>Лист2</vt:lpstr>
      <vt:lpstr>Шаблон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Лебедев</dc:creator>
  <cp:lastModifiedBy>Семен Иоффе</cp:lastModifiedBy>
  <dcterms:created xsi:type="dcterms:W3CDTF">2023-05-29T14:46:34Z</dcterms:created>
  <dcterms:modified xsi:type="dcterms:W3CDTF">2026-07-02T14:40:03Z</dcterms:modified>
</cp:coreProperties>
</file>