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YandexDisk\Обучение\Вайб_кодинг\FS_PC\"/>
    </mc:Choice>
  </mc:AlternateContent>
  <xr:revisionPtr revIDLastSave="0" documentId="8_{23C1C6AE-6D3A-4E64-89FE-A281C2F13AF9}" xr6:coauthVersionLast="47" xr6:coauthVersionMax="47" xr10:uidLastSave="{00000000-0000-0000-0000-000000000000}"/>
  <bookViews>
    <workbookView xWindow="-120" yWindow="-120" windowWidth="29040" windowHeight="15840" tabRatio="925" firstSheet="7" activeTab="7" xr2:uid="{00000000-000D-0000-FFFF-FFFF00000000}"/>
  </bookViews>
  <sheets>
    <sheet name="Ограничения оценки ВНУТРЕННИЕ!" sheetId="24" r:id="rId1"/>
    <sheet name="Лист изменений" sheetId="22" r:id="rId2"/>
    <sheet name="1.Содержание проекта" sheetId="16" r:id="rId3"/>
    <sheet name="параметры расчета" sheetId="4" state="hidden" r:id="rId4"/>
    <sheet name="2.ФС для Заполнения" sheetId="2" r:id="rId5"/>
    <sheet name="3.ФС Девелопмент, Капстрой, EPC" sheetId="23" r:id="rId6"/>
    <sheet name="3.Краткое описание Интеграций" sheetId="21" r:id="rId7"/>
    <sheet name="Оценка свод КейсПроф + очереди" sheetId="11" r:id="rId8"/>
    <sheet name="метод-гии внедр. от ожид Зак " sheetId="5" r:id="rId9"/>
    <sheet name="ПК Совместный Запуск Шаблон" sheetId="19" state="hidden" r:id="rId10"/>
    <sheet name="ПК Кейс Шаблон" sheetId="20" state="hidden" r:id="rId11"/>
    <sheet name="Очередь 1 Кейс-Совм" sheetId="10" r:id="rId12"/>
    <sheet name="Очередь 1 ПРОФ_КОРП" sheetId="1" r:id="rId13"/>
    <sheet name="Очередь 2 ПРОФ_КОРП" sheetId="12" r:id="rId14"/>
    <sheet name="Очередь 3 ПРОФ_КОРП" sheetId="13" r:id="rId15"/>
    <sheet name="Развитие ПРОФ_КОРП" sheetId="14" r:id="rId16"/>
    <sheet name="Списки" sheetId="17" r:id="rId17"/>
    <sheet name="Прафс-лист на СОФТ" sheetId="18" state="hidden" r:id="rId18"/>
    <sheet name="Типовые рамки работ" sheetId="15" state="hidden" r:id="rId19"/>
    <sheet name="Лист1" sheetId="3" state="hidden" r:id="rId20"/>
    <sheet name="ДОполнительно в рамках Кейс-про" sheetId="6" state="hidden" r:id="rId21"/>
  </sheets>
  <definedNames>
    <definedName name="_xlnm._FilterDatabase" localSheetId="2" hidden="1">'1.Содержание проекта'!$A$1:$F$255</definedName>
    <definedName name="_xlnm._FilterDatabase" localSheetId="4" hidden="1">'2.ФС для Заполнения'!$A$9:$CR$9</definedName>
    <definedName name="_xlnm._FilterDatabase" localSheetId="6" hidden="1">'3.Краткое описание Интеграций'!$A$1:$F$29</definedName>
    <definedName name="_xlnm._FilterDatabase" localSheetId="11" hidden="1">'Очередь 1 Кейс-Совм'!$B$19:$C$21</definedName>
    <definedName name="_xlnm._FilterDatabase" localSheetId="12" hidden="1">'Очередь 1 ПРОФ_КОРП'!$B$19:$C$21</definedName>
    <definedName name="_xlnm._FilterDatabase" localSheetId="13" hidden="1">'Очередь 2 ПРОФ_КОРП'!$B$19:$C$21</definedName>
    <definedName name="_xlnm._FilterDatabase" localSheetId="14" hidden="1">'Очередь 3 ПРОФ_КОРП'!$B$19:$C$21</definedName>
    <definedName name="_xlnm._FilterDatabase" localSheetId="3" hidden="1">'параметры расчета'!$B$8:$I$237</definedName>
    <definedName name="_xlnm._FilterDatabase" localSheetId="15" hidden="1">'Развитие ПРОФ_КОРП'!$B$19:$C$21</definedName>
    <definedName name="Z_4C101172_6A1B_4680_8EB9_7A8F363D5714_.wvu.Cols" localSheetId="4" hidden="1">'2.ФС для Заполнения'!$O:$X,'2.ФС для Заполнения'!$AE:$AE,'2.ФС для Заполнения'!$AH:$AH,'2.ФС для Заполнения'!$AK:$AK,'2.ФС для Заполнения'!$AN:$AN,'2.ФС для Заполнения'!$CR:$CR,'2.ФС для Заполнения'!$AQ:$CQ</definedName>
    <definedName name="Z_4C101172_6A1B_4680_8EB9_7A8F363D5714_.wvu.Cols" localSheetId="11" hidden="1">'Очередь 1 Кейс-Совм'!$N:$S</definedName>
    <definedName name="Z_4C101172_6A1B_4680_8EB9_7A8F363D5714_.wvu.Cols" localSheetId="12" hidden="1">'Очередь 1 ПРОФ_КОРП'!$N:$Y</definedName>
    <definedName name="Z_4C101172_6A1B_4680_8EB9_7A8F363D5714_.wvu.Cols" localSheetId="13" hidden="1">'Очередь 2 ПРОФ_КОРП'!$N:$U</definedName>
    <definedName name="Z_4C101172_6A1B_4680_8EB9_7A8F363D5714_.wvu.Cols" localSheetId="14" hidden="1">'Очередь 3 ПРОФ_КОРП'!$N:$U</definedName>
    <definedName name="Z_4C101172_6A1B_4680_8EB9_7A8F363D5714_.wvu.Cols" localSheetId="15" hidden="1">'Развитие ПРОФ_КОРП'!$N:$U</definedName>
    <definedName name="Z_4C101172_6A1B_4680_8EB9_7A8F363D5714_.wvu.FilterData" localSheetId="4" hidden="1">'2.ФС для Заполнения'!$A$9:$CR$172</definedName>
    <definedName name="Z_4C101172_6A1B_4680_8EB9_7A8F363D5714_.wvu.FilterData" localSheetId="11" hidden="1">'Очередь 1 Кейс-Совм'!$B$19:$C$21</definedName>
    <definedName name="Z_4C101172_6A1B_4680_8EB9_7A8F363D5714_.wvu.FilterData" localSheetId="12" hidden="1">'Очередь 1 ПРОФ_КОРП'!$B$19:$C$21</definedName>
    <definedName name="Z_4C101172_6A1B_4680_8EB9_7A8F363D5714_.wvu.FilterData" localSheetId="13" hidden="1">'Очередь 2 ПРОФ_КОРП'!$B$19:$C$21</definedName>
    <definedName name="Z_4C101172_6A1B_4680_8EB9_7A8F363D5714_.wvu.FilterData" localSheetId="14" hidden="1">'Очередь 3 ПРОФ_КОРП'!$B$19:$C$21</definedName>
    <definedName name="Z_4C101172_6A1B_4680_8EB9_7A8F363D5714_.wvu.FilterData" localSheetId="3" hidden="1">'параметры расчета'!$B$8:$I$237</definedName>
    <definedName name="Z_4C101172_6A1B_4680_8EB9_7A8F363D5714_.wvu.FilterData" localSheetId="15" hidden="1">'Развитие ПРОФ_КОРП'!$B$19:$C$21</definedName>
    <definedName name="Z_4C101172_6A1B_4680_8EB9_7A8F363D5714_.wvu.Rows" localSheetId="4" hidden="1">'2.ФС для Заполнения'!$12:$13,'2.ФС для Заполнения'!$15:$16,'2.ФС для Заполнения'!$18:$19,'2.ФС для Заполнения'!$21:$26,'2.ФС для Заполнения'!$28:$30,'2.ФС для Заполнения'!$32:$32,'2.ФС для Заполнения'!$34:$36,'2.ФС для Заполнения'!$40:$49,'2.ФС для Заполнения'!$51:$53,'2.ФС для Заполнения'!$55:$58,'2.ФС для Заполнения'!$60:$60,'2.ФС для Заполнения'!$62:$63,'2.ФС для Заполнения'!$69:$74,'2.ФС для Заполнения'!$76:$78,'2.ФС для Заполнения'!$80:$82,'2.ФС для Заполнения'!$89:$92,'2.ФС для Заполнения'!$94:$96,'2.ФС для Заполнения'!$98:$98,'2.ФС для Заполнения'!$102:$106,'2.ФС для Заполнения'!$108:$114,'2.ФС для Заполнения'!$116:$118,'2.ФС для Заполнения'!$121:$129,'2.ФС для Заполнения'!$131:$140,'2.ФС для Заполнения'!$142:$143,'2.ФС для Заполнения'!$145:$145,'2.ФС для Заполнения'!$150:$152,'2.ФС для Заполнения'!$167:$169,'2.ФС для Заполнения'!$162:$162,'2.ФС для Заполнения'!$171:$174,'2.ФС для Заполнения'!$179:$182,'2.ФС для Заполнения'!$184:$186,'2.ФС для Заполнения'!$188:$189,'2.ФС для Заполнения'!$191:$199,'2.ФС для Заполнения'!$201:$208,'2.ФС для Заполнения'!$219:$226,'2.ФС для Заполнения'!$228:$233,'2.ФС для Заполнения'!$235:$239,'2.ФС для Заполнения'!$242:$246,'2.ФС для Заполнения'!$248:$249,'2.ФС для Заполнения'!$256:$256,'2.ФС для Заполнения'!$258:$259,'2.ФС для Заполнения'!$266:$269,'2.ФС для Заполнения'!$271:$280,'2.ФС для Заполнения'!$282:$284,'2.ФС для Заполнения'!$286:$294,'2.ФС для Заполнения'!$296:$297</definedName>
    <definedName name="Z_4C101172_6A1B_4680_8EB9_7A8F363D5714_.wvu.Rows" localSheetId="11" hidden="1">'Очередь 1 Кейс-Совм'!$5:$6,'Очередь 1 Кейс-Совм'!$19:$21</definedName>
    <definedName name="Z_4C101172_6A1B_4680_8EB9_7A8F363D5714_.wvu.Rows" localSheetId="12" hidden="1">'Очередь 1 ПРОФ_КОРП'!$5:$6,'Очередь 1 ПРОФ_КОРП'!$19:$21</definedName>
    <definedName name="Z_4C101172_6A1B_4680_8EB9_7A8F363D5714_.wvu.Rows" localSheetId="13" hidden="1">'Очередь 2 ПРОФ_КОРП'!$5:$6,'Очередь 2 ПРОФ_КОРП'!$19:$21</definedName>
    <definedName name="Z_4C101172_6A1B_4680_8EB9_7A8F363D5714_.wvu.Rows" localSheetId="14" hidden="1">'Очередь 3 ПРОФ_КОРП'!$5:$6,'Очередь 3 ПРОФ_КОРП'!$19:$21</definedName>
    <definedName name="Z_4C101172_6A1B_4680_8EB9_7A8F363D5714_.wvu.Rows" localSheetId="3" hidden="1">'параметры расчета'!$9:$237</definedName>
    <definedName name="Z_4C101172_6A1B_4680_8EB9_7A8F363D5714_.wvu.Rows" localSheetId="15" hidden="1">'Развитие ПРОФ_КОРП'!$5:$6,'Развитие ПРОФ_КОРП'!$19:$21</definedName>
  </definedNames>
  <calcPr calcId="191029"/>
  <customWorkbookViews>
    <customWorkbookView name="Семен Иоффе - Личное представление" guid="{4C101172-6A1B-4680-8EB9-7A8F363D5714}" mergeInterval="0" personalView="1" maximized="1" xWindow="-9" yWindow="-9" windowWidth="2418" windowHeight="1318"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3" i="13" l="1"/>
  <c r="C53" i="12"/>
  <c r="C54" i="1"/>
  <c r="C54" i="10"/>
  <c r="U88" i="14"/>
  <c r="T88" i="14"/>
  <c r="S88" i="14"/>
  <c r="R88" i="14"/>
  <c r="Q88" i="14"/>
  <c r="U87" i="14"/>
  <c r="T87" i="14"/>
  <c r="S87" i="14"/>
  <c r="R87" i="14"/>
  <c r="Q87" i="14"/>
  <c r="U86" i="14"/>
  <c r="T86" i="14"/>
  <c r="S86" i="14"/>
  <c r="R86" i="14"/>
  <c r="Q86" i="14"/>
  <c r="U85" i="14"/>
  <c r="T85" i="14"/>
  <c r="S85" i="14"/>
  <c r="R85" i="14"/>
  <c r="Q85" i="14"/>
  <c r="U84" i="14"/>
  <c r="T84" i="14"/>
  <c r="S84" i="14"/>
  <c r="R84" i="14"/>
  <c r="Q84" i="14"/>
  <c r="U83" i="14"/>
  <c r="T83" i="14"/>
  <c r="S83" i="14"/>
  <c r="R83" i="14"/>
  <c r="Q83" i="14"/>
  <c r="U82" i="14"/>
  <c r="T82" i="14"/>
  <c r="S82" i="14"/>
  <c r="R82" i="14"/>
  <c r="Q82" i="14"/>
  <c r="U81" i="14"/>
  <c r="T81" i="14"/>
  <c r="S81" i="14"/>
  <c r="R81" i="14"/>
  <c r="Q81" i="14"/>
  <c r="U80" i="14"/>
  <c r="T80" i="14"/>
  <c r="S80" i="14"/>
  <c r="R80" i="14"/>
  <c r="Q80" i="14"/>
  <c r="U79" i="14"/>
  <c r="T79" i="14"/>
  <c r="S79" i="14"/>
  <c r="R79" i="14"/>
  <c r="Q79" i="14"/>
  <c r="U78" i="14"/>
  <c r="T78" i="14"/>
  <c r="S78" i="14"/>
  <c r="R78" i="14"/>
  <c r="Q78" i="14"/>
  <c r="U77" i="14"/>
  <c r="T77" i="14"/>
  <c r="S77" i="14"/>
  <c r="R77" i="14"/>
  <c r="Q77" i="14"/>
  <c r="U76" i="14"/>
  <c r="T76" i="14"/>
  <c r="S76" i="14"/>
  <c r="R76" i="14"/>
  <c r="Q76" i="14"/>
  <c r="U75" i="14"/>
  <c r="T75" i="14"/>
  <c r="S75" i="14"/>
  <c r="R75" i="14"/>
  <c r="Q75" i="14"/>
  <c r="U74" i="14"/>
  <c r="T74" i="14"/>
  <c r="S74" i="14"/>
  <c r="R74" i="14"/>
  <c r="Q74" i="14"/>
  <c r="U73" i="14"/>
  <c r="T73" i="14"/>
  <c r="S73" i="14"/>
  <c r="R73" i="14"/>
  <c r="Q73" i="14"/>
  <c r="U72" i="14"/>
  <c r="T72" i="14"/>
  <c r="S72" i="14"/>
  <c r="R72" i="14"/>
  <c r="Q72" i="14"/>
  <c r="S81" i="10"/>
  <c r="R75" i="10"/>
  <c r="C84" i="10"/>
  <c r="Z84" i="10"/>
  <c r="W84" i="10"/>
  <c r="R84" i="10" s="1"/>
  <c r="L84" i="10"/>
  <c r="C82" i="14"/>
  <c r="Y82" i="14"/>
  <c r="C82" i="13"/>
  <c r="Y82" i="13"/>
  <c r="C82" i="12"/>
  <c r="Y82" i="12"/>
  <c r="C83" i="1"/>
  <c r="S84" i="10" l="1"/>
  <c r="K84" i="10"/>
  <c r="V84" i="10"/>
  <c r="G84" i="10"/>
  <c r="H84" i="10"/>
  <c r="Y83" i="1" l="1"/>
  <c r="C54" i="13"/>
  <c r="C54" i="12"/>
  <c r="C55" i="1"/>
  <c r="C53" i="14"/>
  <c r="B179" i="16"/>
  <c r="C55" i="10"/>
  <c r="D54" i="13"/>
  <c r="D54" i="1"/>
  <c r="D53" i="13"/>
  <c r="D53" i="12"/>
  <c r="D54" i="12"/>
  <c r="D54" i="14"/>
  <c r="D55" i="1"/>
  <c r="D53" i="14"/>
  <c r="U84" i="10" l="1"/>
  <c r="J84" i="10"/>
  <c r="L78" i="10"/>
  <c r="L77" i="10"/>
  <c r="C52" i="12"/>
  <c r="U69" i="14"/>
  <c r="R69" i="14"/>
  <c r="Q69" i="14"/>
  <c r="U69" i="13"/>
  <c r="R69" i="13"/>
  <c r="Q69" i="13"/>
  <c r="U69" i="12"/>
  <c r="R69" i="12"/>
  <c r="Q69" i="12"/>
  <c r="K69" i="12"/>
  <c r="H69" i="12"/>
  <c r="H72" i="12" s="1"/>
  <c r="G69" i="12"/>
  <c r="U70" i="1"/>
  <c r="U73" i="1" s="1"/>
  <c r="R70" i="1"/>
  <c r="Q70" i="1"/>
  <c r="Q73" i="1" s="1"/>
  <c r="K72" i="12"/>
  <c r="K70" i="1"/>
  <c r="K73" i="1" s="1"/>
  <c r="R73" i="1"/>
  <c r="C52" i="14"/>
  <c r="S69" i="14" s="1"/>
  <c r="D52" i="13"/>
  <c r="D53" i="1"/>
  <c r="D55" i="10"/>
  <c r="D54" i="10"/>
  <c r="D53" i="10"/>
  <c r="D52" i="14"/>
  <c r="D52" i="12"/>
  <c r="Q72" i="13" l="1"/>
  <c r="R72" i="13"/>
  <c r="U72" i="13"/>
  <c r="Q72" i="12"/>
  <c r="R72" i="12"/>
  <c r="U72" i="12"/>
  <c r="G72" i="12"/>
  <c r="C52" i="13"/>
  <c r="S69" i="13" s="1"/>
  <c r="C53" i="10"/>
  <c r="T80" i="10" s="1"/>
  <c r="C53" i="1"/>
  <c r="S69" i="12"/>
  <c r="I69" i="12"/>
  <c r="S72" i="13" l="1"/>
  <c r="S72" i="12"/>
  <c r="I84" i="10"/>
  <c r="F84" i="10" s="1"/>
  <c r="T84" i="10"/>
  <c r="Q84" i="10" s="1"/>
  <c r="S70" i="1"/>
  <c r="I70" i="1"/>
  <c r="I72" i="12"/>
  <c r="P84" i="10" l="1"/>
  <c r="E84" i="10"/>
  <c r="I73" i="1"/>
  <c r="S73" i="1"/>
  <c r="I69" i="14" l="1"/>
  <c r="I69" i="13"/>
  <c r="T74" i="10"/>
  <c r="V71" i="10"/>
  <c r="T71" i="10"/>
  <c r="I71" i="10"/>
  <c r="I74" i="10"/>
  <c r="I72" i="14" l="1"/>
  <c r="I72" i="13"/>
  <c r="F179" i="16"/>
  <c r="F173" i="16"/>
  <c r="F176" i="16" l="1"/>
  <c r="F175" i="16"/>
  <c r="F174" i="16"/>
  <c r="E7" i="10" l="1"/>
  <c r="D7" i="10"/>
  <c r="E6" i="10"/>
  <c r="D6" i="10"/>
  <c r="E5" i="10"/>
  <c r="D5" i="10"/>
  <c r="M5" i="17"/>
  <c r="M4" i="17"/>
  <c r="M3" i="17"/>
  <c r="M2" i="17"/>
  <c r="AL355" i="2"/>
  <c r="AK355" i="2"/>
  <c r="AJ355" i="2"/>
  <c r="AI355" i="2"/>
  <c r="AH355" i="2"/>
  <c r="AG355" i="2"/>
  <c r="AF355" i="2"/>
  <c r="AC355" i="2"/>
  <c r="AD355" i="2" s="1"/>
  <c r="AL354" i="2"/>
  <c r="AK354" i="2"/>
  <c r="AJ354" i="2"/>
  <c r="AI354" i="2"/>
  <c r="AH354" i="2"/>
  <c r="AG354" i="2"/>
  <c r="AF354" i="2"/>
  <c r="AC354" i="2"/>
  <c r="AD354" i="2" s="1"/>
  <c r="AL353" i="2"/>
  <c r="AK353" i="2"/>
  <c r="AJ353" i="2"/>
  <c r="AI353" i="2"/>
  <c r="AH353" i="2"/>
  <c r="AG353" i="2"/>
  <c r="AF353" i="2"/>
  <c r="AC353" i="2"/>
  <c r="AD353" i="2" s="1"/>
  <c r="AL352" i="2"/>
  <c r="AK352" i="2"/>
  <c r="AJ352" i="2"/>
  <c r="AI352" i="2"/>
  <c r="AH352" i="2"/>
  <c r="AG352" i="2"/>
  <c r="AF352" i="2"/>
  <c r="AC352" i="2"/>
  <c r="AD352" i="2" s="1"/>
  <c r="AL351" i="2"/>
  <c r="AK351" i="2"/>
  <c r="AJ351" i="2"/>
  <c r="AI351" i="2"/>
  <c r="AH351" i="2"/>
  <c r="AG351" i="2"/>
  <c r="AF351" i="2"/>
  <c r="AC351" i="2"/>
  <c r="AD351" i="2" s="1"/>
  <c r="AL350" i="2"/>
  <c r="AK350" i="2"/>
  <c r="AJ350" i="2"/>
  <c r="AI350" i="2"/>
  <c r="AH350" i="2"/>
  <c r="AG350" i="2"/>
  <c r="AF350" i="2"/>
  <c r="AC350" i="2"/>
  <c r="AD350" i="2" s="1"/>
  <c r="AL349" i="2"/>
  <c r="AK349" i="2"/>
  <c r="AJ349" i="2"/>
  <c r="AI349" i="2"/>
  <c r="AH349" i="2"/>
  <c r="AG349" i="2"/>
  <c r="AF349" i="2"/>
  <c r="AC349" i="2"/>
  <c r="AD349" i="2" s="1"/>
  <c r="AL348" i="2"/>
  <c r="AK348" i="2"/>
  <c r="AJ348" i="2"/>
  <c r="AI348" i="2"/>
  <c r="AH348" i="2"/>
  <c r="AG348" i="2"/>
  <c r="AF348" i="2"/>
  <c r="AC348" i="2"/>
  <c r="AD348" i="2" s="1"/>
  <c r="AL347" i="2"/>
  <c r="AK347" i="2"/>
  <c r="AJ347" i="2"/>
  <c r="AI347" i="2"/>
  <c r="AH347" i="2"/>
  <c r="AG347" i="2"/>
  <c r="AF347" i="2"/>
  <c r="AC347" i="2"/>
  <c r="AD347" i="2" s="1"/>
  <c r="AL346" i="2"/>
  <c r="AK346" i="2"/>
  <c r="AJ346" i="2"/>
  <c r="AI346" i="2"/>
  <c r="AH346" i="2"/>
  <c r="AG346" i="2"/>
  <c r="AF346" i="2"/>
  <c r="AC346" i="2"/>
  <c r="AD346" i="2" s="1"/>
  <c r="AL345" i="2"/>
  <c r="AK345" i="2"/>
  <c r="AJ345" i="2"/>
  <c r="AI345" i="2"/>
  <c r="AH345" i="2"/>
  <c r="AG345" i="2"/>
  <c r="AF345" i="2"/>
  <c r="AC345" i="2"/>
  <c r="AD345" i="2" s="1"/>
  <c r="AL344" i="2"/>
  <c r="AK344" i="2"/>
  <c r="AJ344" i="2"/>
  <c r="AI344" i="2"/>
  <c r="AH344" i="2"/>
  <c r="AG344" i="2"/>
  <c r="AF344" i="2"/>
  <c r="AC344" i="2"/>
  <c r="AD344" i="2" s="1"/>
  <c r="AL343" i="2"/>
  <c r="AK343" i="2"/>
  <c r="AJ343" i="2"/>
  <c r="AI343" i="2"/>
  <c r="AH343" i="2"/>
  <c r="AG343" i="2"/>
  <c r="AF343" i="2"/>
  <c r="AC343" i="2"/>
  <c r="AD343" i="2" s="1"/>
  <c r="AL342" i="2"/>
  <c r="AK342" i="2"/>
  <c r="AJ342" i="2"/>
  <c r="AI342" i="2"/>
  <c r="AH342" i="2"/>
  <c r="AG342" i="2"/>
  <c r="AF342" i="2"/>
  <c r="AC342" i="2"/>
  <c r="AD342" i="2" s="1"/>
  <c r="AL341" i="2"/>
  <c r="AK341" i="2"/>
  <c r="AJ341" i="2"/>
  <c r="AI341" i="2"/>
  <c r="AH341" i="2"/>
  <c r="AG341" i="2"/>
  <c r="AF341" i="2"/>
  <c r="AC341" i="2"/>
  <c r="AD341" i="2" s="1"/>
  <c r="AL340" i="2"/>
  <c r="AK340" i="2"/>
  <c r="AJ340" i="2"/>
  <c r="AI340" i="2"/>
  <c r="AH340" i="2"/>
  <c r="AG340" i="2"/>
  <c r="AF340" i="2"/>
  <c r="AC340" i="2"/>
  <c r="AD340" i="2" s="1"/>
  <c r="AL339" i="2"/>
  <c r="AK339" i="2"/>
  <c r="AJ339" i="2"/>
  <c r="AI339" i="2"/>
  <c r="AH339" i="2"/>
  <c r="AG339" i="2"/>
  <c r="AF339" i="2"/>
  <c r="AC339" i="2"/>
  <c r="AD339" i="2" s="1"/>
  <c r="AL338" i="2"/>
  <c r="AK338" i="2"/>
  <c r="AJ338" i="2"/>
  <c r="AI338" i="2"/>
  <c r="AH338" i="2"/>
  <c r="AG338" i="2"/>
  <c r="AF338" i="2"/>
  <c r="AC338" i="2"/>
  <c r="AD338" i="2" s="1"/>
  <c r="AL337" i="2"/>
  <c r="AK337" i="2"/>
  <c r="AJ337" i="2"/>
  <c r="AI337" i="2"/>
  <c r="AH337" i="2"/>
  <c r="AG337" i="2"/>
  <c r="AF337" i="2"/>
  <c r="AC337" i="2"/>
  <c r="AD337" i="2" s="1"/>
  <c r="AL336" i="2"/>
  <c r="AK336" i="2"/>
  <c r="AJ336" i="2"/>
  <c r="AI336" i="2"/>
  <c r="AH336" i="2"/>
  <c r="AG336" i="2"/>
  <c r="AF336" i="2"/>
  <c r="AC336" i="2"/>
  <c r="AD336" i="2" s="1"/>
  <c r="AL335" i="2"/>
  <c r="AK335" i="2"/>
  <c r="AJ335" i="2"/>
  <c r="AI335" i="2"/>
  <c r="AH335" i="2"/>
  <c r="AG335" i="2"/>
  <c r="AF335" i="2"/>
  <c r="AC335" i="2"/>
  <c r="AD335" i="2" s="1"/>
  <c r="AL334" i="2"/>
  <c r="AK334" i="2"/>
  <c r="AJ334" i="2"/>
  <c r="AI334" i="2"/>
  <c r="AH334" i="2"/>
  <c r="AG334" i="2"/>
  <c r="AF334" i="2"/>
  <c r="AC334" i="2"/>
  <c r="AD334" i="2" s="1"/>
  <c r="AL333" i="2"/>
  <c r="AK333" i="2"/>
  <c r="AJ333" i="2"/>
  <c r="AI333" i="2"/>
  <c r="AH333" i="2"/>
  <c r="AG333" i="2"/>
  <c r="AF333" i="2"/>
  <c r="AC333" i="2"/>
  <c r="AD333" i="2" s="1"/>
  <c r="AL332" i="2"/>
  <c r="AK332" i="2"/>
  <c r="AJ332" i="2"/>
  <c r="AI332" i="2"/>
  <c r="AH332" i="2"/>
  <c r="AG332" i="2"/>
  <c r="AF332" i="2"/>
  <c r="AC332" i="2"/>
  <c r="AD332" i="2" s="1"/>
  <c r="AL331" i="2"/>
  <c r="AK331" i="2"/>
  <c r="AJ331" i="2"/>
  <c r="AI331" i="2"/>
  <c r="AH331" i="2"/>
  <c r="AG331" i="2"/>
  <c r="AF331" i="2"/>
  <c r="AC331" i="2"/>
  <c r="AD331" i="2" s="1"/>
  <c r="AL330" i="2"/>
  <c r="AK330" i="2"/>
  <c r="AJ330" i="2"/>
  <c r="AI330" i="2"/>
  <c r="AH330" i="2"/>
  <c r="AG330" i="2"/>
  <c r="AF330" i="2"/>
  <c r="AC330" i="2"/>
  <c r="AD330" i="2" s="1"/>
  <c r="AL329" i="2"/>
  <c r="AK329" i="2"/>
  <c r="AJ329" i="2"/>
  <c r="AI329" i="2"/>
  <c r="AH329" i="2"/>
  <c r="AG329" i="2"/>
  <c r="AF329" i="2"/>
  <c r="AC329" i="2"/>
  <c r="AD329" i="2" s="1"/>
  <c r="AL328" i="2"/>
  <c r="AK328" i="2"/>
  <c r="AJ328" i="2"/>
  <c r="AH328" i="2"/>
  <c r="AG328" i="2"/>
  <c r="AL326" i="2"/>
  <c r="AK326" i="2"/>
  <c r="AJ326" i="2"/>
  <c r="AI326" i="2"/>
  <c r="AH326" i="2"/>
  <c r="AG326" i="2"/>
  <c r="AF326" i="2"/>
  <c r="AC326" i="2"/>
  <c r="AD326" i="2" s="1"/>
  <c r="AL325" i="2"/>
  <c r="AK325" i="2"/>
  <c r="AJ325" i="2"/>
  <c r="AI325" i="2"/>
  <c r="AH325" i="2"/>
  <c r="AG325" i="2"/>
  <c r="AF325" i="2"/>
  <c r="AC325" i="2"/>
  <c r="AD325" i="2" s="1"/>
  <c r="AL324" i="2"/>
  <c r="AK324" i="2"/>
  <c r="AJ324" i="2"/>
  <c r="AI324" i="2"/>
  <c r="AH324" i="2"/>
  <c r="AG324" i="2"/>
  <c r="AF324" i="2"/>
  <c r="AC324" i="2"/>
  <c r="AD324" i="2" s="1"/>
  <c r="AL323" i="2"/>
  <c r="AK323" i="2"/>
  <c r="AJ323" i="2"/>
  <c r="AI323" i="2"/>
  <c r="AH323" i="2"/>
  <c r="AG323" i="2"/>
  <c r="AF323" i="2"/>
  <c r="AC323" i="2"/>
  <c r="AD323" i="2" s="1"/>
  <c r="AL322" i="2"/>
  <c r="AK322" i="2"/>
  <c r="AJ322" i="2"/>
  <c r="AI322" i="2"/>
  <c r="AH322" i="2"/>
  <c r="AG322" i="2"/>
  <c r="AF322" i="2"/>
  <c r="AC322" i="2"/>
  <c r="AD322" i="2" s="1"/>
  <c r="AL321" i="2"/>
  <c r="AK321" i="2"/>
  <c r="AJ321" i="2"/>
  <c r="AI321" i="2"/>
  <c r="AH321" i="2"/>
  <c r="AG321" i="2"/>
  <c r="AF321" i="2"/>
  <c r="AC321" i="2"/>
  <c r="AD321" i="2" s="1"/>
  <c r="AL320" i="2"/>
  <c r="AK320" i="2"/>
  <c r="AJ320" i="2"/>
  <c r="AI320" i="2"/>
  <c r="AH320" i="2"/>
  <c r="AG320" i="2"/>
  <c r="AF320" i="2"/>
  <c r="AC320" i="2"/>
  <c r="AD320" i="2" s="1"/>
  <c r="AL319" i="2"/>
  <c r="AK319" i="2"/>
  <c r="AJ319" i="2"/>
  <c r="AI319" i="2"/>
  <c r="AH319" i="2"/>
  <c r="AG319" i="2"/>
  <c r="AF319" i="2"/>
  <c r="AC319" i="2"/>
  <c r="AD319" i="2" s="1"/>
  <c r="AL318" i="2"/>
  <c r="AK318" i="2"/>
  <c r="AJ318" i="2"/>
  <c r="AI318" i="2"/>
  <c r="AH318" i="2"/>
  <c r="AG318" i="2"/>
  <c r="AF318" i="2"/>
  <c r="AC318" i="2"/>
  <c r="AD318" i="2" s="1"/>
  <c r="AL317" i="2"/>
  <c r="AK317" i="2"/>
  <c r="AJ317" i="2"/>
  <c r="AI317" i="2"/>
  <c r="AH317" i="2"/>
  <c r="AG317" i="2"/>
  <c r="AF317" i="2"/>
  <c r="AC317" i="2"/>
  <c r="AD317" i="2" s="1"/>
  <c r="AL316" i="2"/>
  <c r="AK316" i="2"/>
  <c r="AJ316" i="2"/>
  <c r="AI316" i="2"/>
  <c r="AH316" i="2"/>
  <c r="AG316" i="2"/>
  <c r="AF316" i="2"/>
  <c r="AC316" i="2"/>
  <c r="AD316" i="2" s="1"/>
  <c r="AL315" i="2"/>
  <c r="AK315" i="2"/>
  <c r="AJ315" i="2"/>
  <c r="AI315" i="2"/>
  <c r="AH315" i="2"/>
  <c r="AG315" i="2"/>
  <c r="AF315" i="2"/>
  <c r="AC315" i="2"/>
  <c r="AD315" i="2" s="1"/>
  <c r="AL314" i="2"/>
  <c r="AK314" i="2"/>
  <c r="AJ314" i="2"/>
  <c r="AI314" i="2"/>
  <c r="AH314" i="2"/>
  <c r="AG314" i="2"/>
  <c r="AF314" i="2"/>
  <c r="AC314" i="2"/>
  <c r="AD314" i="2" s="1"/>
  <c r="AL313" i="2"/>
  <c r="AK313" i="2"/>
  <c r="AJ313" i="2"/>
  <c r="AI313" i="2"/>
  <c r="AH313" i="2"/>
  <c r="AG313" i="2"/>
  <c r="AF313" i="2"/>
  <c r="AC313" i="2"/>
  <c r="AD313" i="2" s="1"/>
  <c r="AL312" i="2"/>
  <c r="AK312" i="2"/>
  <c r="AJ312" i="2"/>
  <c r="AI312" i="2"/>
  <c r="AH312" i="2"/>
  <c r="AG312" i="2"/>
  <c r="AF312" i="2"/>
  <c r="AC312" i="2"/>
  <c r="AD312" i="2" s="1"/>
  <c r="AL311" i="2"/>
  <c r="AK311" i="2"/>
  <c r="AJ311" i="2"/>
  <c r="AI311" i="2"/>
  <c r="AH311" i="2"/>
  <c r="AG311" i="2"/>
  <c r="AF311" i="2"/>
  <c r="AC311" i="2"/>
  <c r="AD311" i="2" s="1"/>
  <c r="AL310" i="2"/>
  <c r="AK310" i="2"/>
  <c r="AJ310" i="2"/>
  <c r="AI310" i="2"/>
  <c r="AH310" i="2"/>
  <c r="AG310" i="2"/>
  <c r="AF310" i="2"/>
  <c r="AC310" i="2"/>
  <c r="AD310" i="2" s="1"/>
  <c r="AL309" i="2"/>
  <c r="AK309" i="2"/>
  <c r="AJ309" i="2"/>
  <c r="AI309" i="2"/>
  <c r="AH309" i="2"/>
  <c r="AG309" i="2"/>
  <c r="AF309" i="2"/>
  <c r="AC309" i="2"/>
  <c r="AD309" i="2" s="1"/>
  <c r="AL308" i="2"/>
  <c r="AK308" i="2"/>
  <c r="AJ308" i="2"/>
  <c r="AI308" i="2"/>
  <c r="AH308" i="2"/>
  <c r="AG308" i="2"/>
  <c r="AF308" i="2"/>
  <c r="AC308" i="2"/>
  <c r="AD308" i="2" s="1"/>
  <c r="AL307" i="2"/>
  <c r="AK307" i="2"/>
  <c r="AJ307" i="2"/>
  <c r="AI307" i="2"/>
  <c r="AH307" i="2"/>
  <c r="AG307" i="2"/>
  <c r="AF307" i="2"/>
  <c r="AC307" i="2"/>
  <c r="AD307" i="2" s="1"/>
  <c r="AL306" i="2"/>
  <c r="AK306" i="2"/>
  <c r="AJ306" i="2"/>
  <c r="AI306" i="2"/>
  <c r="AH306" i="2"/>
  <c r="AG306" i="2"/>
  <c r="AF306" i="2"/>
  <c r="AC306" i="2"/>
  <c r="AD306" i="2" s="1"/>
  <c r="AL305" i="2"/>
  <c r="AK305" i="2"/>
  <c r="AJ305" i="2"/>
  <c r="AI305" i="2"/>
  <c r="AH305" i="2"/>
  <c r="AG305" i="2"/>
  <c r="AF305" i="2"/>
  <c r="AC305" i="2"/>
  <c r="AD305" i="2" s="1"/>
  <c r="AL304" i="2"/>
  <c r="AK304" i="2"/>
  <c r="AJ304" i="2"/>
  <c r="AI304" i="2"/>
  <c r="AH304" i="2"/>
  <c r="AG304" i="2"/>
  <c r="AF304" i="2"/>
  <c r="AC304" i="2"/>
  <c r="AD304" i="2" s="1"/>
  <c r="AL303" i="2"/>
  <c r="AK303" i="2"/>
  <c r="AJ303" i="2"/>
  <c r="AI303" i="2"/>
  <c r="AH303" i="2"/>
  <c r="AG303" i="2"/>
  <c r="AF303" i="2"/>
  <c r="AC303" i="2"/>
  <c r="AD303" i="2" s="1"/>
  <c r="AL302" i="2"/>
  <c r="AK302" i="2"/>
  <c r="AJ302" i="2"/>
  <c r="AI302" i="2"/>
  <c r="AH302" i="2"/>
  <c r="AG302" i="2"/>
  <c r="AF302" i="2"/>
  <c r="AC302" i="2"/>
  <c r="AD302" i="2" s="1"/>
  <c r="AL301" i="2"/>
  <c r="AK301" i="2"/>
  <c r="AJ301" i="2"/>
  <c r="AI301" i="2"/>
  <c r="AH301" i="2"/>
  <c r="AG301" i="2"/>
  <c r="AF301" i="2"/>
  <c r="AC301" i="2"/>
  <c r="AD301" i="2" s="1"/>
  <c r="AL300" i="2"/>
  <c r="AK300" i="2"/>
  <c r="AJ300" i="2"/>
  <c r="AI300" i="2"/>
  <c r="AH300" i="2"/>
  <c r="AG300" i="2"/>
  <c r="AF300" i="2"/>
  <c r="AC300" i="2"/>
  <c r="AD300" i="2" s="1"/>
  <c r="AL299" i="2"/>
  <c r="AK299" i="2"/>
  <c r="AJ299" i="2"/>
  <c r="AI299" i="2"/>
  <c r="AH299" i="2"/>
  <c r="AG299" i="2"/>
  <c r="AF299" i="2"/>
  <c r="AC299" i="2"/>
  <c r="AD299" i="2" s="1"/>
  <c r="AL295" i="2"/>
  <c r="AK295" i="2"/>
  <c r="AJ295" i="2"/>
  <c r="AI295" i="2"/>
  <c r="AH295" i="2"/>
  <c r="AG295" i="2"/>
  <c r="AF295" i="2"/>
  <c r="AC295" i="2"/>
  <c r="AD295" i="2" s="1"/>
  <c r="AL285" i="2"/>
  <c r="AK285" i="2"/>
  <c r="AJ285" i="2"/>
  <c r="AI285" i="2"/>
  <c r="AH285" i="2"/>
  <c r="AG285" i="2"/>
  <c r="AF285" i="2"/>
  <c r="AC285" i="2"/>
  <c r="AD285" i="2" s="1"/>
  <c r="AL281" i="2"/>
  <c r="AK281" i="2"/>
  <c r="AJ281" i="2"/>
  <c r="AI281" i="2"/>
  <c r="AH281" i="2"/>
  <c r="AG281" i="2"/>
  <c r="AF281" i="2"/>
  <c r="AC281" i="2"/>
  <c r="AD281" i="2" s="1"/>
  <c r="AL270" i="2"/>
  <c r="AK270" i="2"/>
  <c r="AJ270" i="2"/>
  <c r="AI270" i="2"/>
  <c r="AH270" i="2"/>
  <c r="AG270" i="2"/>
  <c r="AF270" i="2"/>
  <c r="AC270" i="2"/>
  <c r="AD270" i="2" s="1"/>
  <c r="AL265" i="2"/>
  <c r="AK265" i="2"/>
  <c r="AJ265" i="2"/>
  <c r="AI265" i="2"/>
  <c r="AH265" i="2"/>
  <c r="AG265" i="2"/>
  <c r="AF265" i="2"/>
  <c r="AC265" i="2"/>
  <c r="AD265" i="2" s="1"/>
  <c r="AL263" i="2"/>
  <c r="AK263" i="2"/>
  <c r="AJ263" i="2"/>
  <c r="AI263" i="2"/>
  <c r="AH263" i="2"/>
  <c r="AG263" i="2"/>
  <c r="AF263" i="2"/>
  <c r="AC263" i="2"/>
  <c r="AD263" i="2" s="1"/>
  <c r="AL262" i="2"/>
  <c r="AK262" i="2"/>
  <c r="AJ262" i="2"/>
  <c r="AI262" i="2"/>
  <c r="AH262" i="2"/>
  <c r="AG262" i="2"/>
  <c r="AF262" i="2"/>
  <c r="AC262" i="2"/>
  <c r="AD262" i="2" s="1"/>
  <c r="AL261" i="2"/>
  <c r="AK261" i="2"/>
  <c r="AJ261" i="2"/>
  <c r="AI261" i="2"/>
  <c r="AH261" i="2"/>
  <c r="AG261" i="2"/>
  <c r="AF261" i="2"/>
  <c r="AC261" i="2"/>
  <c r="AD261" i="2" s="1"/>
  <c r="AL260" i="2"/>
  <c r="AK260" i="2"/>
  <c r="AJ260" i="2"/>
  <c r="AI260" i="2"/>
  <c r="AH260" i="2"/>
  <c r="AG260" i="2"/>
  <c r="AF260" i="2"/>
  <c r="AC260" i="2"/>
  <c r="AD260" i="2" s="1"/>
  <c r="AL257" i="2"/>
  <c r="AK257" i="2"/>
  <c r="AJ257" i="2"/>
  <c r="AI257" i="2"/>
  <c r="AH257" i="2"/>
  <c r="AG257" i="2"/>
  <c r="AF257" i="2"/>
  <c r="AC257" i="2"/>
  <c r="AD257" i="2" s="1"/>
  <c r="AL255" i="2"/>
  <c r="AK255" i="2"/>
  <c r="AJ255" i="2"/>
  <c r="AI255" i="2"/>
  <c r="AH255" i="2"/>
  <c r="AG255" i="2"/>
  <c r="AF255" i="2"/>
  <c r="AC255" i="2"/>
  <c r="AD255" i="2" s="1"/>
  <c r="AL253" i="2"/>
  <c r="AK253" i="2"/>
  <c r="AJ253" i="2"/>
  <c r="AI253" i="2"/>
  <c r="AH253" i="2"/>
  <c r="AG253" i="2"/>
  <c r="AF253" i="2"/>
  <c r="AC253" i="2"/>
  <c r="AD253" i="2" s="1"/>
  <c r="AL252" i="2"/>
  <c r="AK252" i="2"/>
  <c r="AJ252" i="2"/>
  <c r="AI252" i="2"/>
  <c r="AH252" i="2"/>
  <c r="AG252" i="2"/>
  <c r="AF252" i="2"/>
  <c r="AC252" i="2"/>
  <c r="AD252" i="2" s="1"/>
  <c r="AL251" i="2"/>
  <c r="AK251" i="2"/>
  <c r="AJ251" i="2"/>
  <c r="AI251" i="2"/>
  <c r="AH251" i="2"/>
  <c r="AG251" i="2"/>
  <c r="AF251" i="2"/>
  <c r="AC251" i="2"/>
  <c r="AD251" i="2" s="1"/>
  <c r="AL250" i="2"/>
  <c r="AK250" i="2"/>
  <c r="AJ250" i="2"/>
  <c r="AI250" i="2"/>
  <c r="AH250" i="2"/>
  <c r="AG250" i="2"/>
  <c r="AF250" i="2"/>
  <c r="AC250" i="2"/>
  <c r="AD250" i="2" s="1"/>
  <c r="AL247" i="2"/>
  <c r="AK247" i="2"/>
  <c r="AJ247" i="2"/>
  <c r="AI247" i="2"/>
  <c r="AH247" i="2"/>
  <c r="AG247" i="2"/>
  <c r="AF247" i="2"/>
  <c r="AC247" i="2"/>
  <c r="AD247" i="2" s="1"/>
  <c r="AL241" i="2"/>
  <c r="AK241" i="2"/>
  <c r="AJ241" i="2"/>
  <c r="AI241" i="2"/>
  <c r="AH241" i="2"/>
  <c r="AG241" i="2"/>
  <c r="AF241" i="2"/>
  <c r="AC241" i="2"/>
  <c r="AD241" i="2" s="1"/>
  <c r="AL234" i="2"/>
  <c r="AK234" i="2"/>
  <c r="AJ234" i="2"/>
  <c r="AI234" i="2"/>
  <c r="AH234" i="2"/>
  <c r="AG234" i="2"/>
  <c r="AF234" i="2"/>
  <c r="AC234" i="2"/>
  <c r="AD234" i="2" s="1"/>
  <c r="AL227" i="2"/>
  <c r="AK227" i="2"/>
  <c r="AJ227" i="2"/>
  <c r="AI227" i="2"/>
  <c r="AH227" i="2"/>
  <c r="AG227" i="2"/>
  <c r="AF227" i="2"/>
  <c r="AC227" i="2"/>
  <c r="AD227" i="2" s="1"/>
  <c r="AL217" i="2"/>
  <c r="AK217" i="2"/>
  <c r="AJ217" i="2"/>
  <c r="AI217" i="2"/>
  <c r="AH217" i="2"/>
  <c r="AG217" i="2"/>
  <c r="AF217" i="2"/>
  <c r="AC217" i="2"/>
  <c r="AD217" i="2" s="1"/>
  <c r="AL215" i="2"/>
  <c r="AK215" i="2"/>
  <c r="AJ215" i="2"/>
  <c r="AI215" i="2"/>
  <c r="AH215" i="2"/>
  <c r="AG215" i="2"/>
  <c r="AF215" i="2"/>
  <c r="AC215" i="2"/>
  <c r="AD215" i="2" s="1"/>
  <c r="AL213" i="2"/>
  <c r="AK213" i="2"/>
  <c r="AJ213" i="2"/>
  <c r="AI213" i="2"/>
  <c r="AH213" i="2"/>
  <c r="AG213" i="2"/>
  <c r="AF213" i="2"/>
  <c r="AC213" i="2"/>
  <c r="AD213" i="2" s="1"/>
  <c r="AL212" i="2"/>
  <c r="AK212" i="2"/>
  <c r="AJ212" i="2"/>
  <c r="AI212" i="2"/>
  <c r="AH212" i="2"/>
  <c r="AG212" i="2"/>
  <c r="AF212" i="2"/>
  <c r="AC212" i="2"/>
  <c r="AD212" i="2" s="1"/>
  <c r="AL210" i="2"/>
  <c r="AK210" i="2"/>
  <c r="AJ210" i="2"/>
  <c r="AI210" i="2"/>
  <c r="AH210" i="2"/>
  <c r="AG210" i="2"/>
  <c r="AF210" i="2"/>
  <c r="AC210" i="2"/>
  <c r="AD210" i="2" s="1"/>
  <c r="AL209" i="2"/>
  <c r="AK209" i="2"/>
  <c r="AJ209" i="2"/>
  <c r="AI209" i="2"/>
  <c r="AH209" i="2"/>
  <c r="AG209" i="2"/>
  <c r="AF209" i="2"/>
  <c r="AC209" i="2"/>
  <c r="AD209" i="2" s="1"/>
  <c r="AL200" i="2"/>
  <c r="AK200" i="2"/>
  <c r="AJ200" i="2"/>
  <c r="AI200" i="2"/>
  <c r="AH200" i="2"/>
  <c r="AG200" i="2"/>
  <c r="AF200" i="2"/>
  <c r="AC200" i="2"/>
  <c r="AD200" i="2" s="1"/>
  <c r="AL190" i="2"/>
  <c r="AK190" i="2"/>
  <c r="AJ190" i="2"/>
  <c r="AI190" i="2"/>
  <c r="AH190" i="2"/>
  <c r="AG190" i="2"/>
  <c r="AF190" i="2"/>
  <c r="AC190" i="2"/>
  <c r="AD190" i="2" s="1"/>
  <c r="AL187" i="2"/>
  <c r="AK187" i="2"/>
  <c r="AJ187" i="2"/>
  <c r="AI187" i="2"/>
  <c r="AH187" i="2"/>
  <c r="AG187" i="2"/>
  <c r="AF187" i="2"/>
  <c r="AC187" i="2"/>
  <c r="AD187" i="2" s="1"/>
  <c r="AL183" i="2"/>
  <c r="AK183" i="2"/>
  <c r="AJ183" i="2"/>
  <c r="AI183" i="2"/>
  <c r="AH183" i="2"/>
  <c r="AG183" i="2"/>
  <c r="AF183" i="2"/>
  <c r="AC183" i="2"/>
  <c r="AD183" i="2" s="1"/>
  <c r="AL178" i="2"/>
  <c r="AK178" i="2"/>
  <c r="AJ178" i="2"/>
  <c r="AI178" i="2"/>
  <c r="AH178" i="2"/>
  <c r="AG178" i="2"/>
  <c r="AF178" i="2"/>
  <c r="AC178" i="2"/>
  <c r="AD178" i="2" s="1"/>
  <c r="AL176" i="2"/>
  <c r="AK176" i="2"/>
  <c r="AJ176" i="2"/>
  <c r="AI176" i="2"/>
  <c r="AH176" i="2"/>
  <c r="AG176" i="2"/>
  <c r="AF176" i="2"/>
  <c r="AC176" i="2"/>
  <c r="AD176" i="2" s="1"/>
  <c r="AL175" i="2"/>
  <c r="AK175" i="2"/>
  <c r="AJ175" i="2"/>
  <c r="AI175" i="2"/>
  <c r="AH175" i="2"/>
  <c r="AG175" i="2"/>
  <c r="AF175" i="2"/>
  <c r="AC175" i="2"/>
  <c r="AD175" i="2" s="1"/>
  <c r="AL170" i="2"/>
  <c r="AK170" i="2"/>
  <c r="AJ170" i="2"/>
  <c r="AI170" i="2"/>
  <c r="AH170" i="2"/>
  <c r="AG170" i="2"/>
  <c r="AF170" i="2"/>
  <c r="AC170" i="2"/>
  <c r="AD170" i="2" s="1"/>
  <c r="AL165" i="2"/>
  <c r="AK165" i="2"/>
  <c r="AJ165" i="2"/>
  <c r="AI165" i="2"/>
  <c r="AH165" i="2"/>
  <c r="AG165" i="2"/>
  <c r="AF165" i="2"/>
  <c r="AC165" i="2"/>
  <c r="AD165" i="2" s="1"/>
  <c r="AL161" i="2"/>
  <c r="AK161" i="2"/>
  <c r="AJ161" i="2"/>
  <c r="AI161" i="2"/>
  <c r="AH161" i="2"/>
  <c r="AG161" i="2"/>
  <c r="AF161" i="2"/>
  <c r="AC161" i="2"/>
  <c r="AD161" i="2" s="1"/>
  <c r="AL153" i="2"/>
  <c r="AK153" i="2"/>
  <c r="AJ153" i="2"/>
  <c r="AI153" i="2"/>
  <c r="AH153" i="2"/>
  <c r="AG153" i="2"/>
  <c r="AF153" i="2"/>
  <c r="AC153" i="2"/>
  <c r="AD153" i="2" s="1"/>
  <c r="AL148" i="2"/>
  <c r="AK148" i="2"/>
  <c r="AJ148" i="2"/>
  <c r="AI148" i="2"/>
  <c r="AH148" i="2"/>
  <c r="AG148" i="2"/>
  <c r="AF148" i="2"/>
  <c r="AC148" i="2"/>
  <c r="AD148" i="2" s="1"/>
  <c r="AL146" i="2"/>
  <c r="AK146" i="2"/>
  <c r="AJ146" i="2"/>
  <c r="AI146" i="2"/>
  <c r="AH146" i="2"/>
  <c r="AG146" i="2"/>
  <c r="AF146" i="2"/>
  <c r="AC146" i="2"/>
  <c r="AD146" i="2" s="1"/>
  <c r="AL144" i="2"/>
  <c r="AK144" i="2"/>
  <c r="AJ144" i="2"/>
  <c r="AI144" i="2"/>
  <c r="AH144" i="2"/>
  <c r="AG144" i="2"/>
  <c r="AF144" i="2"/>
  <c r="AC144" i="2"/>
  <c r="AD144" i="2" s="1"/>
  <c r="AL141" i="2"/>
  <c r="AK141" i="2"/>
  <c r="AJ141" i="2"/>
  <c r="AI141" i="2"/>
  <c r="AH141" i="2"/>
  <c r="AG141" i="2"/>
  <c r="AF141" i="2"/>
  <c r="AC141" i="2"/>
  <c r="AD141" i="2" s="1"/>
  <c r="AL137" i="2"/>
  <c r="AK137" i="2"/>
  <c r="AJ137" i="2"/>
  <c r="AI137" i="2"/>
  <c r="AH137" i="2"/>
  <c r="AG137" i="2"/>
  <c r="AF137" i="2"/>
  <c r="AC137" i="2"/>
  <c r="AD137" i="2" s="1"/>
  <c r="AL134" i="2"/>
  <c r="AK134" i="2"/>
  <c r="AJ134" i="2"/>
  <c r="AI134" i="2"/>
  <c r="AH134" i="2"/>
  <c r="AG134" i="2"/>
  <c r="AF134" i="2"/>
  <c r="AC134" i="2"/>
  <c r="AD134" i="2" s="1"/>
  <c r="AL130" i="2"/>
  <c r="AK130" i="2"/>
  <c r="AJ130" i="2"/>
  <c r="AI130" i="2"/>
  <c r="AH130" i="2"/>
  <c r="AG130" i="2"/>
  <c r="AF130" i="2"/>
  <c r="AC130" i="2"/>
  <c r="AD130" i="2" s="1"/>
  <c r="AL120" i="2"/>
  <c r="AK120" i="2"/>
  <c r="AJ120" i="2"/>
  <c r="AI120" i="2"/>
  <c r="AH120" i="2"/>
  <c r="AG120" i="2"/>
  <c r="AF120" i="2"/>
  <c r="AC120" i="2"/>
  <c r="AD120" i="2" s="1"/>
  <c r="AL115" i="2"/>
  <c r="AK115" i="2"/>
  <c r="AJ115" i="2"/>
  <c r="AI115" i="2"/>
  <c r="AH115" i="2"/>
  <c r="AG115" i="2"/>
  <c r="AF115" i="2"/>
  <c r="AC115" i="2"/>
  <c r="AD115" i="2" s="1"/>
  <c r="AL107" i="2"/>
  <c r="AK107" i="2"/>
  <c r="AJ107" i="2"/>
  <c r="AI107" i="2"/>
  <c r="AH107" i="2"/>
  <c r="AG107" i="2"/>
  <c r="AF107" i="2"/>
  <c r="AC107" i="2"/>
  <c r="AD107" i="2" s="1"/>
  <c r="AL101" i="2"/>
  <c r="AK101" i="2"/>
  <c r="AJ101" i="2"/>
  <c r="AI101" i="2"/>
  <c r="AH101" i="2"/>
  <c r="AG101" i="2"/>
  <c r="AF101" i="2"/>
  <c r="AC101" i="2"/>
  <c r="AD101" i="2" s="1"/>
  <c r="AL99" i="2"/>
  <c r="AK99" i="2"/>
  <c r="AJ99" i="2"/>
  <c r="AI99" i="2"/>
  <c r="AH99" i="2"/>
  <c r="AG99" i="2"/>
  <c r="AF99" i="2"/>
  <c r="AC99" i="2"/>
  <c r="AD99" i="2" s="1"/>
  <c r="AL97" i="2"/>
  <c r="AK97" i="2"/>
  <c r="AJ97" i="2"/>
  <c r="AI97" i="2"/>
  <c r="AH97" i="2"/>
  <c r="AG97" i="2"/>
  <c r="AF97" i="2"/>
  <c r="AC97" i="2"/>
  <c r="AD97" i="2" s="1"/>
  <c r="AL93" i="2"/>
  <c r="AK93" i="2"/>
  <c r="AJ93" i="2"/>
  <c r="AI93" i="2"/>
  <c r="AH93" i="2"/>
  <c r="AG93" i="2"/>
  <c r="AF93" i="2"/>
  <c r="AC93" i="2"/>
  <c r="AD93" i="2" s="1"/>
  <c r="AL88" i="2"/>
  <c r="AK88" i="2"/>
  <c r="AJ88" i="2"/>
  <c r="AI88" i="2"/>
  <c r="AH88" i="2"/>
  <c r="AG88" i="2"/>
  <c r="AF88" i="2"/>
  <c r="AC88" i="2"/>
  <c r="AD88" i="2" s="1"/>
  <c r="AL83" i="2"/>
  <c r="AK83" i="2"/>
  <c r="AJ83" i="2"/>
  <c r="AI83" i="2"/>
  <c r="AH83" i="2"/>
  <c r="AG83" i="2"/>
  <c r="AF83" i="2"/>
  <c r="AC83" i="2"/>
  <c r="AD83" i="2" s="1"/>
  <c r="AL79" i="2"/>
  <c r="AK79" i="2"/>
  <c r="AJ79" i="2"/>
  <c r="AI79" i="2"/>
  <c r="AH79" i="2"/>
  <c r="AG79" i="2"/>
  <c r="AF79" i="2"/>
  <c r="AC79" i="2"/>
  <c r="AD79" i="2" s="1"/>
  <c r="AL75" i="2"/>
  <c r="AK75" i="2"/>
  <c r="AJ75" i="2"/>
  <c r="AI75" i="2"/>
  <c r="AH75" i="2"/>
  <c r="AG75" i="2"/>
  <c r="AF75" i="2"/>
  <c r="AC75" i="2"/>
  <c r="AD75" i="2" s="1"/>
  <c r="AL68" i="2"/>
  <c r="AK68" i="2"/>
  <c r="AJ68" i="2"/>
  <c r="AI68" i="2"/>
  <c r="AH68" i="2"/>
  <c r="AG68" i="2"/>
  <c r="AF68" i="2"/>
  <c r="AC68" i="2"/>
  <c r="AD68" i="2" s="1"/>
  <c r="AL66" i="2"/>
  <c r="AK66" i="2"/>
  <c r="AJ66" i="2"/>
  <c r="AI66" i="2"/>
  <c r="AH66" i="2"/>
  <c r="AG66" i="2"/>
  <c r="AF66" i="2"/>
  <c r="AC66" i="2"/>
  <c r="AD66" i="2" s="1"/>
  <c r="AL65" i="2"/>
  <c r="AK65" i="2"/>
  <c r="AJ65" i="2"/>
  <c r="AI65" i="2"/>
  <c r="AH65" i="2"/>
  <c r="AG65" i="2"/>
  <c r="AF65" i="2"/>
  <c r="AC65" i="2"/>
  <c r="AD65" i="2" s="1"/>
  <c r="AL64" i="2"/>
  <c r="AK64" i="2"/>
  <c r="AJ64" i="2"/>
  <c r="AI64" i="2"/>
  <c r="AH64" i="2"/>
  <c r="AG64" i="2"/>
  <c r="AF64" i="2"/>
  <c r="AC64" i="2"/>
  <c r="AD64" i="2" s="1"/>
  <c r="AL61" i="2"/>
  <c r="AK61" i="2"/>
  <c r="AJ61" i="2"/>
  <c r="AI61" i="2"/>
  <c r="AH61" i="2"/>
  <c r="AG61" i="2"/>
  <c r="AF61" i="2"/>
  <c r="AC61" i="2"/>
  <c r="AD61" i="2" s="1"/>
  <c r="AL59" i="2"/>
  <c r="AK59" i="2"/>
  <c r="AJ59" i="2"/>
  <c r="AI59" i="2"/>
  <c r="AH59" i="2"/>
  <c r="AG59" i="2"/>
  <c r="AF59" i="2"/>
  <c r="AC59" i="2"/>
  <c r="AD59" i="2" s="1"/>
  <c r="AL54" i="2"/>
  <c r="AK54" i="2"/>
  <c r="AJ54" i="2"/>
  <c r="AI54" i="2"/>
  <c r="AH54" i="2"/>
  <c r="AG54" i="2"/>
  <c r="AF54" i="2"/>
  <c r="AC54" i="2"/>
  <c r="AD54" i="2" s="1"/>
  <c r="AL50" i="2"/>
  <c r="AK50" i="2"/>
  <c r="AJ50" i="2"/>
  <c r="AI50" i="2"/>
  <c r="AH50" i="2"/>
  <c r="AG50" i="2"/>
  <c r="AF50" i="2"/>
  <c r="AC50" i="2"/>
  <c r="AD50" i="2" s="1"/>
  <c r="AL39" i="2"/>
  <c r="AK39" i="2"/>
  <c r="AJ39" i="2"/>
  <c r="AI39" i="2"/>
  <c r="AH39" i="2"/>
  <c r="AG39" i="2"/>
  <c r="AF39" i="2"/>
  <c r="AC39" i="2"/>
  <c r="AD39" i="2" s="1"/>
  <c r="AL37" i="2"/>
  <c r="AK37" i="2"/>
  <c r="AJ37" i="2"/>
  <c r="AI37" i="2"/>
  <c r="AH37" i="2"/>
  <c r="AG37" i="2"/>
  <c r="AF37" i="2"/>
  <c r="AC37" i="2"/>
  <c r="AD37" i="2" s="1"/>
  <c r="AL33" i="2"/>
  <c r="AK33" i="2"/>
  <c r="AJ33" i="2"/>
  <c r="AI33" i="2"/>
  <c r="AH33" i="2"/>
  <c r="AG33" i="2"/>
  <c r="AF33" i="2"/>
  <c r="AC33" i="2"/>
  <c r="AD33" i="2" s="1"/>
  <c r="AL31" i="2"/>
  <c r="AK31" i="2"/>
  <c r="AJ31" i="2"/>
  <c r="AI31" i="2"/>
  <c r="AH31" i="2"/>
  <c r="AG31" i="2"/>
  <c r="AF31" i="2"/>
  <c r="AC31" i="2"/>
  <c r="AD31" i="2" s="1"/>
  <c r="AL27" i="2"/>
  <c r="AK27" i="2"/>
  <c r="AJ27" i="2"/>
  <c r="AI27" i="2"/>
  <c r="AH27" i="2"/>
  <c r="AG27" i="2"/>
  <c r="AF27" i="2"/>
  <c r="AC27" i="2"/>
  <c r="AD27" i="2" s="1"/>
  <c r="AL20" i="2"/>
  <c r="AK20" i="2"/>
  <c r="AJ20" i="2"/>
  <c r="AI20" i="2"/>
  <c r="AH20" i="2"/>
  <c r="AG20" i="2"/>
  <c r="AF20" i="2"/>
  <c r="AC20" i="2"/>
  <c r="AD20" i="2" s="1"/>
  <c r="AL17" i="2"/>
  <c r="AK17" i="2"/>
  <c r="AJ17" i="2"/>
  <c r="AI17" i="2"/>
  <c r="AH17" i="2"/>
  <c r="AG17" i="2"/>
  <c r="AF17" i="2"/>
  <c r="AC17" i="2"/>
  <c r="AD17" i="2" s="1"/>
  <c r="AL14" i="2"/>
  <c r="AK14" i="2"/>
  <c r="AJ14" i="2"/>
  <c r="AI14" i="2"/>
  <c r="AH14" i="2"/>
  <c r="AG14" i="2"/>
  <c r="AF14" i="2"/>
  <c r="AC14" i="2"/>
  <c r="AD14" i="2" s="1"/>
  <c r="AL11" i="2"/>
  <c r="AK11" i="2"/>
  <c r="AJ11" i="2"/>
  <c r="AI11" i="2"/>
  <c r="AH11" i="2"/>
  <c r="AG11" i="2"/>
  <c r="AF11" i="2"/>
  <c r="AC11" i="2"/>
  <c r="AV355" i="2" l="1"/>
  <c r="AU355" i="2"/>
  <c r="AT355" i="2"/>
  <c r="AS355" i="2"/>
  <c r="AV354" i="2"/>
  <c r="AU354" i="2"/>
  <c r="AT354" i="2"/>
  <c r="AS354" i="2"/>
  <c r="AV353" i="2"/>
  <c r="AU353" i="2"/>
  <c r="AT353" i="2"/>
  <c r="AS353" i="2"/>
  <c r="AV352" i="2"/>
  <c r="AU352" i="2"/>
  <c r="AT352" i="2"/>
  <c r="AS352" i="2"/>
  <c r="AV351" i="2"/>
  <c r="AU351" i="2"/>
  <c r="AT351" i="2"/>
  <c r="AS351" i="2"/>
  <c r="AV350" i="2"/>
  <c r="AU350" i="2"/>
  <c r="AT350" i="2"/>
  <c r="AS350" i="2"/>
  <c r="AV349" i="2"/>
  <c r="AU349" i="2"/>
  <c r="AT349" i="2"/>
  <c r="AS349" i="2"/>
  <c r="AV348" i="2"/>
  <c r="AU348" i="2"/>
  <c r="AT348" i="2"/>
  <c r="AS348" i="2"/>
  <c r="AV347" i="2"/>
  <c r="AU347" i="2"/>
  <c r="AT347" i="2"/>
  <c r="AS347" i="2"/>
  <c r="AV346" i="2"/>
  <c r="AU346" i="2"/>
  <c r="AT346" i="2"/>
  <c r="AS346" i="2"/>
  <c r="AV345" i="2"/>
  <c r="AU345" i="2"/>
  <c r="AT345" i="2"/>
  <c r="AS345" i="2"/>
  <c r="AV344" i="2"/>
  <c r="AU344" i="2"/>
  <c r="AT344" i="2"/>
  <c r="AS344" i="2"/>
  <c r="AV343" i="2"/>
  <c r="AU343" i="2"/>
  <c r="AT343" i="2"/>
  <c r="AS343" i="2"/>
  <c r="AV342" i="2"/>
  <c r="AU342" i="2"/>
  <c r="AT342" i="2"/>
  <c r="AS342" i="2"/>
  <c r="AV341" i="2"/>
  <c r="AU341" i="2"/>
  <c r="AT341" i="2"/>
  <c r="AS341" i="2"/>
  <c r="AV340" i="2"/>
  <c r="AU340" i="2"/>
  <c r="AT340" i="2"/>
  <c r="AS340" i="2"/>
  <c r="AV339" i="2"/>
  <c r="AU339" i="2"/>
  <c r="AT339" i="2"/>
  <c r="AS339" i="2"/>
  <c r="AV338" i="2"/>
  <c r="AU338" i="2"/>
  <c r="AT338" i="2"/>
  <c r="AS338" i="2"/>
  <c r="AV337" i="2"/>
  <c r="AU337" i="2"/>
  <c r="AT337" i="2"/>
  <c r="AS337" i="2"/>
  <c r="AV336" i="2"/>
  <c r="AU336" i="2"/>
  <c r="AT336" i="2"/>
  <c r="AS336" i="2"/>
  <c r="AV335" i="2"/>
  <c r="AU335" i="2"/>
  <c r="AT335" i="2"/>
  <c r="AS335" i="2"/>
  <c r="AV334" i="2"/>
  <c r="AU334" i="2"/>
  <c r="AT334" i="2"/>
  <c r="AS334" i="2"/>
  <c r="AV333" i="2"/>
  <c r="AU333" i="2"/>
  <c r="AT333" i="2"/>
  <c r="AS333" i="2"/>
  <c r="AV332" i="2"/>
  <c r="AU332" i="2"/>
  <c r="AT332" i="2"/>
  <c r="AS332" i="2"/>
  <c r="AV331" i="2"/>
  <c r="AU331" i="2"/>
  <c r="AT331" i="2"/>
  <c r="AS331" i="2"/>
  <c r="AV330" i="2"/>
  <c r="AU330" i="2"/>
  <c r="AT330" i="2"/>
  <c r="AS330" i="2"/>
  <c r="AV329" i="2"/>
  <c r="AU329" i="2"/>
  <c r="AT329" i="2"/>
  <c r="AS329" i="2"/>
  <c r="AV326" i="2"/>
  <c r="AU326" i="2"/>
  <c r="AT326" i="2"/>
  <c r="AS326" i="2"/>
  <c r="AV325" i="2"/>
  <c r="AU325" i="2"/>
  <c r="AT325" i="2"/>
  <c r="AS325" i="2"/>
  <c r="AV324" i="2"/>
  <c r="AU324" i="2"/>
  <c r="AT324" i="2"/>
  <c r="AS324" i="2"/>
  <c r="AV323" i="2"/>
  <c r="AU323" i="2"/>
  <c r="AT323" i="2"/>
  <c r="AS323" i="2"/>
  <c r="AV322" i="2"/>
  <c r="AU322" i="2"/>
  <c r="AT322" i="2"/>
  <c r="AS322" i="2"/>
  <c r="AV321" i="2"/>
  <c r="AU321" i="2"/>
  <c r="AT321" i="2"/>
  <c r="AS321" i="2"/>
  <c r="AV320" i="2"/>
  <c r="AU320" i="2"/>
  <c r="AT320" i="2"/>
  <c r="AS320" i="2"/>
  <c r="AV319" i="2"/>
  <c r="AU319" i="2"/>
  <c r="AT319" i="2"/>
  <c r="AS319" i="2"/>
  <c r="AV318" i="2"/>
  <c r="AU318" i="2"/>
  <c r="AT318" i="2"/>
  <c r="AS318" i="2"/>
  <c r="AV317" i="2"/>
  <c r="AU317" i="2"/>
  <c r="AT317" i="2"/>
  <c r="AS317" i="2"/>
  <c r="AV316" i="2"/>
  <c r="AU316" i="2"/>
  <c r="AT316" i="2"/>
  <c r="AS316" i="2"/>
  <c r="AV315" i="2"/>
  <c r="AU315" i="2"/>
  <c r="AT315" i="2"/>
  <c r="AS315" i="2"/>
  <c r="AV314" i="2"/>
  <c r="AU314" i="2"/>
  <c r="AT314" i="2"/>
  <c r="AS314" i="2"/>
  <c r="AV313" i="2"/>
  <c r="AU313" i="2"/>
  <c r="AT313" i="2"/>
  <c r="AS313" i="2"/>
  <c r="AV312" i="2"/>
  <c r="AU312" i="2"/>
  <c r="AT312" i="2"/>
  <c r="AS312" i="2"/>
  <c r="AV311" i="2"/>
  <c r="AU311" i="2"/>
  <c r="AT311" i="2"/>
  <c r="AS311" i="2"/>
  <c r="AV310" i="2"/>
  <c r="AU310" i="2"/>
  <c r="AT310" i="2"/>
  <c r="AS310" i="2"/>
  <c r="AV309" i="2"/>
  <c r="AU309" i="2"/>
  <c r="AT309" i="2"/>
  <c r="AS309" i="2"/>
  <c r="AV308" i="2"/>
  <c r="AU308" i="2"/>
  <c r="AT308" i="2"/>
  <c r="AS308" i="2"/>
  <c r="AV307" i="2"/>
  <c r="AU307" i="2"/>
  <c r="AT307" i="2"/>
  <c r="AS307" i="2"/>
  <c r="AV306" i="2"/>
  <c r="AU306" i="2"/>
  <c r="AT306" i="2"/>
  <c r="AS306" i="2"/>
  <c r="AV305" i="2"/>
  <c r="AU305" i="2"/>
  <c r="AT305" i="2"/>
  <c r="AS305" i="2"/>
  <c r="AV304" i="2"/>
  <c r="AU304" i="2"/>
  <c r="AT304" i="2"/>
  <c r="AS304" i="2"/>
  <c r="AV303" i="2"/>
  <c r="AU303" i="2"/>
  <c r="AT303" i="2"/>
  <c r="AS303" i="2"/>
  <c r="AV302" i="2"/>
  <c r="AU302" i="2"/>
  <c r="AT302" i="2"/>
  <c r="AS302" i="2"/>
  <c r="AV301" i="2"/>
  <c r="AU301" i="2"/>
  <c r="AT301" i="2"/>
  <c r="AS301" i="2"/>
  <c r="AV300" i="2"/>
  <c r="AU300" i="2"/>
  <c r="AT300" i="2"/>
  <c r="AS300" i="2"/>
  <c r="AV299" i="2"/>
  <c r="AU299" i="2"/>
  <c r="AT299" i="2"/>
  <c r="AS299" i="2"/>
  <c r="AV295" i="2"/>
  <c r="AU295" i="2"/>
  <c r="AT295" i="2"/>
  <c r="AS295" i="2"/>
  <c r="AV285" i="2"/>
  <c r="AU285" i="2"/>
  <c r="AT285" i="2"/>
  <c r="AS285" i="2"/>
  <c r="AV281" i="2"/>
  <c r="AU281" i="2"/>
  <c r="AT281" i="2"/>
  <c r="AS281" i="2"/>
  <c r="AV270" i="2"/>
  <c r="AU270" i="2"/>
  <c r="AT270" i="2"/>
  <c r="AS270" i="2"/>
  <c r="AV265" i="2"/>
  <c r="AU265" i="2"/>
  <c r="AT265" i="2"/>
  <c r="AS265" i="2"/>
  <c r="AV263" i="2"/>
  <c r="AU263" i="2"/>
  <c r="AT263" i="2"/>
  <c r="AS263" i="2"/>
  <c r="AV262" i="2"/>
  <c r="AU262" i="2"/>
  <c r="AT262" i="2"/>
  <c r="AS262" i="2"/>
  <c r="AV261" i="2"/>
  <c r="AU261" i="2"/>
  <c r="AT261" i="2"/>
  <c r="AS261" i="2"/>
  <c r="AV260" i="2"/>
  <c r="AU260" i="2"/>
  <c r="AT260" i="2"/>
  <c r="AS260" i="2"/>
  <c r="AV257" i="2"/>
  <c r="AU257" i="2"/>
  <c r="AT257" i="2"/>
  <c r="AS257" i="2"/>
  <c r="AV255" i="2"/>
  <c r="AU255" i="2"/>
  <c r="AT255" i="2"/>
  <c r="AS255" i="2"/>
  <c r="AV253" i="2"/>
  <c r="AU253" i="2"/>
  <c r="AT253" i="2"/>
  <c r="AS253" i="2"/>
  <c r="AV252" i="2"/>
  <c r="AU252" i="2"/>
  <c r="AT252" i="2"/>
  <c r="AS252" i="2"/>
  <c r="AV251" i="2"/>
  <c r="AU251" i="2"/>
  <c r="AT251" i="2"/>
  <c r="AS251" i="2"/>
  <c r="AV250" i="2"/>
  <c r="AU250" i="2"/>
  <c r="AT250" i="2"/>
  <c r="AS250" i="2"/>
  <c r="AV247" i="2"/>
  <c r="AU247" i="2"/>
  <c r="AT247" i="2"/>
  <c r="AS247" i="2"/>
  <c r="AV241" i="2"/>
  <c r="AU241" i="2"/>
  <c r="AT241" i="2"/>
  <c r="AS241" i="2"/>
  <c r="AV234" i="2"/>
  <c r="AU234" i="2"/>
  <c r="AT234" i="2"/>
  <c r="AS234" i="2"/>
  <c r="AV227" i="2"/>
  <c r="AU227" i="2"/>
  <c r="AT227" i="2"/>
  <c r="AS227" i="2"/>
  <c r="AV217" i="2"/>
  <c r="AU217" i="2"/>
  <c r="AT217" i="2"/>
  <c r="AS217" i="2"/>
  <c r="AV215" i="2"/>
  <c r="AU215" i="2"/>
  <c r="AT215" i="2"/>
  <c r="AS215" i="2"/>
  <c r="AV213" i="2"/>
  <c r="AU213" i="2"/>
  <c r="AT213" i="2"/>
  <c r="AS213" i="2"/>
  <c r="AV212" i="2"/>
  <c r="AU212" i="2"/>
  <c r="AT212" i="2"/>
  <c r="AS212" i="2"/>
  <c r="AS209" i="2"/>
  <c r="AS200" i="2"/>
  <c r="AS190" i="2"/>
  <c r="AV210" i="2"/>
  <c r="AU210" i="2"/>
  <c r="AT210" i="2"/>
  <c r="AS210" i="2"/>
  <c r="AV209" i="2"/>
  <c r="AU209" i="2"/>
  <c r="AT209" i="2"/>
  <c r="AV200" i="2"/>
  <c r="AU200" i="2"/>
  <c r="AT200" i="2"/>
  <c r="AV190" i="2"/>
  <c r="AU190" i="2"/>
  <c r="AT190" i="2"/>
  <c r="AV187" i="2"/>
  <c r="AU187" i="2"/>
  <c r="AT187" i="2"/>
  <c r="AV183" i="2"/>
  <c r="AU183" i="2"/>
  <c r="AT183" i="2"/>
  <c r="AT178" i="2"/>
  <c r="AU178" i="2"/>
  <c r="AV178" i="2"/>
  <c r="AT176" i="2"/>
  <c r="AU176" i="2"/>
  <c r="AV176" i="2"/>
  <c r="AT175" i="2"/>
  <c r="AU175" i="2"/>
  <c r="AV175" i="2"/>
  <c r="AT170" i="2"/>
  <c r="AU170" i="2"/>
  <c r="AV170" i="2"/>
  <c r="AT165" i="2"/>
  <c r="AU165" i="2"/>
  <c r="AV165" i="2"/>
  <c r="AT161" i="2"/>
  <c r="AU161" i="2"/>
  <c r="AV161" i="2"/>
  <c r="AT153" i="2"/>
  <c r="AU153" i="2"/>
  <c r="AV153" i="2"/>
  <c r="AT148" i="2"/>
  <c r="AU148" i="2"/>
  <c r="AV148" i="2"/>
  <c r="AT146" i="2"/>
  <c r="AU146" i="2"/>
  <c r="AV146" i="2"/>
  <c r="AT144" i="2"/>
  <c r="AU144" i="2"/>
  <c r="AV144" i="2"/>
  <c r="AT141" i="2"/>
  <c r="AU141" i="2"/>
  <c r="AV141" i="2"/>
  <c r="AT137" i="2"/>
  <c r="AU137" i="2"/>
  <c r="AV137" i="2"/>
  <c r="AT134" i="2"/>
  <c r="AU134" i="2"/>
  <c r="AV134" i="2"/>
  <c r="AT130" i="2"/>
  <c r="AU130" i="2"/>
  <c r="AV130" i="2"/>
  <c r="AT120" i="2"/>
  <c r="AU120" i="2"/>
  <c r="AV120" i="2"/>
  <c r="AT115" i="2"/>
  <c r="AU115" i="2"/>
  <c r="AV115" i="2"/>
  <c r="AT107" i="2"/>
  <c r="AU107" i="2"/>
  <c r="AV107" i="2"/>
  <c r="AT101" i="2"/>
  <c r="AU101" i="2"/>
  <c r="AV101" i="2"/>
  <c r="AT99" i="2"/>
  <c r="AU99" i="2"/>
  <c r="AV99" i="2"/>
  <c r="AT97" i="2"/>
  <c r="AU97" i="2"/>
  <c r="AV97" i="2"/>
  <c r="AT93" i="2"/>
  <c r="AU93" i="2"/>
  <c r="AV93" i="2"/>
  <c r="AT88" i="2"/>
  <c r="AU88" i="2"/>
  <c r="AV88" i="2"/>
  <c r="AT83" i="2"/>
  <c r="AU83" i="2"/>
  <c r="AV83" i="2"/>
  <c r="AT79" i="2"/>
  <c r="AU79" i="2"/>
  <c r="AV79" i="2"/>
  <c r="AT75" i="2"/>
  <c r="AU75" i="2"/>
  <c r="AV75" i="2"/>
  <c r="AT68" i="2"/>
  <c r="AU68" i="2"/>
  <c r="AV68" i="2"/>
  <c r="AT66" i="2"/>
  <c r="AU66" i="2"/>
  <c r="AV66" i="2"/>
  <c r="AT65" i="2"/>
  <c r="AU65" i="2"/>
  <c r="AV65" i="2"/>
  <c r="AT64" i="2"/>
  <c r="AU64" i="2"/>
  <c r="AV64" i="2"/>
  <c r="AT61" i="2"/>
  <c r="AU61" i="2"/>
  <c r="AV61" i="2"/>
  <c r="AT59" i="2"/>
  <c r="AU59" i="2"/>
  <c r="AV59" i="2"/>
  <c r="AT54" i="2"/>
  <c r="AU54" i="2"/>
  <c r="AV54" i="2"/>
  <c r="AT50" i="2"/>
  <c r="AU50" i="2"/>
  <c r="AV50" i="2"/>
  <c r="AT37" i="2"/>
  <c r="AU37" i="2"/>
  <c r="AV37" i="2"/>
  <c r="AT33" i="2"/>
  <c r="AU33" i="2"/>
  <c r="AV33" i="2"/>
  <c r="AT31" i="2"/>
  <c r="AU31" i="2"/>
  <c r="AV31" i="2"/>
  <c r="AT27" i="2"/>
  <c r="AU27" i="2"/>
  <c r="AV27" i="2"/>
  <c r="AT20" i="2"/>
  <c r="AU20" i="2"/>
  <c r="AV20" i="2"/>
  <c r="AS17" i="2"/>
  <c r="AT17" i="2"/>
  <c r="AU17" i="2"/>
  <c r="AV17" i="2"/>
  <c r="AT14" i="2"/>
  <c r="AU14" i="2"/>
  <c r="AV14" i="2"/>
  <c r="AT11" i="2"/>
  <c r="AU11" i="2"/>
  <c r="AV11" i="2"/>
  <c r="AW11" i="2"/>
  <c r="AU211" i="2" l="1"/>
  <c r="BU211" i="2" s="1"/>
  <c r="AU254" i="2"/>
  <c r="BU254" i="2" s="1"/>
  <c r="AU264" i="2"/>
  <c r="BU264" i="2" s="1"/>
  <c r="AV298" i="2"/>
  <c r="BV298" i="2" s="1"/>
  <c r="AV264" i="2"/>
  <c r="BV264" i="2" s="1"/>
  <c r="AT254" i="2"/>
  <c r="BT254" i="2" s="1"/>
  <c r="AT264" i="2"/>
  <c r="BT264" i="2" s="1"/>
  <c r="AT298" i="2"/>
  <c r="BT298" i="2" s="1"/>
  <c r="AT328" i="2"/>
  <c r="BT328" i="2" s="1"/>
  <c r="AV10" i="2"/>
  <c r="BV10" i="2" s="1"/>
  <c r="AV254" i="2"/>
  <c r="BV254" i="2" s="1"/>
  <c r="AV211" i="2"/>
  <c r="BV211" i="2" s="1"/>
  <c r="AT211" i="2"/>
  <c r="BT211" i="2" s="1"/>
  <c r="AU298" i="2"/>
  <c r="BU298" i="2" s="1"/>
  <c r="AV328" i="2"/>
  <c r="BV328" i="2" s="1"/>
  <c r="AI328" i="2" s="1"/>
  <c r="AU10" i="2"/>
  <c r="BU10" i="2" s="1"/>
  <c r="AT10" i="2"/>
  <c r="BT10" i="2" s="1"/>
  <c r="AU328" i="2"/>
  <c r="BU328" i="2" s="1"/>
  <c r="AC328" i="2" s="1"/>
  <c r="AD328" i="2" s="1"/>
  <c r="AT177" i="2"/>
  <c r="BT177" i="2" s="1"/>
  <c r="AV177" i="2"/>
  <c r="BV177" i="2" s="1"/>
  <c r="AU177" i="2"/>
  <c r="BU177" i="2" s="1"/>
  <c r="AU147" i="2"/>
  <c r="BU147" i="2" s="1"/>
  <c r="AT147" i="2"/>
  <c r="BT147" i="2" s="1"/>
  <c r="AV147" i="2"/>
  <c r="BV147" i="2" s="1"/>
  <c r="AT100" i="2"/>
  <c r="BT100" i="2" s="1"/>
  <c r="AV100" i="2"/>
  <c r="BV100" i="2" s="1"/>
  <c r="AU100" i="2"/>
  <c r="BU100" i="2" s="1"/>
  <c r="AV67" i="2"/>
  <c r="BV67" i="2" s="1"/>
  <c r="AU67" i="2"/>
  <c r="BU67" i="2" s="1"/>
  <c r="AT67" i="2"/>
  <c r="BT67" i="2" s="1"/>
  <c r="N20" i="11"/>
  <c r="N21" i="11"/>
  <c r="M20" i="11"/>
  <c r="M21" i="11"/>
  <c r="L20" i="11"/>
  <c r="L21" i="11"/>
  <c r="Y89" i="14"/>
  <c r="V89" i="14"/>
  <c r="L89" i="14"/>
  <c r="Y89" i="13"/>
  <c r="V89" i="13"/>
  <c r="L89" i="13"/>
  <c r="Y89" i="12"/>
  <c r="V89" i="12"/>
  <c r="L89" i="12"/>
  <c r="Y90" i="1"/>
  <c r="V90" i="1"/>
  <c r="L90" i="1"/>
  <c r="R90" i="1" l="1"/>
  <c r="Q90" i="1"/>
  <c r="U90" i="1"/>
  <c r="S90" i="1"/>
  <c r="U89" i="12"/>
  <c r="K89" i="12"/>
  <c r="H89" i="12"/>
  <c r="Q89" i="12"/>
  <c r="R89" i="12"/>
  <c r="G89" i="12"/>
  <c r="I89" i="12"/>
  <c r="S89" i="12"/>
  <c r="K90" i="1"/>
  <c r="I90" i="1"/>
  <c r="R89" i="13"/>
  <c r="Q89" i="13"/>
  <c r="U89" i="13"/>
  <c r="S89" i="13"/>
  <c r="I89" i="13"/>
  <c r="U89" i="14"/>
  <c r="Q89" i="14"/>
  <c r="S89" i="14"/>
  <c r="R89" i="14"/>
  <c r="I89" i="14"/>
  <c r="Z90" i="10"/>
  <c r="W90" i="10"/>
  <c r="L90" i="10"/>
  <c r="L91" i="10"/>
  <c r="W91" i="10"/>
  <c r="Z91" i="10"/>
  <c r="Y88" i="14"/>
  <c r="V88" i="14"/>
  <c r="L88" i="14"/>
  <c r="Y87" i="14"/>
  <c r="C87" i="14"/>
  <c r="Y86" i="14"/>
  <c r="Y85" i="14"/>
  <c r="Y84" i="14"/>
  <c r="Y83" i="14"/>
  <c r="Y81" i="14"/>
  <c r="Y80" i="14"/>
  <c r="Y79" i="14"/>
  <c r="Y78" i="14"/>
  <c r="Y77" i="14"/>
  <c r="Y76" i="14"/>
  <c r="Y75" i="14"/>
  <c r="Y74" i="14"/>
  <c r="Y73" i="14"/>
  <c r="AE71" i="14"/>
  <c r="AD71" i="14"/>
  <c r="AC71" i="14"/>
  <c r="AB71" i="14"/>
  <c r="AA71" i="14"/>
  <c r="Z71" i="14"/>
  <c r="K69" i="14"/>
  <c r="H69" i="14"/>
  <c r="G69" i="14"/>
  <c r="I88" i="14" l="1"/>
  <c r="H89" i="14"/>
  <c r="H72" i="14"/>
  <c r="H88" i="14"/>
  <c r="K89" i="14"/>
  <c r="K72" i="14"/>
  <c r="K88" i="14"/>
  <c r="G89" i="14"/>
  <c r="G72" i="14"/>
  <c r="G88" i="14"/>
  <c r="R91" i="10"/>
  <c r="T91" i="10"/>
  <c r="G91" i="10"/>
  <c r="I91" i="10"/>
  <c r="T90" i="10"/>
  <c r="I90" i="10"/>
  <c r="V90" i="10"/>
  <c r="K90" i="10"/>
  <c r="G90" i="10"/>
  <c r="R90" i="10"/>
  <c r="H90" i="10"/>
  <c r="S90" i="10"/>
  <c r="K91" i="10"/>
  <c r="V91" i="10"/>
  <c r="H91" i="10"/>
  <c r="S91" i="10"/>
  <c r="Y71" i="14"/>
  <c r="G71" i="10"/>
  <c r="V74" i="10"/>
  <c r="S74" i="10"/>
  <c r="R74" i="10"/>
  <c r="N22" i="11"/>
  <c r="N19" i="11"/>
  <c r="N18" i="11"/>
  <c r="N17" i="11"/>
  <c r="N16" i="11"/>
  <c r="N15" i="11"/>
  <c r="N14" i="11"/>
  <c r="N13" i="11"/>
  <c r="N12" i="11"/>
  <c r="N11" i="11"/>
  <c r="N10" i="11"/>
  <c r="N9" i="11"/>
  <c r="N8" i="11"/>
  <c r="N7" i="11"/>
  <c r="N6" i="11"/>
  <c r="N5" i="11"/>
  <c r="M22" i="11"/>
  <c r="M19" i="11"/>
  <c r="M18" i="11"/>
  <c r="M17" i="11"/>
  <c r="M16" i="11"/>
  <c r="M15" i="11"/>
  <c r="M14" i="11"/>
  <c r="M13" i="11"/>
  <c r="M12" i="11"/>
  <c r="M11" i="11"/>
  <c r="M10" i="11"/>
  <c r="M9" i="11"/>
  <c r="M8" i="11"/>
  <c r="M7" i="11"/>
  <c r="M6" i="11"/>
  <c r="M5" i="11"/>
  <c r="L22" i="11"/>
  <c r="L19" i="11"/>
  <c r="L18" i="11"/>
  <c r="L17" i="11"/>
  <c r="L16" i="11"/>
  <c r="L15" i="11"/>
  <c r="L14" i="11"/>
  <c r="L13" i="11"/>
  <c r="L12" i="11"/>
  <c r="L11" i="11"/>
  <c r="L10" i="11"/>
  <c r="L9" i="11"/>
  <c r="L8" i="11"/>
  <c r="L7" i="11"/>
  <c r="L6" i="11"/>
  <c r="L5" i="11"/>
  <c r="A29" i="21"/>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BP354" i="2"/>
  <c r="BO354" i="2"/>
  <c r="BN354" i="2"/>
  <c r="BM354" i="2"/>
  <c r="BL354" i="2"/>
  <c r="BK354" i="2"/>
  <c r="BJ354" i="2"/>
  <c r="BI354" i="2"/>
  <c r="BH354" i="2"/>
  <c r="BG354" i="2"/>
  <c r="BF354" i="2"/>
  <c r="BE354" i="2"/>
  <c r="BD354" i="2"/>
  <c r="BC354" i="2"/>
  <c r="BB354" i="2"/>
  <c r="AZ354" i="2"/>
  <c r="AY354" i="2"/>
  <c r="AX354" i="2"/>
  <c r="AW354" i="2"/>
  <c r="AM354" i="2"/>
  <c r="W354" i="2"/>
  <c r="BP353" i="2"/>
  <c r="BO353" i="2"/>
  <c r="BN353" i="2"/>
  <c r="BM353" i="2"/>
  <c r="BL353" i="2"/>
  <c r="BK353" i="2"/>
  <c r="BJ353" i="2"/>
  <c r="BI353" i="2"/>
  <c r="BH353" i="2"/>
  <c r="BG353" i="2"/>
  <c r="BF353" i="2"/>
  <c r="BE353" i="2"/>
  <c r="BD353" i="2"/>
  <c r="BC353" i="2"/>
  <c r="BB353" i="2"/>
  <c r="AZ353" i="2"/>
  <c r="AY353" i="2"/>
  <c r="AX353" i="2"/>
  <c r="AW353" i="2"/>
  <c r="AM353" i="2"/>
  <c r="U353" i="2"/>
  <c r="Q353" i="2"/>
  <c r="BP352" i="2"/>
  <c r="BO352" i="2"/>
  <c r="BN352" i="2"/>
  <c r="BM352" i="2"/>
  <c r="BL352" i="2"/>
  <c r="BK352" i="2"/>
  <c r="BJ352" i="2"/>
  <c r="BI352" i="2"/>
  <c r="BH352" i="2"/>
  <c r="BG352" i="2"/>
  <c r="BF352" i="2"/>
  <c r="BE352" i="2"/>
  <c r="BD352" i="2"/>
  <c r="BC352" i="2"/>
  <c r="BB352" i="2"/>
  <c r="AZ352" i="2"/>
  <c r="AY352" i="2"/>
  <c r="AX352" i="2"/>
  <c r="AW352" i="2"/>
  <c r="AM352" i="2"/>
  <c r="T352" i="2"/>
  <c r="BP351" i="2"/>
  <c r="BO351" i="2"/>
  <c r="BN351" i="2"/>
  <c r="BM351" i="2"/>
  <c r="BL351" i="2"/>
  <c r="BK351" i="2"/>
  <c r="BJ351" i="2"/>
  <c r="BI351" i="2"/>
  <c r="BH351" i="2"/>
  <c r="BG351" i="2"/>
  <c r="BF351" i="2"/>
  <c r="BE351" i="2"/>
  <c r="BD351" i="2"/>
  <c r="BC351" i="2"/>
  <c r="BB351" i="2"/>
  <c r="AZ351" i="2"/>
  <c r="AY351" i="2"/>
  <c r="AX351" i="2"/>
  <c r="AW351" i="2"/>
  <c r="Z351" i="2"/>
  <c r="R351" i="2"/>
  <c r="BP350" i="2"/>
  <c r="BO350" i="2"/>
  <c r="BN350" i="2"/>
  <c r="BM350" i="2"/>
  <c r="BL350" i="2"/>
  <c r="BK350" i="2"/>
  <c r="BJ350" i="2"/>
  <c r="BI350" i="2"/>
  <c r="BH350" i="2"/>
  <c r="BG350" i="2"/>
  <c r="BF350" i="2"/>
  <c r="BE350" i="2"/>
  <c r="BD350" i="2"/>
  <c r="BC350" i="2"/>
  <c r="BB350" i="2"/>
  <c r="AZ350" i="2"/>
  <c r="AY350" i="2"/>
  <c r="AX350" i="2"/>
  <c r="AW350" i="2"/>
  <c r="AM350" i="2"/>
  <c r="Q350" i="2"/>
  <c r="BP349" i="2"/>
  <c r="BO349" i="2"/>
  <c r="BN349" i="2"/>
  <c r="BM349" i="2"/>
  <c r="BL349" i="2"/>
  <c r="BK349" i="2"/>
  <c r="BJ349" i="2"/>
  <c r="BI349" i="2"/>
  <c r="BH349" i="2"/>
  <c r="BG349" i="2"/>
  <c r="BF349" i="2"/>
  <c r="BE349" i="2"/>
  <c r="BD349" i="2"/>
  <c r="BC349" i="2"/>
  <c r="BB349" i="2"/>
  <c r="AZ349" i="2"/>
  <c r="AY349" i="2"/>
  <c r="AX349" i="2"/>
  <c r="AW349" i="2"/>
  <c r="Z349" i="2"/>
  <c r="W349" i="2"/>
  <c r="BP348" i="2"/>
  <c r="BO348" i="2"/>
  <c r="BN348" i="2"/>
  <c r="BM348" i="2"/>
  <c r="BL348" i="2"/>
  <c r="BK348" i="2"/>
  <c r="BJ348" i="2"/>
  <c r="BI348" i="2"/>
  <c r="BH348" i="2"/>
  <c r="BG348" i="2"/>
  <c r="BF348" i="2"/>
  <c r="BE348" i="2"/>
  <c r="BD348" i="2"/>
  <c r="BC348" i="2"/>
  <c r="BB348" i="2"/>
  <c r="AZ348" i="2"/>
  <c r="AY348" i="2"/>
  <c r="AX348" i="2"/>
  <c r="AW348" i="2"/>
  <c r="Z348" i="2"/>
  <c r="Q348" i="2"/>
  <c r="BP347" i="2"/>
  <c r="BO347" i="2"/>
  <c r="BN347" i="2"/>
  <c r="BM347" i="2"/>
  <c r="BL347" i="2"/>
  <c r="BK347" i="2"/>
  <c r="BJ347" i="2"/>
  <c r="BI347" i="2"/>
  <c r="BH347" i="2"/>
  <c r="BG347" i="2"/>
  <c r="BF347" i="2"/>
  <c r="BE347" i="2"/>
  <c r="BD347" i="2"/>
  <c r="BC347" i="2"/>
  <c r="BB347" i="2"/>
  <c r="AZ347" i="2"/>
  <c r="AY347" i="2"/>
  <c r="AX347" i="2"/>
  <c r="AW347" i="2"/>
  <c r="AM347" i="2"/>
  <c r="W347" i="2"/>
  <c r="BP346" i="2"/>
  <c r="BO346" i="2"/>
  <c r="BN346" i="2"/>
  <c r="BM346" i="2"/>
  <c r="BL346" i="2"/>
  <c r="BK346" i="2"/>
  <c r="BJ346" i="2"/>
  <c r="BI346" i="2"/>
  <c r="BH346" i="2"/>
  <c r="BG346" i="2"/>
  <c r="BF346" i="2"/>
  <c r="BE346" i="2"/>
  <c r="BD346" i="2"/>
  <c r="BC346" i="2"/>
  <c r="BB346" i="2"/>
  <c r="AZ346" i="2"/>
  <c r="AY346" i="2"/>
  <c r="AX346" i="2"/>
  <c r="AW346" i="2"/>
  <c r="AM346" i="2"/>
  <c r="U346" i="2"/>
  <c r="T346" i="2"/>
  <c r="O346" i="2"/>
  <c r="BP345" i="2"/>
  <c r="BO345" i="2"/>
  <c r="BN345" i="2"/>
  <c r="BM345" i="2"/>
  <c r="BL345" i="2"/>
  <c r="BK345" i="2"/>
  <c r="BJ345" i="2"/>
  <c r="BI345" i="2"/>
  <c r="BH345" i="2"/>
  <c r="BG345" i="2"/>
  <c r="BF345" i="2"/>
  <c r="BE345" i="2"/>
  <c r="BD345" i="2"/>
  <c r="BC345" i="2"/>
  <c r="BB345" i="2"/>
  <c r="AZ345" i="2"/>
  <c r="AY345" i="2"/>
  <c r="AX345" i="2"/>
  <c r="AW345" i="2"/>
  <c r="AM345" i="2"/>
  <c r="T345" i="2"/>
  <c r="BP344" i="2"/>
  <c r="BO344" i="2"/>
  <c r="BN344" i="2"/>
  <c r="BM344" i="2"/>
  <c r="BL344" i="2"/>
  <c r="BK344" i="2"/>
  <c r="BJ344" i="2"/>
  <c r="BI344" i="2"/>
  <c r="BH344" i="2"/>
  <c r="BG344" i="2"/>
  <c r="BF344" i="2"/>
  <c r="BE344" i="2"/>
  <c r="BD344" i="2"/>
  <c r="BC344" i="2"/>
  <c r="BB344" i="2"/>
  <c r="AZ344" i="2"/>
  <c r="AY344" i="2"/>
  <c r="AX344" i="2"/>
  <c r="AW344" i="2"/>
  <c r="AM344" i="2"/>
  <c r="R344" i="2"/>
  <c r="BP343" i="2"/>
  <c r="BO343" i="2"/>
  <c r="BN343" i="2"/>
  <c r="BM343" i="2"/>
  <c r="BL343" i="2"/>
  <c r="BK343" i="2"/>
  <c r="BJ343" i="2"/>
  <c r="BI343" i="2"/>
  <c r="BH343" i="2"/>
  <c r="BG343" i="2"/>
  <c r="BF343" i="2"/>
  <c r="BE343" i="2"/>
  <c r="BD343" i="2"/>
  <c r="BC343" i="2"/>
  <c r="BB343" i="2"/>
  <c r="AZ343" i="2"/>
  <c r="AY343" i="2"/>
  <c r="AX343" i="2"/>
  <c r="AW343" i="2"/>
  <c r="AM343" i="2"/>
  <c r="W343" i="2"/>
  <c r="Q343" i="2"/>
  <c r="BP342" i="2"/>
  <c r="BO342" i="2"/>
  <c r="BN342" i="2"/>
  <c r="BM342" i="2"/>
  <c r="BL342" i="2"/>
  <c r="BK342" i="2"/>
  <c r="BJ342" i="2"/>
  <c r="BI342" i="2"/>
  <c r="BH342" i="2"/>
  <c r="BG342" i="2"/>
  <c r="BF342" i="2"/>
  <c r="BE342" i="2"/>
  <c r="BD342" i="2"/>
  <c r="BC342" i="2"/>
  <c r="BB342" i="2"/>
  <c r="AZ342" i="2"/>
  <c r="AY342" i="2"/>
  <c r="AX342" i="2"/>
  <c r="AW342" i="2"/>
  <c r="Z342" i="2"/>
  <c r="U342" i="2"/>
  <c r="R342" i="2"/>
  <c r="Q342" i="2"/>
  <c r="BP341" i="2"/>
  <c r="BO341" i="2"/>
  <c r="BN341" i="2"/>
  <c r="BM341" i="2"/>
  <c r="BL341" i="2"/>
  <c r="BK341" i="2"/>
  <c r="BJ341" i="2"/>
  <c r="BI341" i="2"/>
  <c r="BH341" i="2"/>
  <c r="BG341" i="2"/>
  <c r="BF341" i="2"/>
  <c r="BE341" i="2"/>
  <c r="BD341" i="2"/>
  <c r="BC341" i="2"/>
  <c r="BB341" i="2"/>
  <c r="AZ341" i="2"/>
  <c r="AY341" i="2"/>
  <c r="AX341" i="2"/>
  <c r="AW341" i="2"/>
  <c r="AM341" i="2"/>
  <c r="T341" i="2"/>
  <c r="Q341" i="2"/>
  <c r="S71" i="10"/>
  <c r="R71" i="10"/>
  <c r="K71" i="10"/>
  <c r="H71" i="10"/>
  <c r="H70" i="1"/>
  <c r="G70" i="1"/>
  <c r="K69" i="13"/>
  <c r="H69" i="13"/>
  <c r="G69" i="13"/>
  <c r="Y88" i="13"/>
  <c r="V88" i="13"/>
  <c r="L88" i="13"/>
  <c r="Y87" i="13"/>
  <c r="C87" i="13"/>
  <c r="Y86" i="13"/>
  <c r="Y85" i="13"/>
  <c r="Y84" i="13"/>
  <c r="Y83" i="13"/>
  <c r="Y81" i="13"/>
  <c r="Y80" i="13"/>
  <c r="Y79" i="13"/>
  <c r="Y78" i="13"/>
  <c r="Y77" i="13"/>
  <c r="Y76" i="13"/>
  <c r="Y75" i="13"/>
  <c r="Y74" i="13"/>
  <c r="Y73" i="13"/>
  <c r="AE71" i="13"/>
  <c r="AD71" i="13"/>
  <c r="AC71" i="13"/>
  <c r="AB71" i="13"/>
  <c r="AA71" i="13"/>
  <c r="Z71" i="13"/>
  <c r="V88" i="12"/>
  <c r="C87" i="12"/>
  <c r="C88" i="1"/>
  <c r="Y88" i="12"/>
  <c r="L88" i="12"/>
  <c r="Y87" i="12"/>
  <c r="Y86" i="12"/>
  <c r="Y85" i="12"/>
  <c r="Y84" i="12"/>
  <c r="Y83" i="12"/>
  <c r="Y81" i="12"/>
  <c r="Y80" i="12"/>
  <c r="Y79" i="12"/>
  <c r="Y78" i="12"/>
  <c r="Y77" i="12"/>
  <c r="Y76" i="12"/>
  <c r="Y75" i="12"/>
  <c r="Y74" i="12"/>
  <c r="Y73" i="12"/>
  <c r="AE71" i="12"/>
  <c r="AD71" i="12"/>
  <c r="AC71" i="12"/>
  <c r="AB71" i="12"/>
  <c r="AA71" i="12"/>
  <c r="Z71" i="12"/>
  <c r="Q88" i="13" l="1"/>
  <c r="R88" i="13"/>
  <c r="U88" i="13"/>
  <c r="S88" i="13"/>
  <c r="Q88" i="12"/>
  <c r="R88" i="12"/>
  <c r="U88" i="12"/>
  <c r="S88" i="12"/>
  <c r="K88" i="12"/>
  <c r="H88" i="12"/>
  <c r="G88" i="12"/>
  <c r="I88" i="12"/>
  <c r="I88" i="13"/>
  <c r="G88" i="13"/>
  <c r="G72" i="13"/>
  <c r="G89" i="13"/>
  <c r="H88" i="13"/>
  <c r="H89" i="13"/>
  <c r="H72" i="13"/>
  <c r="K88" i="13"/>
  <c r="K72" i="13"/>
  <c r="K89" i="13"/>
  <c r="G73" i="1"/>
  <c r="G90" i="1"/>
  <c r="H73" i="1"/>
  <c r="H90" i="1"/>
  <c r="T344" i="2"/>
  <c r="O350" i="2"/>
  <c r="Z345" i="2"/>
  <c r="Q351" i="2"/>
  <c r="W342" i="2"/>
  <c r="Q345" i="2"/>
  <c r="X345" i="2"/>
  <c r="AA350" i="2"/>
  <c r="B24" i="21" s="1"/>
  <c r="Q352" i="2"/>
  <c r="Q347" i="2"/>
  <c r="Q354" i="2"/>
  <c r="T342" i="2"/>
  <c r="T347" i="2"/>
  <c r="Z347" i="2"/>
  <c r="Y71" i="12"/>
  <c r="O344" i="2"/>
  <c r="U349" i="2"/>
  <c r="X350" i="2"/>
  <c r="R350" i="2"/>
  <c r="Q346" i="2"/>
  <c r="Z353" i="2"/>
  <c r="Q344" i="2"/>
  <c r="W346" i="2"/>
  <c r="O354" i="2"/>
  <c r="T351" i="2"/>
  <c r="R349" i="2"/>
  <c r="U350" i="2"/>
  <c r="W353" i="2"/>
  <c r="O343" i="2"/>
  <c r="T349" i="2"/>
  <c r="W350" i="2"/>
  <c r="X353" i="2"/>
  <c r="U352" i="2"/>
  <c r="R353" i="2"/>
  <c r="X346" i="2"/>
  <c r="W352" i="2"/>
  <c r="T353" i="2"/>
  <c r="U344" i="2"/>
  <c r="O348" i="2"/>
  <c r="X349" i="2"/>
  <c r="AM349" i="2"/>
  <c r="T350" i="2"/>
  <c r="U351" i="2"/>
  <c r="AM351" i="2"/>
  <c r="X352" i="2"/>
  <c r="X354" i="2"/>
  <c r="X341" i="2"/>
  <c r="X344" i="2"/>
  <c r="R348" i="2"/>
  <c r="W351" i="2"/>
  <c r="Z352" i="2"/>
  <c r="Z354" i="2"/>
  <c r="Z341" i="2"/>
  <c r="T348" i="2"/>
  <c r="AA349" i="2"/>
  <c r="B23" i="21" s="1"/>
  <c r="X351" i="2"/>
  <c r="AA352" i="2"/>
  <c r="B26" i="21" s="1"/>
  <c r="U345" i="2"/>
  <c r="R346" i="2"/>
  <c r="O353" i="2"/>
  <c r="W345" i="2"/>
  <c r="X347" i="2"/>
  <c r="AA348" i="2"/>
  <c r="B22" i="21" s="1"/>
  <c r="AA353" i="2"/>
  <c r="B27" i="21" s="1"/>
  <c r="U348" i="2"/>
  <c r="O352" i="2"/>
  <c r="R354" i="2"/>
  <c r="AA354" i="2"/>
  <c r="B28" i="21" s="1"/>
  <c r="W348" i="2"/>
  <c r="Z350" i="2"/>
  <c r="O351" i="2"/>
  <c r="AA351" i="2"/>
  <c r="B25" i="21" s="1"/>
  <c r="T354" i="2"/>
  <c r="AM348" i="2"/>
  <c r="X348" i="2"/>
  <c r="R352" i="2"/>
  <c r="U354" i="2"/>
  <c r="Q349" i="2"/>
  <c r="O349" i="2"/>
  <c r="W344" i="2"/>
  <c r="Z346" i="2"/>
  <c r="O347" i="2"/>
  <c r="AA347" i="2"/>
  <c r="B21" i="21" s="1"/>
  <c r="AA346" i="2"/>
  <c r="B20" i="21" s="1"/>
  <c r="Z344" i="2"/>
  <c r="O345" i="2"/>
  <c r="AA345" i="2"/>
  <c r="B19" i="21" s="1"/>
  <c r="R347" i="2"/>
  <c r="AA344" i="2"/>
  <c r="B18" i="21" s="1"/>
  <c r="R345" i="2"/>
  <c r="U347" i="2"/>
  <c r="AA342" i="2"/>
  <c r="B16" i="21" s="1"/>
  <c r="O342" i="2"/>
  <c r="O341" i="2"/>
  <c r="U341" i="2"/>
  <c r="X343" i="2"/>
  <c r="W341" i="2"/>
  <c r="X342" i="2"/>
  <c r="Z343" i="2"/>
  <c r="AA343" i="2"/>
  <c r="B17" i="21" s="1"/>
  <c r="AA341" i="2"/>
  <c r="B15" i="21" s="1"/>
  <c r="AM342" i="2"/>
  <c r="R343" i="2"/>
  <c r="T343" i="2"/>
  <c r="R341" i="2"/>
  <c r="U343" i="2"/>
  <c r="Y71" i="13"/>
  <c r="V89" i="1"/>
  <c r="L89" i="1"/>
  <c r="W88" i="10"/>
  <c r="W83" i="10"/>
  <c r="W79" i="10"/>
  <c r="W78" i="10"/>
  <c r="L88" i="10"/>
  <c r="L83" i="10"/>
  <c r="L82" i="10"/>
  <c r="L79" i="10"/>
  <c r="K74" i="10"/>
  <c r="G74" i="10"/>
  <c r="H74" i="10"/>
  <c r="C89" i="10"/>
  <c r="Z89" i="10"/>
  <c r="Z88" i="10"/>
  <c r="Z87" i="10"/>
  <c r="Z86" i="10"/>
  <c r="Z85" i="10"/>
  <c r="Z83" i="10"/>
  <c r="Z82" i="10"/>
  <c r="Z81" i="10"/>
  <c r="Z80" i="10"/>
  <c r="Z79" i="10"/>
  <c r="Z78" i="10"/>
  <c r="Z77" i="10"/>
  <c r="Z76" i="10"/>
  <c r="Z75" i="10"/>
  <c r="AF73" i="10"/>
  <c r="AE73" i="10"/>
  <c r="AD73" i="10"/>
  <c r="AC73" i="10"/>
  <c r="AB73" i="10"/>
  <c r="AA73" i="10"/>
  <c r="H89" i="1" l="1"/>
  <c r="G89" i="1"/>
  <c r="K89" i="1"/>
  <c r="I89" i="1"/>
  <c r="Q89" i="1"/>
  <c r="R89" i="1"/>
  <c r="U89" i="1"/>
  <c r="S89" i="1"/>
  <c r="T78" i="10"/>
  <c r="T83" i="10"/>
  <c r="T88" i="10"/>
  <c r="T79" i="10"/>
  <c r="K88" i="10"/>
  <c r="I88" i="10"/>
  <c r="I78" i="10"/>
  <c r="I83" i="10"/>
  <c r="I77" i="10"/>
  <c r="I79" i="10"/>
  <c r="I82" i="10"/>
  <c r="N350" i="2"/>
  <c r="N352" i="2"/>
  <c r="R79" i="10"/>
  <c r="V79" i="10"/>
  <c r="S79" i="10"/>
  <c r="V83" i="10"/>
  <c r="S83" i="10"/>
  <c r="R83" i="10"/>
  <c r="R88" i="10"/>
  <c r="V88" i="10"/>
  <c r="S88" i="10"/>
  <c r="R78" i="10"/>
  <c r="V78" i="10"/>
  <c r="S78" i="10"/>
  <c r="N353" i="2"/>
  <c r="N346" i="2"/>
  <c r="N344" i="2"/>
  <c r="N342" i="2"/>
  <c r="N349" i="2"/>
  <c r="N351" i="2"/>
  <c r="N348" i="2"/>
  <c r="N354" i="2"/>
  <c r="N347" i="2"/>
  <c r="N345" i="2"/>
  <c r="K82" i="10"/>
  <c r="N341" i="2"/>
  <c r="N343" i="2"/>
  <c r="H82" i="10"/>
  <c r="G82" i="10"/>
  <c r="H78" i="10"/>
  <c r="G78" i="10"/>
  <c r="K78" i="10"/>
  <c r="G88" i="10"/>
  <c r="G79" i="10"/>
  <c r="H88" i="10"/>
  <c r="H79" i="10"/>
  <c r="K79" i="10"/>
  <c r="H83" i="10"/>
  <c r="G83" i="10"/>
  <c r="K83" i="10"/>
  <c r="H77" i="10"/>
  <c r="G77" i="10"/>
  <c r="K77" i="10"/>
  <c r="Z73" i="10"/>
  <c r="E16" i="14" l="1" a="1"/>
  <c r="C16" i="14" s="1"/>
  <c r="E15" i="14"/>
  <c r="C15" i="14" s="1"/>
  <c r="E13" i="14"/>
  <c r="C13" i="14" s="1"/>
  <c r="D78" i="14" s="1"/>
  <c r="E12" i="14"/>
  <c r="C12" i="14" s="1"/>
  <c r="D73" i="14" s="1"/>
  <c r="E10" i="14"/>
  <c r="C10" i="14" s="1"/>
  <c r="E16" i="13" a="1"/>
  <c r="C16" i="13" s="1"/>
  <c r="E15" i="13"/>
  <c r="C15" i="13" s="1"/>
  <c r="E13" i="13"/>
  <c r="C13" i="13" s="1"/>
  <c r="D78" i="13" s="1"/>
  <c r="E12" i="13"/>
  <c r="C12" i="13" s="1"/>
  <c r="D73" i="13" s="1"/>
  <c r="E10" i="13"/>
  <c r="C10" i="13" s="1"/>
  <c r="E16" i="12" a="1"/>
  <c r="C16" i="12" s="1"/>
  <c r="E15" i="12"/>
  <c r="C15" i="12" s="1"/>
  <c r="E13" i="12"/>
  <c r="C13" i="12" s="1"/>
  <c r="D78" i="12" s="1"/>
  <c r="E12" i="12"/>
  <c r="C12" i="12" s="1"/>
  <c r="D73" i="12" s="1"/>
  <c r="E10" i="12"/>
  <c r="C10" i="12" s="1"/>
  <c r="E16" i="1" a="1"/>
  <c r="C16" i="1" s="1"/>
  <c r="E15" i="1"/>
  <c r="C15" i="1" s="1"/>
  <c r="E13" i="1"/>
  <c r="C13" i="1" s="1"/>
  <c r="E12" i="1"/>
  <c r="C12" i="1" s="1"/>
  <c r="E10" i="1"/>
  <c r="C10" i="1" s="1"/>
  <c r="E16" i="10" a="1"/>
  <c r="E10" i="10"/>
  <c r="G123" i="16"/>
  <c r="G122" i="16"/>
  <c r="G121" i="16"/>
  <c r="G120" i="16"/>
  <c r="G119" i="16"/>
  <c r="G118" i="16"/>
  <c r="G117" i="16"/>
  <c r="E13" i="10"/>
  <c r="E15" i="10"/>
  <c r="G99" i="16"/>
  <c r="G98" i="16"/>
  <c r="G97" i="16"/>
  <c r="G96" i="16"/>
  <c r="G95" i="16"/>
  <c r="G94" i="16"/>
  <c r="G93" i="16"/>
  <c r="G92" i="16"/>
  <c r="G91" i="16"/>
  <c r="G90" i="16"/>
  <c r="G89" i="16"/>
  <c r="G88" i="16"/>
  <c r="G87" i="16"/>
  <c r="G86" i="16"/>
  <c r="D67" i="13"/>
  <c r="F12" i="13"/>
  <c r="D65" i="12"/>
  <c r="D66" i="10"/>
  <c r="D63" i="12"/>
  <c r="F10" i="14"/>
  <c r="F14" i="1"/>
  <c r="F14" i="12"/>
  <c r="D65" i="13"/>
  <c r="D67" i="12"/>
  <c r="F13" i="12"/>
  <c r="D65" i="10"/>
  <c r="F13" i="14"/>
  <c r="D64" i="10"/>
  <c r="D63" i="10"/>
  <c r="F14" i="14"/>
  <c r="D66" i="14"/>
  <c r="F11" i="1"/>
  <c r="F11" i="13"/>
  <c r="F12" i="14"/>
  <c r="F12" i="1"/>
  <c r="D63" i="1"/>
  <c r="F10" i="13"/>
  <c r="D66" i="13"/>
  <c r="D64" i="1"/>
  <c r="D65" i="14"/>
  <c r="D68" i="1"/>
  <c r="F16" i="1"/>
  <c r="D64" i="13"/>
  <c r="F15" i="14"/>
  <c r="D62" i="14"/>
  <c r="F13" i="13"/>
  <c r="D67" i="1"/>
  <c r="D66" i="1"/>
  <c r="D63" i="14"/>
  <c r="F16" i="14"/>
  <c r="F15" i="1"/>
  <c r="F16" i="12"/>
  <c r="D63" i="13"/>
  <c r="D67" i="14"/>
  <c r="F11" i="12"/>
  <c r="F10" i="12"/>
  <c r="F16" i="13"/>
  <c r="F10" i="1"/>
  <c r="D66" i="12"/>
  <c r="D62" i="13"/>
  <c r="D62" i="12"/>
  <c r="D65" i="1"/>
  <c r="D64" i="14"/>
  <c r="F15" i="13"/>
  <c r="F11" i="14"/>
  <c r="F15" i="12"/>
  <c r="F12" i="12"/>
  <c r="D64" i="12"/>
  <c r="F13" i="1"/>
  <c r="F14" i="13"/>
  <c r="V73" i="14" l="1"/>
  <c r="L73" i="14"/>
  <c r="V78" i="14"/>
  <c r="L78" i="14"/>
  <c r="L73" i="12"/>
  <c r="V73" i="12"/>
  <c r="E14" i="14"/>
  <c r="C14" i="14" s="1"/>
  <c r="D87" i="14" s="1"/>
  <c r="L78" i="12"/>
  <c r="V78" i="12"/>
  <c r="E11" i="14"/>
  <c r="C11" i="14" s="1"/>
  <c r="E14" i="12"/>
  <c r="C14" i="12" s="1"/>
  <c r="D87" i="12" s="1"/>
  <c r="L73" i="13"/>
  <c r="V73" i="13"/>
  <c r="V78" i="13"/>
  <c r="L78" i="13"/>
  <c r="E11" i="12"/>
  <c r="C11" i="12" s="1"/>
  <c r="E11" i="13"/>
  <c r="C11" i="13" s="1"/>
  <c r="E11" i="10"/>
  <c r="C11" i="10" s="1"/>
  <c r="E11" i="1"/>
  <c r="C11" i="1" s="1"/>
  <c r="E14" i="13"/>
  <c r="C14" i="13" s="1"/>
  <c r="D87" i="13" s="1"/>
  <c r="E14" i="1"/>
  <c r="C14" i="1" s="1"/>
  <c r="C10" i="10"/>
  <c r="E14" i="10"/>
  <c r="C14" i="10" s="1"/>
  <c r="C16" i="10"/>
  <c r="C13" i="10"/>
  <c r="E12" i="10"/>
  <c r="C12" i="10" s="1"/>
  <c r="F114" i="16"/>
  <c r="F113" i="16"/>
  <c r="F116" i="16"/>
  <c r="F109" i="16"/>
  <c r="F108" i="16"/>
  <c r="F107" i="16"/>
  <c r="F106" i="16"/>
  <c r="F104" i="16"/>
  <c r="N164" i="2"/>
  <c r="C15" i="10"/>
  <c r="D2" i="10"/>
  <c r="E2" i="10" s="1"/>
  <c r="F14" i="10"/>
  <c r="D33" i="10"/>
  <c r="F16" i="10"/>
  <c r="F10" i="10"/>
  <c r="F11" i="10"/>
  <c r="Q78" i="13" l="1"/>
  <c r="R78" i="13"/>
  <c r="U78" i="13"/>
  <c r="S78" i="13"/>
  <c r="Q73" i="13"/>
  <c r="R73" i="13"/>
  <c r="U73" i="13"/>
  <c r="S73" i="13"/>
  <c r="Q78" i="12"/>
  <c r="R78" i="12"/>
  <c r="U78" i="12"/>
  <c r="S78" i="12"/>
  <c r="Q73" i="12"/>
  <c r="R73" i="12"/>
  <c r="U73" i="12"/>
  <c r="S73" i="12"/>
  <c r="I73" i="13"/>
  <c r="G73" i="13"/>
  <c r="K73" i="13"/>
  <c r="H73" i="13"/>
  <c r="H78" i="12"/>
  <c r="K78" i="12"/>
  <c r="G78" i="12"/>
  <c r="I78" i="12"/>
  <c r="K73" i="12"/>
  <c r="H73" i="12"/>
  <c r="G73" i="12"/>
  <c r="I73" i="12"/>
  <c r="I78" i="14"/>
  <c r="K78" i="14"/>
  <c r="G78" i="14"/>
  <c r="H78" i="14"/>
  <c r="I78" i="13"/>
  <c r="H78" i="13"/>
  <c r="K78" i="13"/>
  <c r="G78" i="13"/>
  <c r="I73" i="14"/>
  <c r="H73" i="14"/>
  <c r="K73" i="14"/>
  <c r="G73" i="14"/>
  <c r="V87" i="14"/>
  <c r="L87" i="14"/>
  <c r="L87" i="12"/>
  <c r="V87" i="12"/>
  <c r="L87" i="13"/>
  <c r="V87" i="13"/>
  <c r="O75" i="10"/>
  <c r="W75" i="10" s="1"/>
  <c r="D75" i="10"/>
  <c r="L75" i="10" s="1"/>
  <c r="O89" i="10"/>
  <c r="W89" i="10" s="1"/>
  <c r="D89" i="10"/>
  <c r="L89" i="10" s="1"/>
  <c r="D80" i="10"/>
  <c r="L80" i="10" s="1"/>
  <c r="O80" i="10"/>
  <c r="W80" i="10" s="1"/>
  <c r="D88" i="1"/>
  <c r="D74" i="1"/>
  <c r="D79" i="1"/>
  <c r="E30" i="14"/>
  <c r="E29" i="14"/>
  <c r="E28" i="14"/>
  <c r="E30" i="13"/>
  <c r="E29" i="13"/>
  <c r="E28" i="13"/>
  <c r="E28" i="12"/>
  <c r="E29" i="12"/>
  <c r="E30" i="12"/>
  <c r="E30" i="1"/>
  <c r="E29" i="1"/>
  <c r="E28" i="1"/>
  <c r="D33" i="12"/>
  <c r="F12" i="10"/>
  <c r="F15" i="10"/>
  <c r="D32" i="13"/>
  <c r="D33" i="13"/>
  <c r="D32" i="14"/>
  <c r="D32" i="12"/>
  <c r="D33" i="14"/>
  <c r="F13" i="10"/>
  <c r="D33" i="1"/>
  <c r="D32" i="10"/>
  <c r="D32" i="1"/>
  <c r="Q87" i="13" l="1"/>
  <c r="R87" i="13"/>
  <c r="U87" i="13"/>
  <c r="S87" i="13"/>
  <c r="Q87" i="12"/>
  <c r="R87" i="12"/>
  <c r="U87" i="12"/>
  <c r="S87" i="12"/>
  <c r="I87" i="13"/>
  <c r="G87" i="13"/>
  <c r="H87" i="13"/>
  <c r="K87" i="13"/>
  <c r="K87" i="12"/>
  <c r="H87" i="12"/>
  <c r="G87" i="12"/>
  <c r="I87" i="12"/>
  <c r="I87" i="14"/>
  <c r="H87" i="14"/>
  <c r="G87" i="14"/>
  <c r="K87" i="14"/>
  <c r="T89" i="10"/>
  <c r="T75" i="10"/>
  <c r="I89" i="10"/>
  <c r="I75" i="10"/>
  <c r="I80" i="10"/>
  <c r="R80" i="10"/>
  <c r="V80" i="10"/>
  <c r="S80" i="10"/>
  <c r="V75" i="10"/>
  <c r="S75" i="10"/>
  <c r="R89" i="10"/>
  <c r="V89" i="10"/>
  <c r="S89" i="10"/>
  <c r="H80" i="10"/>
  <c r="G80" i="10"/>
  <c r="K80" i="10"/>
  <c r="L88" i="1"/>
  <c r="V88" i="1"/>
  <c r="H89" i="10"/>
  <c r="K89" i="10"/>
  <c r="G89" i="10"/>
  <c r="L79" i="1"/>
  <c r="V79" i="1"/>
  <c r="G75" i="10"/>
  <c r="K75" i="10"/>
  <c r="H75" i="10"/>
  <c r="L74" i="1"/>
  <c r="V74" i="1"/>
  <c r="E29" i="10"/>
  <c r="E30" i="10"/>
  <c r="E28" i="10"/>
  <c r="C2" i="4"/>
  <c r="F4" i="4"/>
  <c r="F5" i="4"/>
  <c r="F3" i="4"/>
  <c r="X121" i="2"/>
  <c r="X122" i="2"/>
  <c r="X123" i="2"/>
  <c r="X124" i="2"/>
  <c r="X125" i="2"/>
  <c r="X126" i="2"/>
  <c r="X127" i="2"/>
  <c r="X128" i="2"/>
  <c r="X129" i="2"/>
  <c r="U121" i="2"/>
  <c r="U122" i="2"/>
  <c r="U123" i="2"/>
  <c r="U124" i="2"/>
  <c r="U125" i="2"/>
  <c r="U126" i="2"/>
  <c r="U127" i="2"/>
  <c r="U128" i="2"/>
  <c r="U129" i="2"/>
  <c r="O121" i="2"/>
  <c r="O122" i="2"/>
  <c r="O123" i="2"/>
  <c r="O124" i="2"/>
  <c r="O125" i="2"/>
  <c r="O126" i="2"/>
  <c r="O127" i="2"/>
  <c r="O128" i="2"/>
  <c r="O129" i="2"/>
  <c r="R74" i="1" l="1"/>
  <c r="Q74" i="1"/>
  <c r="U74" i="1"/>
  <c r="S74" i="1"/>
  <c r="K74" i="1"/>
  <c r="H74" i="1"/>
  <c r="G74" i="1"/>
  <c r="I74" i="1"/>
  <c r="U88" i="1"/>
  <c r="R88" i="1"/>
  <c r="Q88" i="1"/>
  <c r="S88" i="1"/>
  <c r="H88" i="1"/>
  <c r="K88" i="1"/>
  <c r="G88" i="1"/>
  <c r="I88" i="1"/>
  <c r="U79" i="1"/>
  <c r="R79" i="1"/>
  <c r="Q79" i="1"/>
  <c r="S79" i="1"/>
  <c r="H79" i="1"/>
  <c r="K79" i="1"/>
  <c r="G79" i="1"/>
  <c r="I79" i="1"/>
  <c r="E202" i="10"/>
  <c r="O330" i="2"/>
  <c r="O130" i="2"/>
  <c r="BP332" i="2"/>
  <c r="BO332" i="2"/>
  <c r="BN332" i="2"/>
  <c r="BM332" i="2"/>
  <c r="BL332" i="2"/>
  <c r="BK332" i="2"/>
  <c r="BJ332" i="2"/>
  <c r="BI332" i="2"/>
  <c r="BH332" i="2"/>
  <c r="BG332" i="2"/>
  <c r="BF332" i="2"/>
  <c r="BE332" i="2"/>
  <c r="BD332" i="2"/>
  <c r="BC332" i="2"/>
  <c r="BB332" i="2"/>
  <c r="AZ332" i="2"/>
  <c r="AY332" i="2"/>
  <c r="AX332" i="2"/>
  <c r="AW332" i="2"/>
  <c r="AM332" i="2"/>
  <c r="U332" i="2"/>
  <c r="Q330" i="2" l="1"/>
  <c r="W332" i="2"/>
  <c r="X332" i="2"/>
  <c r="Z332" i="2"/>
  <c r="O332" i="2"/>
  <c r="AA332" i="2"/>
  <c r="B6" i="21" s="1"/>
  <c r="Q332" i="2"/>
  <c r="R332" i="2"/>
  <c r="T332" i="2"/>
  <c r="Y328" i="2"/>
  <c r="V328" i="2"/>
  <c r="S328" i="2"/>
  <c r="P328" i="2"/>
  <c r="Y298" i="2"/>
  <c r="V298" i="2"/>
  <c r="S298" i="2"/>
  <c r="P298" i="2"/>
  <c r="Y264" i="2"/>
  <c r="V264" i="2"/>
  <c r="S264" i="2"/>
  <c r="P264" i="2"/>
  <c r="Y254" i="2"/>
  <c r="V254" i="2"/>
  <c r="S254" i="2"/>
  <c r="P254" i="2"/>
  <c r="Y211" i="2"/>
  <c r="V211" i="2"/>
  <c r="S211" i="2"/>
  <c r="P211" i="2"/>
  <c r="Y177" i="2"/>
  <c r="V177" i="2"/>
  <c r="S177" i="2"/>
  <c r="P177" i="2"/>
  <c r="Y147" i="2"/>
  <c r="V147" i="2"/>
  <c r="S147" i="2"/>
  <c r="P147" i="2"/>
  <c r="Y100" i="2"/>
  <c r="V100" i="2"/>
  <c r="S100" i="2"/>
  <c r="P100" i="2"/>
  <c r="Y67" i="2"/>
  <c r="V67" i="2"/>
  <c r="S67" i="2"/>
  <c r="P67" i="2"/>
  <c r="Y38" i="2"/>
  <c r="V38" i="2"/>
  <c r="S38" i="2"/>
  <c r="P38" i="2"/>
  <c r="Y10" i="2"/>
  <c r="V10" i="2"/>
  <c r="S10" i="2"/>
  <c r="P10" i="2"/>
  <c r="M328" i="2"/>
  <c r="M298" i="2"/>
  <c r="M264" i="2"/>
  <c r="M254" i="2"/>
  <c r="M211" i="2"/>
  <c r="M177" i="2"/>
  <c r="M147" i="2"/>
  <c r="M100" i="2"/>
  <c r="M67" i="2"/>
  <c r="M38" i="2"/>
  <c r="M10" i="2"/>
  <c r="BP334" i="2"/>
  <c r="BO334" i="2"/>
  <c r="BN334" i="2"/>
  <c r="BM334" i="2"/>
  <c r="BL334" i="2"/>
  <c r="BK334" i="2"/>
  <c r="BJ334" i="2"/>
  <c r="BI334" i="2"/>
  <c r="BH334" i="2"/>
  <c r="BG334" i="2"/>
  <c r="BF334" i="2"/>
  <c r="BE334" i="2"/>
  <c r="BD334" i="2"/>
  <c r="BC334" i="2"/>
  <c r="BB334" i="2"/>
  <c r="AZ334" i="2"/>
  <c r="AY334" i="2"/>
  <c r="AX334" i="2"/>
  <c r="AW334" i="2"/>
  <c r="X334" i="2"/>
  <c r="U334" i="2"/>
  <c r="N128" i="2"/>
  <c r="BP137" i="2"/>
  <c r="BO137" i="2"/>
  <c r="BN137" i="2"/>
  <c r="BM137" i="2"/>
  <c r="BL137" i="2"/>
  <c r="BK137" i="2"/>
  <c r="BJ137" i="2"/>
  <c r="BI137" i="2"/>
  <c r="BH137" i="2"/>
  <c r="BG137" i="2"/>
  <c r="BF137" i="2"/>
  <c r="BE137" i="2"/>
  <c r="BD137" i="2"/>
  <c r="BC137" i="2"/>
  <c r="BB137" i="2"/>
  <c r="AZ137" i="2"/>
  <c r="AY137" i="2"/>
  <c r="AX137" i="2"/>
  <c r="AW137" i="2"/>
  <c r="AS137" i="2"/>
  <c r="AM137" i="2"/>
  <c r="U137" i="2"/>
  <c r="BP215" i="2"/>
  <c r="BO215" i="2"/>
  <c r="BN215" i="2"/>
  <c r="BM215" i="2"/>
  <c r="BL215" i="2"/>
  <c r="BK215" i="2"/>
  <c r="BJ215" i="2"/>
  <c r="BI215" i="2"/>
  <c r="BH215" i="2"/>
  <c r="BG215" i="2"/>
  <c r="BF215" i="2"/>
  <c r="BE215" i="2"/>
  <c r="BD215" i="2"/>
  <c r="BC215" i="2"/>
  <c r="BB215" i="2"/>
  <c r="AZ215" i="2"/>
  <c r="AY215" i="2"/>
  <c r="AX215" i="2"/>
  <c r="AW215" i="2"/>
  <c r="AM215" i="2"/>
  <c r="U215" i="2"/>
  <c r="BP213" i="2"/>
  <c r="BO213" i="2"/>
  <c r="BN213" i="2"/>
  <c r="BM213" i="2"/>
  <c r="BL213" i="2"/>
  <c r="BK213" i="2"/>
  <c r="BJ213" i="2"/>
  <c r="BI213" i="2"/>
  <c r="BH213" i="2"/>
  <c r="BG213" i="2"/>
  <c r="BF213" i="2"/>
  <c r="BE213" i="2"/>
  <c r="BD213" i="2"/>
  <c r="BC213" i="2"/>
  <c r="BB213" i="2"/>
  <c r="AZ213" i="2"/>
  <c r="AY213" i="2"/>
  <c r="AX213" i="2"/>
  <c r="AW213" i="2"/>
  <c r="AM213" i="2"/>
  <c r="U213" i="2"/>
  <c r="N216" i="2"/>
  <c r="N214" i="2"/>
  <c r="BP212" i="2"/>
  <c r="BO212" i="2"/>
  <c r="BN212" i="2"/>
  <c r="BM212" i="2"/>
  <c r="BL212" i="2"/>
  <c r="BK212" i="2"/>
  <c r="BJ212" i="2"/>
  <c r="BI212" i="2"/>
  <c r="BH212" i="2"/>
  <c r="BG212" i="2"/>
  <c r="BF212" i="2"/>
  <c r="BE212" i="2"/>
  <c r="BD212" i="2"/>
  <c r="BC212" i="2"/>
  <c r="BB212" i="2"/>
  <c r="AZ212" i="2"/>
  <c r="AY212" i="2"/>
  <c r="AX212" i="2"/>
  <c r="AW212" i="2"/>
  <c r="AM212" i="2"/>
  <c r="U212" i="2"/>
  <c r="W212" i="2" s="1"/>
  <c r="N87" i="2"/>
  <c r="N86" i="2"/>
  <c r="N85" i="2"/>
  <c r="N84" i="2"/>
  <c r="BP83" i="2"/>
  <c r="BO83" i="2"/>
  <c r="BN83" i="2"/>
  <c r="BM83" i="2"/>
  <c r="BL83" i="2"/>
  <c r="BK83" i="2"/>
  <c r="BJ83" i="2"/>
  <c r="BI83" i="2"/>
  <c r="BH83" i="2"/>
  <c r="BG83" i="2"/>
  <c r="BF83" i="2"/>
  <c r="BE83" i="2"/>
  <c r="BD83" i="2"/>
  <c r="BC83" i="2"/>
  <c r="BB83" i="2"/>
  <c r="AZ83" i="2"/>
  <c r="AY83" i="2"/>
  <c r="AX83" i="2"/>
  <c r="AW83" i="2"/>
  <c r="AS83" i="2"/>
  <c r="AM83" i="2"/>
  <c r="N166" i="2"/>
  <c r="N163" i="2"/>
  <c r="N152" i="2"/>
  <c r="N151" i="2"/>
  <c r="N149" i="2"/>
  <c r="N218" i="2"/>
  <c r="N245" i="2"/>
  <c r="N136" i="2"/>
  <c r="N135" i="2"/>
  <c r="BP134" i="2"/>
  <c r="BO134" i="2"/>
  <c r="BN134" i="2"/>
  <c r="BM134" i="2"/>
  <c r="BL134" i="2"/>
  <c r="BK134" i="2"/>
  <c r="BJ134" i="2"/>
  <c r="BI134" i="2"/>
  <c r="BH134" i="2"/>
  <c r="BG134" i="2"/>
  <c r="BF134" i="2"/>
  <c r="BE134" i="2"/>
  <c r="BD134" i="2"/>
  <c r="BC134" i="2"/>
  <c r="BB134" i="2"/>
  <c r="AZ134" i="2"/>
  <c r="AY134" i="2"/>
  <c r="AX134" i="2"/>
  <c r="AW134" i="2"/>
  <c r="AS134" i="2"/>
  <c r="Z134" i="2"/>
  <c r="U134" i="2"/>
  <c r="E127" i="18"/>
  <c r="W330" i="2" l="1"/>
  <c r="U330" i="2"/>
  <c r="R330" i="2"/>
  <c r="AM330" i="2"/>
  <c r="Z330" i="2"/>
  <c r="X330" i="2"/>
  <c r="P327" i="2"/>
  <c r="D20" i="10" s="1"/>
  <c r="N332" i="2"/>
  <c r="S327" i="2"/>
  <c r="V327" i="2"/>
  <c r="Y327" i="2"/>
  <c r="M327" i="2"/>
  <c r="T334" i="2"/>
  <c r="Z334" i="2"/>
  <c r="O334" i="2"/>
  <c r="AA334" i="2"/>
  <c r="B8" i="21" s="1"/>
  <c r="AM334" i="2"/>
  <c r="Q334" i="2"/>
  <c r="R334" i="2"/>
  <c r="W334" i="2"/>
  <c r="Z137" i="2"/>
  <c r="W137" i="2"/>
  <c r="X137" i="2"/>
  <c r="O137" i="2"/>
  <c r="Q137" i="2" s="1"/>
  <c r="AA137" i="2"/>
  <c r="R137" i="2"/>
  <c r="T137" i="2" s="1"/>
  <c r="AA330" i="2"/>
  <c r="B4" i="21" s="1"/>
  <c r="Z215" i="2"/>
  <c r="Z213" i="2"/>
  <c r="X215" i="2"/>
  <c r="O215" i="2"/>
  <c r="Q215" i="2" s="1"/>
  <c r="AA215" i="2"/>
  <c r="R215" i="2"/>
  <c r="T215" i="2" s="1"/>
  <c r="W215" i="2"/>
  <c r="X213" i="2"/>
  <c r="O213" i="2"/>
  <c r="Q213" i="2" s="1"/>
  <c r="AA213" i="2"/>
  <c r="W213" i="2"/>
  <c r="R213" i="2"/>
  <c r="T213" i="2" s="1"/>
  <c r="X212" i="2"/>
  <c r="Z212" i="2"/>
  <c r="U83" i="2"/>
  <c r="W83" i="2" s="1"/>
  <c r="O212" i="2"/>
  <c r="Q212" i="2" s="1"/>
  <c r="AA212" i="2"/>
  <c r="AA83" i="2"/>
  <c r="R212" i="2"/>
  <c r="T212" i="2" s="1"/>
  <c r="R83" i="2"/>
  <c r="T83" i="2" s="1"/>
  <c r="X83" i="2"/>
  <c r="Z83" i="2"/>
  <c r="O83" i="2"/>
  <c r="O134" i="2"/>
  <c r="Q134" i="2" s="1"/>
  <c r="X134" i="2"/>
  <c r="W134" i="2"/>
  <c r="AA134" i="2"/>
  <c r="AM134" i="2"/>
  <c r="R134" i="2"/>
  <c r="P16" i="20"/>
  <c r="P15" i="20"/>
  <c r="P14" i="20"/>
  <c r="P13" i="20"/>
  <c r="P12" i="20"/>
  <c r="J16" i="20"/>
  <c r="I16" i="20" s="1"/>
  <c r="K15" i="20"/>
  <c r="J15" i="20"/>
  <c r="K14" i="20"/>
  <c r="J14" i="20"/>
  <c r="K13" i="20"/>
  <c r="J13" i="20"/>
  <c r="K12" i="20"/>
  <c r="J12" i="20"/>
  <c r="H6" i="19"/>
  <c r="AL6" i="19"/>
  <c r="AJ6" i="19"/>
  <c r="AH6" i="19"/>
  <c r="AF6" i="19"/>
  <c r="AD6" i="19"/>
  <c r="AB6" i="19"/>
  <c r="Z6" i="19"/>
  <c r="P6" i="19"/>
  <c r="J6" i="19"/>
  <c r="I6" i="19" s="1"/>
  <c r="AL5" i="20"/>
  <c r="AJ5" i="20"/>
  <c r="AH5" i="20"/>
  <c r="AF5" i="20"/>
  <c r="AD5" i="20"/>
  <c r="AD6" i="20"/>
  <c r="AD7" i="20"/>
  <c r="AB6" i="20"/>
  <c r="Z6" i="20"/>
  <c r="AB5" i="20"/>
  <c r="Z5" i="20"/>
  <c r="AL7" i="20"/>
  <c r="AJ7" i="20"/>
  <c r="AH7" i="20"/>
  <c r="AF7" i="20"/>
  <c r="AB7" i="20"/>
  <c r="Z7" i="20"/>
  <c r="P7" i="20"/>
  <c r="J7" i="20"/>
  <c r="I7" i="20" s="1"/>
  <c r="H7" i="20"/>
  <c r="A7" i="20"/>
  <c r="AL6" i="20"/>
  <c r="AJ6" i="20"/>
  <c r="AH6" i="20"/>
  <c r="AF6" i="20"/>
  <c r="P6" i="20"/>
  <c r="J6" i="20"/>
  <c r="I6" i="20" s="1"/>
  <c r="N3" i="20"/>
  <c r="M3" i="20"/>
  <c r="U28" i="20"/>
  <c r="S28" i="20"/>
  <c r="R28" i="20"/>
  <c r="Q28" i="20"/>
  <c r="AL27" i="20"/>
  <c r="AJ27" i="20"/>
  <c r="AH27" i="20"/>
  <c r="AF27" i="20"/>
  <c r="AD27" i="20"/>
  <c r="AB27" i="20"/>
  <c r="Z27" i="20"/>
  <c r="P27" i="20"/>
  <c r="J27" i="20"/>
  <c r="I27" i="20" s="1"/>
  <c r="AL26" i="20"/>
  <c r="AJ26" i="20"/>
  <c r="AH26" i="20"/>
  <c r="AF26" i="20"/>
  <c r="AD26" i="20"/>
  <c r="AB26" i="20"/>
  <c r="Z26" i="20"/>
  <c r="P26" i="20"/>
  <c r="J26" i="20"/>
  <c r="I26" i="20" s="1"/>
  <c r="AL25" i="20"/>
  <c r="AJ25" i="20"/>
  <c r="AH25" i="20"/>
  <c r="AF25" i="20"/>
  <c r="AD25" i="20"/>
  <c r="AB25" i="20"/>
  <c r="Z25" i="20"/>
  <c r="P25" i="20"/>
  <c r="I25" i="20"/>
  <c r="AL24" i="20"/>
  <c r="AJ24" i="20"/>
  <c r="AH24" i="20"/>
  <c r="AF24" i="20"/>
  <c r="AD24" i="20"/>
  <c r="AB24" i="20"/>
  <c r="Z24" i="20"/>
  <c r="P24" i="20"/>
  <c r="J24" i="20"/>
  <c r="I24" i="20" s="1"/>
  <c r="AL23" i="20"/>
  <c r="AJ23" i="20"/>
  <c r="AH23" i="20"/>
  <c r="AF23" i="20"/>
  <c r="AD23" i="20"/>
  <c r="AB23" i="20"/>
  <c r="Z23" i="20"/>
  <c r="P23" i="20"/>
  <c r="K23" i="20"/>
  <c r="J23" i="20"/>
  <c r="AL22" i="20"/>
  <c r="AJ22" i="20"/>
  <c r="AH22" i="20"/>
  <c r="AF22" i="20"/>
  <c r="AD22" i="20"/>
  <c r="AB22" i="20"/>
  <c r="Z22" i="20"/>
  <c r="P22" i="20"/>
  <c r="J22" i="20"/>
  <c r="I22" i="20" s="1"/>
  <c r="AL21" i="20"/>
  <c r="AJ21" i="20"/>
  <c r="AH21" i="20"/>
  <c r="AF21" i="20"/>
  <c r="AD21" i="20"/>
  <c r="AB21" i="20"/>
  <c r="Z21" i="20"/>
  <c r="P21" i="20"/>
  <c r="J21" i="20"/>
  <c r="I21" i="20" s="1"/>
  <c r="W20" i="20"/>
  <c r="AH20" i="20" s="1"/>
  <c r="P20" i="20"/>
  <c r="AL19" i="20"/>
  <c r="AJ19" i="20"/>
  <c r="AH19" i="20"/>
  <c r="AF19" i="20"/>
  <c r="AD19" i="20"/>
  <c r="AB19" i="20"/>
  <c r="Z19" i="20"/>
  <c r="P19" i="20"/>
  <c r="J19" i="20"/>
  <c r="I19" i="20" s="1"/>
  <c r="AL18" i="20"/>
  <c r="AJ18" i="20"/>
  <c r="AH18" i="20"/>
  <c r="AF18" i="20"/>
  <c r="AD18" i="20"/>
  <c r="AB18" i="20"/>
  <c r="Z18" i="20"/>
  <c r="P18" i="20"/>
  <c r="J18" i="20"/>
  <c r="I18" i="20" s="1"/>
  <c r="AL17" i="20"/>
  <c r="AJ17" i="20"/>
  <c r="AH17" i="20"/>
  <c r="AF17" i="20"/>
  <c r="AD17" i="20"/>
  <c r="AB17" i="20"/>
  <c r="Z17" i="20"/>
  <c r="P17" i="20"/>
  <c r="K17" i="20"/>
  <c r="J17" i="20"/>
  <c r="AL16" i="20"/>
  <c r="AJ16" i="20"/>
  <c r="AH16" i="20"/>
  <c r="AF16" i="20"/>
  <c r="AD16" i="20"/>
  <c r="AB16" i="20"/>
  <c r="Z16" i="20"/>
  <c r="AL15" i="20"/>
  <c r="AJ15" i="20"/>
  <c r="AH15" i="20"/>
  <c r="AF15" i="20"/>
  <c r="AD15" i="20"/>
  <c r="AB15" i="20"/>
  <c r="Z15" i="20"/>
  <c r="AL14" i="20"/>
  <c r="AJ14" i="20"/>
  <c r="AH14" i="20"/>
  <c r="AF14" i="20"/>
  <c r="AD14" i="20"/>
  <c r="AB14" i="20"/>
  <c r="Z14" i="20"/>
  <c r="AL13" i="20"/>
  <c r="AJ13" i="20"/>
  <c r="AH13" i="20"/>
  <c r="AF13" i="20"/>
  <c r="AD13" i="20"/>
  <c r="AB13" i="20"/>
  <c r="Z13" i="20"/>
  <c r="AL12" i="20"/>
  <c r="AJ12" i="20"/>
  <c r="AH12" i="20"/>
  <c r="AF12" i="20"/>
  <c r="AD12" i="20"/>
  <c r="AB12" i="20"/>
  <c r="Z12" i="20"/>
  <c r="AL11" i="20"/>
  <c r="AJ11" i="20"/>
  <c r="AH11" i="20"/>
  <c r="AF11" i="20"/>
  <c r="AD11" i="20"/>
  <c r="AB11" i="20"/>
  <c r="Z11" i="20"/>
  <c r="P11" i="20"/>
  <c r="J11" i="20"/>
  <c r="I11" i="20" s="1"/>
  <c r="AL10" i="20"/>
  <c r="AJ10" i="20"/>
  <c r="AH10" i="20"/>
  <c r="AF10" i="20"/>
  <c r="AD10" i="20"/>
  <c r="AB10" i="20"/>
  <c r="Z10" i="20"/>
  <c r="P10" i="20"/>
  <c r="J10" i="20"/>
  <c r="I10" i="20" s="1"/>
  <c r="AL9" i="20"/>
  <c r="AJ9" i="20"/>
  <c r="AH9" i="20"/>
  <c r="AF9" i="20"/>
  <c r="AD9" i="20"/>
  <c r="AB9" i="20"/>
  <c r="Z9" i="20"/>
  <c r="P9" i="20"/>
  <c r="K9" i="20"/>
  <c r="J9" i="20"/>
  <c r="AL8" i="20"/>
  <c r="AJ8" i="20"/>
  <c r="AH8" i="20"/>
  <c r="AF8" i="20"/>
  <c r="AD8" i="20"/>
  <c r="AB8" i="20"/>
  <c r="Z8" i="20"/>
  <c r="P8" i="20"/>
  <c r="I8" i="20"/>
  <c r="H8" i="20"/>
  <c r="A8" i="20"/>
  <c r="A9" i="20" s="1"/>
  <c r="P5" i="20"/>
  <c r="J5" i="20"/>
  <c r="I5" i="20" s="1"/>
  <c r="AL4" i="20"/>
  <c r="AJ4" i="20"/>
  <c r="AH4" i="20"/>
  <c r="AF4" i="20"/>
  <c r="AD4" i="20"/>
  <c r="AB4" i="20"/>
  <c r="Z4" i="20"/>
  <c r="P4" i="20"/>
  <c r="N2" i="19"/>
  <c r="M2" i="19"/>
  <c r="AL19" i="19"/>
  <c r="AL18" i="19" s="1"/>
  <c r="AJ19" i="19"/>
  <c r="AJ18" i="19" s="1"/>
  <c r="AH19" i="19"/>
  <c r="AH18" i="19" s="1"/>
  <c r="AF19" i="19"/>
  <c r="AF18" i="19" s="1"/>
  <c r="AD19" i="19"/>
  <c r="AD18" i="19" s="1"/>
  <c r="AB19" i="19"/>
  <c r="AB18" i="19" s="1"/>
  <c r="Z19" i="19"/>
  <c r="P19" i="19"/>
  <c r="P18" i="19" s="1"/>
  <c r="J19" i="19"/>
  <c r="J18" i="19" s="1"/>
  <c r="H19" i="19"/>
  <c r="W18" i="19"/>
  <c r="K18" i="19"/>
  <c r="I18" i="19"/>
  <c r="AL17" i="19"/>
  <c r="AJ17" i="19"/>
  <c r="AH17" i="19"/>
  <c r="AF17" i="19"/>
  <c r="AD17" i="19"/>
  <c r="AB17" i="19"/>
  <c r="Z17" i="19"/>
  <c r="P17" i="19"/>
  <c r="J17" i="19"/>
  <c r="I17" i="19" s="1"/>
  <c r="H17" i="19"/>
  <c r="AL16" i="19"/>
  <c r="AJ16" i="19"/>
  <c r="AH16" i="19"/>
  <c r="AF16" i="19"/>
  <c r="AD16" i="19"/>
  <c r="AB16" i="19"/>
  <c r="Z16" i="19"/>
  <c r="P16" i="19"/>
  <c r="K16" i="19"/>
  <c r="J16" i="19"/>
  <c r="H16" i="19"/>
  <c r="AL15" i="19"/>
  <c r="AJ15" i="19"/>
  <c r="AH15" i="19"/>
  <c r="AF15" i="19"/>
  <c r="AD15" i="19"/>
  <c r="AB15" i="19"/>
  <c r="Z15" i="19"/>
  <c r="T15" i="19"/>
  <c r="P15" i="19"/>
  <c r="J15" i="19"/>
  <c r="I15" i="19" s="1"/>
  <c r="H15" i="19"/>
  <c r="AL14" i="19"/>
  <c r="AJ14" i="19"/>
  <c r="AH14" i="19"/>
  <c r="AF14" i="19"/>
  <c r="AD14" i="19"/>
  <c r="AB14" i="19"/>
  <c r="Z14" i="19"/>
  <c r="P14" i="19"/>
  <c r="J14" i="19"/>
  <c r="I14" i="19" s="1"/>
  <c r="H14" i="19"/>
  <c r="P13" i="19"/>
  <c r="H13" i="19"/>
  <c r="P12" i="19"/>
  <c r="H12" i="19"/>
  <c r="AL11" i="19"/>
  <c r="AJ11" i="19"/>
  <c r="AH11" i="19"/>
  <c r="AF11" i="19"/>
  <c r="AD11" i="19"/>
  <c r="AB11" i="19"/>
  <c r="Z11" i="19"/>
  <c r="P11" i="19"/>
  <c r="J11" i="19"/>
  <c r="I11" i="19" s="1"/>
  <c r="H11" i="19"/>
  <c r="AL10" i="19"/>
  <c r="AJ10" i="19"/>
  <c r="AH10" i="19"/>
  <c r="AF10" i="19"/>
  <c r="AD10" i="19"/>
  <c r="AB10" i="19"/>
  <c r="Z10" i="19"/>
  <c r="P10" i="19"/>
  <c r="K10" i="19"/>
  <c r="J10" i="19"/>
  <c r="H10" i="19"/>
  <c r="AL9" i="19"/>
  <c r="AJ9" i="19"/>
  <c r="AH9" i="19"/>
  <c r="AF9" i="19"/>
  <c r="AD9" i="19"/>
  <c r="AB9" i="19"/>
  <c r="Z9" i="19"/>
  <c r="P9" i="19"/>
  <c r="K9" i="19"/>
  <c r="J9" i="19"/>
  <c r="H9" i="19"/>
  <c r="AL8" i="19"/>
  <c r="AJ8" i="19"/>
  <c r="AH8" i="19"/>
  <c r="AF8" i="19"/>
  <c r="AD8" i="19"/>
  <c r="AB8" i="19"/>
  <c r="Z8" i="19"/>
  <c r="P8" i="19"/>
  <c r="K8" i="19"/>
  <c r="J8" i="19"/>
  <c r="H8" i="19"/>
  <c r="AL7" i="19"/>
  <c r="AJ7" i="19"/>
  <c r="AH7" i="19"/>
  <c r="AF7" i="19"/>
  <c r="AD7" i="19"/>
  <c r="AB7" i="19"/>
  <c r="Z7" i="19"/>
  <c r="P7" i="19"/>
  <c r="K7" i="19"/>
  <c r="J7" i="19"/>
  <c r="H7" i="19"/>
  <c r="AL5" i="19"/>
  <c r="AJ5" i="19"/>
  <c r="AH5" i="19"/>
  <c r="AF5" i="19"/>
  <c r="AD5" i="19"/>
  <c r="AB5" i="19"/>
  <c r="Z5" i="19"/>
  <c r="P5" i="19"/>
  <c r="K5" i="19"/>
  <c r="J5" i="19"/>
  <c r="H5" i="19"/>
  <c r="AL4" i="19"/>
  <c r="AJ4" i="19"/>
  <c r="AH4" i="19"/>
  <c r="AF4" i="19"/>
  <c r="AD4" i="19"/>
  <c r="AB4" i="19"/>
  <c r="Z4" i="19"/>
  <c r="P4" i="19"/>
  <c r="K4" i="19"/>
  <c r="J4" i="19"/>
  <c r="T330" i="2" l="1"/>
  <c r="N330" i="2"/>
  <c r="I9" i="19"/>
  <c r="N334" i="2"/>
  <c r="N137" i="2"/>
  <c r="N213" i="2"/>
  <c r="N215" i="2"/>
  <c r="N83" i="2"/>
  <c r="N212" i="2"/>
  <c r="Q83" i="2"/>
  <c r="N134" i="2"/>
  <c r="T134" i="2"/>
  <c r="I7" i="19"/>
  <c r="X19" i="19"/>
  <c r="X18" i="19" s="1"/>
  <c r="I5" i="19"/>
  <c r="O15" i="19"/>
  <c r="N15" i="19" s="1"/>
  <c r="Z18" i="19"/>
  <c r="I16" i="19"/>
  <c r="X6" i="19"/>
  <c r="X7" i="20"/>
  <c r="X14" i="19"/>
  <c r="X8" i="19"/>
  <c r="X15" i="19"/>
  <c r="X10" i="20"/>
  <c r="X11" i="19"/>
  <c r="X16" i="19"/>
  <c r="I4" i="19"/>
  <c r="X17" i="19"/>
  <c r="P3" i="19"/>
  <c r="P20" i="19" s="1"/>
  <c r="I8" i="19"/>
  <c r="I14" i="20"/>
  <c r="X19" i="20"/>
  <c r="I12" i="20"/>
  <c r="I15" i="20"/>
  <c r="I13" i="20"/>
  <c r="X6" i="20"/>
  <c r="X5" i="20"/>
  <c r="I17" i="20"/>
  <c r="Z20" i="20"/>
  <c r="Z28" i="20" s="1"/>
  <c r="X23" i="20"/>
  <c r="H9" i="20"/>
  <c r="P28" i="20"/>
  <c r="K28" i="20"/>
  <c r="I23" i="20"/>
  <c r="X9" i="20"/>
  <c r="X13" i="20"/>
  <c r="AB20" i="20"/>
  <c r="AB28" i="20" s="1"/>
  <c r="X26" i="20"/>
  <c r="X4" i="20"/>
  <c r="AF20" i="20"/>
  <c r="AF28" i="20" s="1"/>
  <c r="X27" i="20"/>
  <c r="X14" i="20"/>
  <c r="X18" i="20"/>
  <c r="AJ20" i="20"/>
  <c r="AJ28" i="20" s="1"/>
  <c r="AH28" i="20"/>
  <c r="X11" i="20"/>
  <c r="X15" i="20"/>
  <c r="J20" i="20"/>
  <c r="I20" i="20" s="1"/>
  <c r="X22" i="20"/>
  <c r="X24" i="20"/>
  <c r="X8" i="20"/>
  <c r="I9" i="20"/>
  <c r="X17" i="20"/>
  <c r="X25" i="20"/>
  <c r="X12" i="20"/>
  <c r="X16" i="20"/>
  <c r="X21" i="20"/>
  <c r="H10" i="20"/>
  <c r="A10" i="20"/>
  <c r="AL20" i="20"/>
  <c r="AL28" i="20" s="1"/>
  <c r="AD20" i="20"/>
  <c r="W28" i="20"/>
  <c r="I10" i="19"/>
  <c r="X10" i="19"/>
  <c r="X9" i="19"/>
  <c r="X7" i="19"/>
  <c r="X5" i="19"/>
  <c r="X4" i="19"/>
  <c r="M15" i="19" l="1"/>
  <c r="L15" i="19" s="1"/>
  <c r="I28" i="20"/>
  <c r="X20" i="20"/>
  <c r="J28" i="20"/>
  <c r="H11" i="20"/>
  <c r="A11" i="20"/>
  <c r="H12" i="20" s="1"/>
  <c r="AD28" i="20"/>
  <c r="X28" i="20" l="1"/>
  <c r="A12" i="20"/>
  <c r="H13" i="20" s="1"/>
  <c r="A13" i="20" l="1"/>
  <c r="H14" i="20" l="1"/>
  <c r="H16" i="20"/>
  <c r="A14" i="20"/>
  <c r="H15" i="20" s="1"/>
  <c r="A15" i="20" l="1"/>
  <c r="N159" i="2"/>
  <c r="N160" i="2"/>
  <c r="N156" i="2"/>
  <c r="N155" i="2"/>
  <c r="N154" i="2"/>
  <c r="BP153" i="2"/>
  <c r="BO153" i="2"/>
  <c r="BN153" i="2"/>
  <c r="BM153" i="2"/>
  <c r="BL153" i="2"/>
  <c r="BK153" i="2"/>
  <c r="BJ153" i="2"/>
  <c r="BI153" i="2"/>
  <c r="BH153" i="2"/>
  <c r="BG153" i="2"/>
  <c r="BF153" i="2"/>
  <c r="BE153" i="2"/>
  <c r="BD153" i="2"/>
  <c r="BC153" i="2"/>
  <c r="BB153" i="2"/>
  <c r="AZ153" i="2"/>
  <c r="AY153" i="2"/>
  <c r="AX153" i="2"/>
  <c r="AW153" i="2"/>
  <c r="AS153" i="2"/>
  <c r="AM153" i="2"/>
  <c r="C57" i="11"/>
  <c r="J57" i="11" s="1"/>
  <c r="C56" i="11"/>
  <c r="J56" i="11" s="1"/>
  <c r="C55" i="11"/>
  <c r="J55" i="11" s="1"/>
  <c r="C54" i="11"/>
  <c r="J54" i="11" s="1"/>
  <c r="C53" i="11"/>
  <c r="J53" i="11" s="1"/>
  <c r="C52" i="11"/>
  <c r="J52" i="11" s="1"/>
  <c r="C51" i="11"/>
  <c r="J51" i="11" s="1"/>
  <c r="C48" i="11"/>
  <c r="J48" i="11" s="1"/>
  <c r="C47" i="11"/>
  <c r="J47" i="11" s="1"/>
  <c r="C46" i="11"/>
  <c r="J46" i="11" s="1"/>
  <c r="C45" i="11"/>
  <c r="J45" i="11" s="1"/>
  <c r="C44" i="11"/>
  <c r="J44" i="11" s="1"/>
  <c r="C43" i="11"/>
  <c r="J43" i="11" s="1"/>
  <c r="C42" i="11"/>
  <c r="J42" i="11" s="1"/>
  <c r="C32" i="11"/>
  <c r="J32" i="11" s="1"/>
  <c r="C40" i="11"/>
  <c r="J40" i="11" s="1"/>
  <c r="C39" i="11"/>
  <c r="J39" i="11" s="1"/>
  <c r="C38" i="11"/>
  <c r="J38" i="11" s="1"/>
  <c r="C37" i="11"/>
  <c r="J37" i="11" s="1"/>
  <c r="C36" i="11"/>
  <c r="J36" i="11" s="1"/>
  <c r="C35" i="11"/>
  <c r="J35" i="11" s="1"/>
  <c r="C34" i="11"/>
  <c r="J34" i="11" s="1"/>
  <c r="C27" i="11"/>
  <c r="J27" i="11" s="1"/>
  <c r="C28" i="11"/>
  <c r="J28" i="11" s="1"/>
  <c r="C29" i="11"/>
  <c r="J29" i="11" s="1"/>
  <c r="C30" i="11"/>
  <c r="J30" i="11" s="1"/>
  <c r="C31" i="11"/>
  <c r="J31" i="11" s="1"/>
  <c r="C26" i="11"/>
  <c r="J26" i="11" s="1"/>
  <c r="N50" i="11"/>
  <c r="M50" i="11"/>
  <c r="L50" i="11"/>
  <c r="H50" i="11"/>
  <c r="F50" i="11"/>
  <c r="N41" i="11"/>
  <c r="M41" i="11"/>
  <c r="L41" i="11"/>
  <c r="H41" i="11"/>
  <c r="F41" i="11"/>
  <c r="H33" i="11"/>
  <c r="L33" i="11"/>
  <c r="M33" i="11"/>
  <c r="N33" i="11"/>
  <c r="F33" i="11"/>
  <c r="H25" i="11"/>
  <c r="L25" i="11"/>
  <c r="M25" i="11"/>
  <c r="N25" i="11"/>
  <c r="F25" i="11"/>
  <c r="E188" i="18"/>
  <c r="E189" i="18" s="1"/>
  <c r="E190" i="18" s="1"/>
  <c r="E191" i="18" s="1"/>
  <c r="E192" i="18" s="1"/>
  <c r="E193" i="18" s="1"/>
  <c r="E194" i="18" s="1"/>
  <c r="E195" i="18" s="1"/>
  <c r="E196" i="18" s="1"/>
  <c r="E178" i="18"/>
  <c r="E179" i="18" s="1"/>
  <c r="E180" i="18" s="1"/>
  <c r="E181" i="18" s="1"/>
  <c r="E182" i="18" s="1"/>
  <c r="E183" i="18" s="1"/>
  <c r="E184" i="18" s="1"/>
  <c r="E185" i="18" s="1"/>
  <c r="E186" i="18" s="1"/>
  <c r="E150" i="18"/>
  <c r="E149" i="18"/>
  <c r="E148" i="18"/>
  <c r="E147" i="18"/>
  <c r="E142" i="18"/>
  <c r="E141" i="18"/>
  <c r="E140" i="18"/>
  <c r="E139" i="18"/>
  <c r="E130" i="18"/>
  <c r="E129" i="18"/>
  <c r="E128" i="18"/>
  <c r="E12" i="18"/>
  <c r="E11" i="18"/>
  <c r="J5" i="18"/>
  <c r="J25" i="11" l="1"/>
  <c r="J50" i="11"/>
  <c r="J33" i="11"/>
  <c r="J41" i="11"/>
  <c r="A16" i="20"/>
  <c r="Z153" i="2"/>
  <c r="AA153" i="2"/>
  <c r="U153" i="2"/>
  <c r="W153" i="2" s="1"/>
  <c r="R153" i="2"/>
  <c r="T153" i="2" s="1"/>
  <c r="X153" i="2"/>
  <c r="O153" i="2"/>
  <c r="Q153" i="2" s="1"/>
  <c r="L49" i="11"/>
  <c r="L58" i="11" s="1"/>
  <c r="N49" i="11"/>
  <c r="N58" i="11" s="1"/>
  <c r="M49" i="11"/>
  <c r="M58" i="11" s="1"/>
  <c r="H49" i="11"/>
  <c r="H58" i="11" s="1"/>
  <c r="F49" i="11"/>
  <c r="F58" i="11" s="1"/>
  <c r="F196" i="16"/>
  <c r="F250" i="16"/>
  <c r="F249" i="16"/>
  <c r="F248" i="16"/>
  <c r="F247" i="16"/>
  <c r="F246" i="16"/>
  <c r="F245" i="16"/>
  <c r="F244" i="16"/>
  <c r="F243" i="16"/>
  <c r="F242" i="16"/>
  <c r="F241" i="16"/>
  <c r="F239" i="16"/>
  <c r="F238" i="16"/>
  <c r="F237" i="16"/>
  <c r="F236" i="16"/>
  <c r="F235" i="16"/>
  <c r="F234" i="16"/>
  <c r="F233" i="16"/>
  <c r="F232" i="16"/>
  <c r="F231" i="16"/>
  <c r="F230" i="16"/>
  <c r="F229" i="16"/>
  <c r="F228" i="16"/>
  <c r="F227" i="16"/>
  <c r="F226" i="16"/>
  <c r="F224" i="16"/>
  <c r="F223" i="16"/>
  <c r="F222" i="16"/>
  <c r="F221" i="16"/>
  <c r="F220" i="16"/>
  <c r="F219" i="16"/>
  <c r="F218" i="16"/>
  <c r="F217" i="16"/>
  <c r="F216" i="16"/>
  <c r="F215" i="16"/>
  <c r="F214" i="16"/>
  <c r="F213" i="16"/>
  <c r="F212" i="16"/>
  <c r="F211" i="16"/>
  <c r="F209" i="16"/>
  <c r="F208" i="16"/>
  <c r="F207" i="16"/>
  <c r="F206" i="16"/>
  <c r="F205" i="16"/>
  <c r="F204" i="16"/>
  <c r="F203" i="16"/>
  <c r="F202" i="16"/>
  <c r="F201" i="16"/>
  <c r="F200" i="16"/>
  <c r="F199" i="16"/>
  <c r="F198" i="16"/>
  <c r="F197" i="16"/>
  <c r="F193" i="16"/>
  <c r="F192" i="16"/>
  <c r="F191" i="16"/>
  <c r="F190" i="16"/>
  <c r="F188" i="16"/>
  <c r="F187" i="16"/>
  <c r="F184" i="16"/>
  <c r="F183" i="16"/>
  <c r="F172" i="16"/>
  <c r="F171" i="16"/>
  <c r="F170" i="16"/>
  <c r="F169" i="16"/>
  <c r="F168" i="16"/>
  <c r="F167" i="16"/>
  <c r="F166" i="16"/>
  <c r="F165" i="16"/>
  <c r="F164" i="16"/>
  <c r="F163" i="16"/>
  <c r="F162" i="16"/>
  <c r="F161" i="16"/>
  <c r="F160" i="16"/>
  <c r="F159" i="16"/>
  <c r="F158" i="16"/>
  <c r="F157" i="16"/>
  <c r="F156" i="16"/>
  <c r="F155" i="16"/>
  <c r="F154" i="16"/>
  <c r="F153" i="16"/>
  <c r="F152" i="16"/>
  <c r="F151" i="16"/>
  <c r="F150" i="16"/>
  <c r="F149" i="16"/>
  <c r="F148" i="16"/>
  <c r="F146" i="16"/>
  <c r="F145" i="16"/>
  <c r="F144"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20" i="16"/>
  <c r="F119" i="16"/>
  <c r="F118" i="16"/>
  <c r="F117" i="16"/>
  <c r="F112" i="16"/>
  <c r="F111" i="16"/>
  <c r="F110" i="16"/>
  <c r="F103" i="16"/>
  <c r="F102" i="16"/>
  <c r="F101" i="16"/>
  <c r="F100" i="16"/>
  <c r="F99" i="16"/>
  <c r="F98" i="16"/>
  <c r="F97" i="16"/>
  <c r="F96" i="16"/>
  <c r="F95" i="16"/>
  <c r="F94" i="16"/>
  <c r="F93" i="16"/>
  <c r="F92" i="16"/>
  <c r="F91" i="16"/>
  <c r="F90" i="16"/>
  <c r="F89" i="16"/>
  <c r="F88" i="16"/>
  <c r="F87" i="16"/>
  <c r="F86" i="16"/>
  <c r="F85" i="16"/>
  <c r="F83" i="16"/>
  <c r="F82" i="16"/>
  <c r="F81" i="16"/>
  <c r="F80" i="16"/>
  <c r="F79" i="16"/>
  <c r="F78" i="16"/>
  <c r="F77" i="16"/>
  <c r="F76" i="16"/>
  <c r="F75" i="16"/>
  <c r="F74" i="16"/>
  <c r="F73" i="16"/>
  <c r="F72" i="16"/>
  <c r="F71" i="16"/>
  <c r="F70" i="16"/>
  <c r="F67" i="16"/>
  <c r="F66" i="16"/>
  <c r="F65" i="16"/>
  <c r="F64" i="16"/>
  <c r="F63" i="16"/>
  <c r="F62" i="16"/>
  <c r="F61" i="16"/>
  <c r="F60" i="16"/>
  <c r="F59" i="16"/>
  <c r="F58" i="16"/>
  <c r="F57" i="16"/>
  <c r="F56" i="16"/>
  <c r="F47" i="16"/>
  <c r="F46" i="16"/>
  <c r="F45" i="16"/>
  <c r="F44" i="16"/>
  <c r="F43" i="16"/>
  <c r="F42" i="16"/>
  <c r="F41" i="16"/>
  <c r="F40" i="16"/>
  <c r="F39" i="16"/>
  <c r="F38" i="16"/>
  <c r="F37" i="16"/>
  <c r="F36" i="16"/>
  <c r="F35" i="16"/>
  <c r="F34" i="16"/>
  <c r="F32" i="16"/>
  <c r="F31" i="16"/>
  <c r="F30" i="16"/>
  <c r="F29" i="16"/>
  <c r="F28" i="16"/>
  <c r="F27" i="16"/>
  <c r="F26" i="16"/>
  <c r="F25" i="16"/>
  <c r="F24" i="16"/>
  <c r="F23" i="16"/>
  <c r="F22" i="16"/>
  <c r="F21" i="16"/>
  <c r="F20" i="16"/>
  <c r="F19" i="16"/>
  <c r="F17" i="16"/>
  <c r="F16" i="16"/>
  <c r="F15" i="16"/>
  <c r="F14" i="16"/>
  <c r="F13" i="16"/>
  <c r="F12" i="16"/>
  <c r="F11" i="16"/>
  <c r="F10" i="16"/>
  <c r="F9" i="16"/>
  <c r="F8" i="16"/>
  <c r="F7" i="16"/>
  <c r="F6" i="16"/>
  <c r="F5" i="16"/>
  <c r="F4" i="16"/>
  <c r="AC6" i="2"/>
  <c r="E147" i="16"/>
  <c r="F147" i="16" s="1"/>
  <c r="J49" i="11" l="1"/>
  <c r="J58" i="11" s="1"/>
  <c r="H17" i="20"/>
  <c r="A17" i="20"/>
  <c r="N153" i="2"/>
  <c r="C49" i="14"/>
  <c r="C49" i="13"/>
  <c r="C49" i="12"/>
  <c r="D7" i="1"/>
  <c r="C40" i="1"/>
  <c r="N294" i="2"/>
  <c r="N293" i="2"/>
  <c r="N292" i="2"/>
  <c r="N291" i="2"/>
  <c r="N290" i="2"/>
  <c r="N289" i="2"/>
  <c r="N288" i="2"/>
  <c r="N287" i="2"/>
  <c r="N286" i="2"/>
  <c r="N284" i="2"/>
  <c r="N283" i="2"/>
  <c r="N282" i="2"/>
  <c r="N280" i="2"/>
  <c r="N279" i="2"/>
  <c r="N278" i="2"/>
  <c r="N277" i="2"/>
  <c r="N276" i="2"/>
  <c r="N275" i="2"/>
  <c r="N274" i="2"/>
  <c r="N273" i="2"/>
  <c r="N272" i="2"/>
  <c r="N271" i="2"/>
  <c r="N269" i="2"/>
  <c r="N268" i="2"/>
  <c r="N267" i="2"/>
  <c r="N266" i="2"/>
  <c r="N259" i="2"/>
  <c r="N258" i="2"/>
  <c r="N256" i="2"/>
  <c r="N249" i="2"/>
  <c r="N248" i="2"/>
  <c r="N246" i="2"/>
  <c r="N244" i="2"/>
  <c r="N243" i="2"/>
  <c r="N242" i="2"/>
  <c r="N239" i="2"/>
  <c r="N238" i="2"/>
  <c r="N237" i="2"/>
  <c r="N236" i="2"/>
  <c r="N235" i="2"/>
  <c r="N233" i="2"/>
  <c r="N232" i="2"/>
  <c r="N231" i="2"/>
  <c r="N230" i="2"/>
  <c r="N229" i="2"/>
  <c r="N228" i="2"/>
  <c r="N226" i="2"/>
  <c r="N225" i="2"/>
  <c r="N224" i="2"/>
  <c r="N223" i="2"/>
  <c r="N222" i="2"/>
  <c r="N221" i="2"/>
  <c r="N220" i="2"/>
  <c r="N219" i="2"/>
  <c r="N208" i="2"/>
  <c r="N207" i="2"/>
  <c r="N206" i="2"/>
  <c r="N205" i="2"/>
  <c r="N204" i="2"/>
  <c r="N203" i="2"/>
  <c r="N202" i="2"/>
  <c r="N201" i="2"/>
  <c r="N199" i="2"/>
  <c r="N198" i="2"/>
  <c r="N197" i="2"/>
  <c r="N196" i="2"/>
  <c r="N195" i="2"/>
  <c r="N194" i="2"/>
  <c r="N193" i="2"/>
  <c r="N192" i="2"/>
  <c r="N191" i="2"/>
  <c r="N189" i="2"/>
  <c r="N188" i="2"/>
  <c r="N186" i="2"/>
  <c r="N185" i="2"/>
  <c r="N184" i="2"/>
  <c r="N182" i="2"/>
  <c r="N181" i="2"/>
  <c r="N180" i="2"/>
  <c r="N179" i="2"/>
  <c r="N174" i="2"/>
  <c r="N173" i="2"/>
  <c r="N172" i="2"/>
  <c r="N171" i="2"/>
  <c r="N162" i="2"/>
  <c r="N169" i="2"/>
  <c r="N168" i="2"/>
  <c r="N167" i="2"/>
  <c r="N150" i="2"/>
  <c r="N145" i="2"/>
  <c r="N143" i="2"/>
  <c r="N142" i="2"/>
  <c r="N140" i="2"/>
  <c r="N119" i="2"/>
  <c r="N139" i="2"/>
  <c r="N138" i="2"/>
  <c r="N240" i="2"/>
  <c r="N133" i="2"/>
  <c r="N132" i="2"/>
  <c r="N131" i="2"/>
  <c r="N129" i="2"/>
  <c r="N127" i="2"/>
  <c r="N126" i="2"/>
  <c r="N125" i="2"/>
  <c r="N124" i="2"/>
  <c r="N123" i="2"/>
  <c r="N122" i="2"/>
  <c r="N121" i="2"/>
  <c r="N118" i="2"/>
  <c r="N117" i="2"/>
  <c r="N116" i="2"/>
  <c r="N114" i="2"/>
  <c r="N113" i="2"/>
  <c r="N112" i="2"/>
  <c r="N111" i="2"/>
  <c r="N110" i="2"/>
  <c r="N109" i="2"/>
  <c r="N108" i="2"/>
  <c r="N106" i="2"/>
  <c r="N105" i="2"/>
  <c r="N104" i="2"/>
  <c r="N103" i="2"/>
  <c r="N102" i="2"/>
  <c r="N98" i="2"/>
  <c r="N96" i="2"/>
  <c r="N95" i="2"/>
  <c r="N94" i="2"/>
  <c r="N92" i="2"/>
  <c r="N91" i="2"/>
  <c r="N90" i="2"/>
  <c r="N89" i="2"/>
  <c r="N82" i="2"/>
  <c r="N81" i="2"/>
  <c r="N80" i="2"/>
  <c r="N78" i="2"/>
  <c r="N77" i="2"/>
  <c r="N76" i="2"/>
  <c r="N74" i="2"/>
  <c r="N73" i="2"/>
  <c r="N72" i="2"/>
  <c r="N71" i="2"/>
  <c r="N70" i="2"/>
  <c r="N69" i="2"/>
  <c r="N63" i="2"/>
  <c r="N62" i="2"/>
  <c r="N60" i="2"/>
  <c r="N58" i="2"/>
  <c r="N57" i="2"/>
  <c r="N56" i="2"/>
  <c r="N55" i="2"/>
  <c r="N53" i="2"/>
  <c r="N52" i="2"/>
  <c r="N51" i="2"/>
  <c r="N49" i="2"/>
  <c r="N48" i="2"/>
  <c r="N47" i="2"/>
  <c r="N46" i="2"/>
  <c r="N45" i="2"/>
  <c r="N44" i="2"/>
  <c r="N43" i="2"/>
  <c r="N42" i="2"/>
  <c r="N41" i="2"/>
  <c r="N40" i="2"/>
  <c r="N36" i="2"/>
  <c r="N35" i="2"/>
  <c r="N34" i="2"/>
  <c r="N32" i="2"/>
  <c r="N30" i="2"/>
  <c r="N29" i="2"/>
  <c r="N28" i="2"/>
  <c r="N26" i="2"/>
  <c r="N25" i="2"/>
  <c r="N24" i="2"/>
  <c r="N23" i="2"/>
  <c r="N22" i="2"/>
  <c r="N21" i="2"/>
  <c r="N19" i="2"/>
  <c r="N18" i="2"/>
  <c r="N16" i="2"/>
  <c r="N15" i="2"/>
  <c r="A18" i="20" l="1"/>
  <c r="H18" i="20"/>
  <c r="E7" i="14"/>
  <c r="G48" i="14" s="1"/>
  <c r="H48" i="14" s="1"/>
  <c r="D7" i="14"/>
  <c r="E6" i="14"/>
  <c r="G47" i="14" s="1"/>
  <c r="H47" i="14" s="1"/>
  <c r="D6" i="14"/>
  <c r="E5" i="14"/>
  <c r="G46" i="14" s="1"/>
  <c r="H46" i="14" s="1"/>
  <c r="D5" i="14"/>
  <c r="E7" i="13"/>
  <c r="G48" i="13" s="1"/>
  <c r="H48" i="13" s="1"/>
  <c r="D7" i="13"/>
  <c r="E6" i="13"/>
  <c r="G47" i="13" s="1"/>
  <c r="H47" i="13" s="1"/>
  <c r="D6" i="13"/>
  <c r="E5" i="13"/>
  <c r="G46" i="13" s="1"/>
  <c r="H46" i="13" s="1"/>
  <c r="D5" i="13"/>
  <c r="E7" i="12"/>
  <c r="G48" i="12" s="1"/>
  <c r="H48" i="12" s="1"/>
  <c r="D7" i="12"/>
  <c r="E6" i="12"/>
  <c r="G47" i="12" s="1"/>
  <c r="H47" i="12" s="1"/>
  <c r="D6" i="12"/>
  <c r="E5" i="12"/>
  <c r="G46" i="12" s="1"/>
  <c r="H46" i="12" s="1"/>
  <c r="D5" i="12"/>
  <c r="H19" i="20" l="1"/>
  <c r="A19" i="20"/>
  <c r="C7" i="13"/>
  <c r="E48" i="13" s="1"/>
  <c r="F48" i="13" s="1"/>
  <c r="E4" i="12"/>
  <c r="E4" i="13"/>
  <c r="C7" i="14"/>
  <c r="D4" i="13"/>
  <c r="C6" i="13"/>
  <c r="E47" i="13" s="1"/>
  <c r="F47" i="13" s="1"/>
  <c r="D4" i="14"/>
  <c r="C7" i="12"/>
  <c r="E48" i="12" s="1"/>
  <c r="F48" i="12" s="1"/>
  <c r="E4" i="14"/>
  <c r="C5" i="14"/>
  <c r="C5" i="13"/>
  <c r="C5" i="12"/>
  <c r="C6" i="14"/>
  <c r="E47" i="14" s="1"/>
  <c r="F47" i="14" s="1"/>
  <c r="D4" i="12"/>
  <c r="C6" i="12"/>
  <c r="E47" i="12" s="1"/>
  <c r="F47" i="12" s="1"/>
  <c r="Y85" i="1"/>
  <c r="E46" i="12" l="1"/>
  <c r="F46" i="12" s="1"/>
  <c r="E46" i="14"/>
  <c r="F46" i="14" s="1"/>
  <c r="E46" i="13"/>
  <c r="F46" i="13" s="1"/>
  <c r="E48" i="14"/>
  <c r="F48" i="14" s="1"/>
  <c r="H20" i="20"/>
  <c r="A20" i="20"/>
  <c r="C4" i="14"/>
  <c r="C4" i="13"/>
  <c r="C4" i="12"/>
  <c r="A21" i="20" l="1"/>
  <c r="H21" i="20"/>
  <c r="A22" i="20" l="1"/>
  <c r="H22" i="20"/>
  <c r="O93" i="2"/>
  <c r="C50" i="10"/>
  <c r="C36" i="10"/>
  <c r="G49" i="10"/>
  <c r="H49" i="10" s="1"/>
  <c r="G48" i="10"/>
  <c r="H48" i="10" s="1"/>
  <c r="G47" i="10"/>
  <c r="H47" i="10" s="1"/>
  <c r="AL2" i="2"/>
  <c r="D2" i="14" s="1"/>
  <c r="E2" i="14" s="1"/>
  <c r="AI2" i="2"/>
  <c r="D2" i="13" s="1"/>
  <c r="E2" i="13" s="1"/>
  <c r="AF2" i="2"/>
  <c r="D2" i="12" s="1"/>
  <c r="E2" i="12" s="1"/>
  <c r="D2" i="1"/>
  <c r="E2" i="1" s="1"/>
  <c r="E7" i="1"/>
  <c r="G49" i="1" s="1"/>
  <c r="H49" i="1" s="1"/>
  <c r="E6" i="1"/>
  <c r="G48" i="1" s="1"/>
  <c r="H48" i="1" s="1"/>
  <c r="D6" i="1"/>
  <c r="E5" i="1"/>
  <c r="G47" i="1" s="1"/>
  <c r="H47" i="1" s="1"/>
  <c r="D5" i="1"/>
  <c r="AL7" i="2"/>
  <c r="AL6" i="2"/>
  <c r="AL5" i="2"/>
  <c r="AN4" i="2"/>
  <c r="AM4" i="2"/>
  <c r="AI7" i="2"/>
  <c r="AI6" i="2"/>
  <c r="AI5" i="2"/>
  <c r="AK4" i="2"/>
  <c r="AJ4" i="2"/>
  <c r="M62" i="11" s="1"/>
  <c r="AF7" i="2"/>
  <c r="AF6" i="2"/>
  <c r="AF5" i="2"/>
  <c r="AH4" i="2"/>
  <c r="AG4" i="2"/>
  <c r="L62" i="11" s="1"/>
  <c r="AC7" i="2"/>
  <c r="AC5" i="2"/>
  <c r="AE4" i="2"/>
  <c r="AD4" i="2"/>
  <c r="C61" i="14" l="1"/>
  <c r="C61" i="13"/>
  <c r="C61" i="12"/>
  <c r="C62" i="1"/>
  <c r="H23" i="20"/>
  <c r="A23" i="20"/>
  <c r="F62" i="11"/>
  <c r="J62" i="11"/>
  <c r="H62" i="11"/>
  <c r="AL4" i="2"/>
  <c r="C67" i="12"/>
  <c r="C67" i="14"/>
  <c r="C66" i="12"/>
  <c r="C62" i="13"/>
  <c r="C66" i="14"/>
  <c r="C63" i="12"/>
  <c r="C63" i="14"/>
  <c r="C62" i="12"/>
  <c r="C62" i="14"/>
  <c r="C67" i="13"/>
  <c r="C66" i="13"/>
  <c r="C63" i="13"/>
  <c r="C63" i="10"/>
  <c r="C62" i="10"/>
  <c r="C5" i="10"/>
  <c r="E47" i="10" s="1"/>
  <c r="F47" i="10" s="1"/>
  <c r="E4" i="10"/>
  <c r="C7" i="10"/>
  <c r="C6" i="10"/>
  <c r="E48" i="10" s="1"/>
  <c r="F48" i="10" s="1"/>
  <c r="AC4" i="2"/>
  <c r="D4" i="10"/>
  <c r="C64" i="10"/>
  <c r="AI4" i="2"/>
  <c r="AF4" i="2"/>
  <c r="Y87" i="1"/>
  <c r="W13" i="19" l="1"/>
  <c r="E49" i="10"/>
  <c r="F49" i="10" s="1"/>
  <c r="H24" i="20"/>
  <c r="A24" i="20"/>
  <c r="C4" i="10"/>
  <c r="W12" i="19" l="1"/>
  <c r="AD13" i="19"/>
  <c r="AL13" i="19"/>
  <c r="Z13" i="19"/>
  <c r="AB13" i="19"/>
  <c r="AH13" i="19"/>
  <c r="AJ13" i="19"/>
  <c r="AF13" i="19"/>
  <c r="J13" i="19"/>
  <c r="I13" i="19" s="1"/>
  <c r="A25" i="20"/>
  <c r="H26" i="20"/>
  <c r="H25" i="20"/>
  <c r="X13" i="19" l="1"/>
  <c r="AB12" i="19"/>
  <c r="AB3" i="19" s="1"/>
  <c r="AB20" i="19" s="1"/>
  <c r="Z12" i="19"/>
  <c r="AF12" i="19"/>
  <c r="AF3" i="19" s="1"/>
  <c r="AF20" i="19" s="1"/>
  <c r="K12" i="19"/>
  <c r="K3" i="19" s="1"/>
  <c r="K20" i="19" s="1"/>
  <c r="K21" i="19" s="1"/>
  <c r="AH12" i="19"/>
  <c r="AH3" i="19" s="1"/>
  <c r="AH20" i="19" s="1"/>
  <c r="AL12" i="19"/>
  <c r="AL3" i="19" s="1"/>
  <c r="AL20" i="19" s="1"/>
  <c r="AD12" i="19"/>
  <c r="AD3" i="19" s="1"/>
  <c r="AD20" i="19" s="1"/>
  <c r="J12" i="19"/>
  <c r="AJ12" i="19"/>
  <c r="AJ3" i="19" s="1"/>
  <c r="AJ20" i="19" s="1"/>
  <c r="W3" i="19"/>
  <c r="W20" i="19" s="1"/>
  <c r="H27" i="20"/>
  <c r="A26" i="20"/>
  <c r="A27" i="20" s="1"/>
  <c r="X12" i="19" l="1"/>
  <c r="Z3" i="19"/>
  <c r="Z20" i="19" s="1"/>
  <c r="I12" i="19"/>
  <c r="I3" i="19" s="1"/>
  <c r="I20" i="19" s="1"/>
  <c r="I21" i="19" s="1"/>
  <c r="J3" i="19"/>
  <c r="J20" i="19" s="1"/>
  <c r="J21" i="19" s="1"/>
  <c r="X130" i="2"/>
  <c r="U130" i="2"/>
  <c r="O99" i="2"/>
  <c r="O97" i="2"/>
  <c r="X3" i="19" l="1"/>
  <c r="X20" i="19" s="1"/>
  <c r="Q339" i="2"/>
  <c r="T329" i="2"/>
  <c r="T333" i="2"/>
  <c r="T337" i="2"/>
  <c r="T339" i="2"/>
  <c r="AM329" i="2"/>
  <c r="Z329" i="2"/>
  <c r="Q333" i="2"/>
  <c r="W329" i="2"/>
  <c r="W337" i="2"/>
  <c r="W339" i="2"/>
  <c r="Q331" i="2"/>
  <c r="Q340" i="2"/>
  <c r="AM333" i="2"/>
  <c r="Z333" i="2"/>
  <c r="Q355" i="2"/>
  <c r="T331" i="2"/>
  <c r="T335" i="2"/>
  <c r="T336" i="2"/>
  <c r="T338" i="2"/>
  <c r="T340" i="2"/>
  <c r="T355" i="2"/>
  <c r="AM337" i="2"/>
  <c r="Z337" i="2"/>
  <c r="W336" i="2"/>
  <c r="W338" i="2"/>
  <c r="W340" i="2"/>
  <c r="W355" i="2"/>
  <c r="AM339" i="2"/>
  <c r="Z339" i="2"/>
  <c r="Q335" i="2"/>
  <c r="Q338" i="2"/>
  <c r="W335" i="2"/>
  <c r="AM331" i="2"/>
  <c r="Z331" i="2"/>
  <c r="AM335" i="2"/>
  <c r="Z335" i="2"/>
  <c r="AM336" i="2"/>
  <c r="Z336" i="2"/>
  <c r="AM338" i="2"/>
  <c r="Z338" i="2"/>
  <c r="AM340" i="2"/>
  <c r="Z340" i="2"/>
  <c r="AM355" i="2"/>
  <c r="Z355" i="2"/>
  <c r="T300" i="2"/>
  <c r="W300" i="2"/>
  <c r="W316" i="2"/>
  <c r="Q299" i="2"/>
  <c r="Q301" i="2"/>
  <c r="Q303" i="2"/>
  <c r="Q305" i="2"/>
  <c r="Q307" i="2"/>
  <c r="Q309" i="2"/>
  <c r="Q311" i="2"/>
  <c r="Q313" i="2"/>
  <c r="Q315" i="2"/>
  <c r="Q317" i="2"/>
  <c r="Q319" i="2"/>
  <c r="Q321" i="2"/>
  <c r="Q323" i="2"/>
  <c r="Q325" i="2"/>
  <c r="T312" i="2"/>
  <c r="W314" i="2"/>
  <c r="T299" i="2"/>
  <c r="T301" i="2"/>
  <c r="T303" i="2"/>
  <c r="T305" i="2"/>
  <c r="T307" i="2"/>
  <c r="T309" i="2"/>
  <c r="T311" i="2"/>
  <c r="T313" i="2"/>
  <c r="T315" i="2"/>
  <c r="T317" i="2"/>
  <c r="T319" i="2"/>
  <c r="T321" i="2"/>
  <c r="T323" i="2"/>
  <c r="T325" i="2"/>
  <c r="T310" i="2"/>
  <c r="W312" i="2"/>
  <c r="W299" i="2"/>
  <c r="W301" i="2"/>
  <c r="W303" i="2"/>
  <c r="W305" i="2"/>
  <c r="W307" i="2"/>
  <c r="W309" i="2"/>
  <c r="W311" i="2"/>
  <c r="W313" i="2"/>
  <c r="W315" i="2"/>
  <c r="W317" i="2"/>
  <c r="W319" i="2"/>
  <c r="W321" i="2"/>
  <c r="W323" i="2"/>
  <c r="W325" i="2"/>
  <c r="T306" i="2"/>
  <c r="W302" i="2"/>
  <c r="W310" i="2"/>
  <c r="AM299" i="2"/>
  <c r="Z299" i="2"/>
  <c r="AM301" i="2"/>
  <c r="Z301" i="2"/>
  <c r="AM303" i="2"/>
  <c r="Z303" i="2"/>
  <c r="AM305" i="2"/>
  <c r="Z305" i="2"/>
  <c r="AM307" i="2"/>
  <c r="Z307" i="2"/>
  <c r="AM309" i="2"/>
  <c r="Z309" i="2"/>
  <c r="AM311" i="2"/>
  <c r="Z311" i="2"/>
  <c r="AM313" i="2"/>
  <c r="Z313" i="2"/>
  <c r="AM315" i="2"/>
  <c r="Z315" i="2"/>
  <c r="AM317" i="2"/>
  <c r="Z317" i="2"/>
  <c r="AM319" i="2"/>
  <c r="Z319" i="2"/>
  <c r="AM321" i="2"/>
  <c r="Z321" i="2"/>
  <c r="AM323" i="2"/>
  <c r="Z323" i="2"/>
  <c r="AM325" i="2"/>
  <c r="Z325" i="2"/>
  <c r="T304" i="2"/>
  <c r="W304" i="2"/>
  <c r="W308" i="2"/>
  <c r="Q300" i="2"/>
  <c r="Q302" i="2"/>
  <c r="Q304" i="2"/>
  <c r="Q306" i="2"/>
  <c r="Q308" i="2"/>
  <c r="Q310" i="2"/>
  <c r="Q312" i="2"/>
  <c r="Q314" i="2"/>
  <c r="Q316" i="2"/>
  <c r="Q318" i="2"/>
  <c r="Q320" i="2"/>
  <c r="Q322" i="2"/>
  <c r="Q324" i="2"/>
  <c r="Q326" i="2"/>
  <c r="T302" i="2"/>
  <c r="T314" i="2"/>
  <c r="T316" i="2"/>
  <c r="T318" i="2"/>
  <c r="T320" i="2"/>
  <c r="T322" i="2"/>
  <c r="T324" i="2"/>
  <c r="T326" i="2"/>
  <c r="W306" i="2"/>
  <c r="W320" i="2"/>
  <c r="W322" i="2"/>
  <c r="W324" i="2"/>
  <c r="W326" i="2"/>
  <c r="T308" i="2"/>
  <c r="W318" i="2"/>
  <c r="AM300" i="2"/>
  <c r="Z300" i="2"/>
  <c r="AM302" i="2"/>
  <c r="Z302" i="2"/>
  <c r="AM304" i="2"/>
  <c r="Z304" i="2"/>
  <c r="AM306" i="2"/>
  <c r="Z306" i="2"/>
  <c r="AM308" i="2"/>
  <c r="Z308" i="2"/>
  <c r="AM310" i="2"/>
  <c r="Z310" i="2"/>
  <c r="AM312" i="2"/>
  <c r="Z312" i="2"/>
  <c r="AM314" i="2"/>
  <c r="Z314" i="2"/>
  <c r="AM316" i="2"/>
  <c r="Z316" i="2"/>
  <c r="AM318" i="2"/>
  <c r="Z318" i="2"/>
  <c r="AM320" i="2"/>
  <c r="Z320" i="2"/>
  <c r="AM322" i="2"/>
  <c r="Z322" i="2"/>
  <c r="AM324" i="2"/>
  <c r="Z324" i="2"/>
  <c r="AM326" i="2"/>
  <c r="Z326" i="2"/>
  <c r="T270" i="2"/>
  <c r="T285" i="2"/>
  <c r="AM270" i="2"/>
  <c r="Z270" i="2"/>
  <c r="AM285" i="2"/>
  <c r="Z285" i="2"/>
  <c r="T281" i="2"/>
  <c r="T295" i="2"/>
  <c r="W295" i="2"/>
  <c r="AM265" i="2"/>
  <c r="Z265" i="2"/>
  <c r="AM281" i="2"/>
  <c r="Z281" i="2"/>
  <c r="AM295" i="2"/>
  <c r="Z295" i="2"/>
  <c r="W257" i="2"/>
  <c r="W261" i="2"/>
  <c r="W263" i="2"/>
  <c r="AM263" i="2"/>
  <c r="Z263" i="2"/>
  <c r="Q260" i="2"/>
  <c r="AM257" i="2"/>
  <c r="Z257" i="2"/>
  <c r="T260" i="2"/>
  <c r="Q261" i="2"/>
  <c r="AM261" i="2"/>
  <c r="Z261" i="2"/>
  <c r="W260" i="2"/>
  <c r="W262" i="2"/>
  <c r="T261" i="2"/>
  <c r="AM255" i="2"/>
  <c r="Z255" i="2"/>
  <c r="AM260" i="2"/>
  <c r="Z260" i="2"/>
  <c r="AM262" i="2"/>
  <c r="Z262" i="2"/>
  <c r="Q251" i="2"/>
  <c r="Q253" i="2"/>
  <c r="T251" i="2"/>
  <c r="T253" i="2"/>
  <c r="W251" i="2"/>
  <c r="W253" i="2"/>
  <c r="AM217" i="2"/>
  <c r="Z217" i="2"/>
  <c r="AM234" i="2"/>
  <c r="Z234" i="2"/>
  <c r="AM247" i="2"/>
  <c r="Z247" i="2"/>
  <c r="AM251" i="2"/>
  <c r="Z251" i="2"/>
  <c r="AM253" i="2"/>
  <c r="Z253" i="2"/>
  <c r="Q250" i="2"/>
  <c r="T250" i="2"/>
  <c r="W250" i="2"/>
  <c r="AM227" i="2"/>
  <c r="Z227" i="2"/>
  <c r="AM241" i="2"/>
  <c r="Z241" i="2"/>
  <c r="AM250" i="2"/>
  <c r="Z250" i="2"/>
  <c r="AM252" i="2"/>
  <c r="Z252" i="2"/>
  <c r="AM178" i="2"/>
  <c r="Z178" i="2"/>
  <c r="Q209" i="2"/>
  <c r="T209" i="2"/>
  <c r="W183" i="2"/>
  <c r="W209" i="2"/>
  <c r="AM187" i="2"/>
  <c r="Z187" i="2"/>
  <c r="AM210" i="2"/>
  <c r="Z210" i="2"/>
  <c r="AM183" i="2"/>
  <c r="Z183" i="2"/>
  <c r="AM190" i="2"/>
  <c r="Z190" i="2"/>
  <c r="AM209" i="2"/>
  <c r="Z209" i="2"/>
  <c r="AM200" i="2"/>
  <c r="Z200" i="2"/>
  <c r="Q210" i="2"/>
  <c r="T210" i="2"/>
  <c r="W178" i="2"/>
  <c r="W187" i="2"/>
  <c r="W210" i="2"/>
  <c r="W176" i="2"/>
  <c r="T176" i="2"/>
  <c r="AM165" i="2"/>
  <c r="Z165" i="2"/>
  <c r="AM170" i="2"/>
  <c r="Z170" i="2"/>
  <c r="AM176" i="2"/>
  <c r="Z176" i="2"/>
  <c r="Q175" i="2"/>
  <c r="T175" i="2"/>
  <c r="W175" i="2"/>
  <c r="AM148" i="2"/>
  <c r="Z148" i="2"/>
  <c r="AM161" i="2"/>
  <c r="Z161" i="2"/>
  <c r="AM175" i="2"/>
  <c r="Z175" i="2"/>
  <c r="Q146" i="2"/>
  <c r="AM107" i="2"/>
  <c r="Z107" i="2"/>
  <c r="AM120" i="2"/>
  <c r="Z120" i="2"/>
  <c r="AM141" i="2"/>
  <c r="Z141" i="2"/>
  <c r="AM146" i="2"/>
  <c r="Z146" i="2"/>
  <c r="W146" i="2"/>
  <c r="T146" i="2"/>
  <c r="AM101" i="2"/>
  <c r="Z101" i="2"/>
  <c r="AM115" i="2"/>
  <c r="Z115" i="2"/>
  <c r="AM130" i="2"/>
  <c r="Z130" i="2"/>
  <c r="AM144" i="2"/>
  <c r="Z144" i="2"/>
  <c r="Q99" i="2"/>
  <c r="T99" i="2"/>
  <c r="W99" i="2"/>
  <c r="AM68" i="2"/>
  <c r="Z68" i="2"/>
  <c r="AM79" i="2"/>
  <c r="Z79" i="2"/>
  <c r="AM93" i="2"/>
  <c r="Z93" i="2"/>
  <c r="AM99" i="2"/>
  <c r="Z99" i="2"/>
  <c r="AM75" i="2"/>
  <c r="Z75" i="2"/>
  <c r="AM88" i="2"/>
  <c r="Z88" i="2"/>
  <c r="AM97" i="2"/>
  <c r="Z97" i="2"/>
  <c r="AM59" i="2"/>
  <c r="Z59" i="2"/>
  <c r="T65" i="2"/>
  <c r="AM54" i="2"/>
  <c r="Z54" i="2"/>
  <c r="AM65" i="2"/>
  <c r="Z65" i="2"/>
  <c r="W65" i="2"/>
  <c r="AM61" i="2"/>
  <c r="Z61" i="2"/>
  <c r="AM39" i="2"/>
  <c r="Z39" i="2"/>
  <c r="W66" i="2"/>
  <c r="AM50" i="2"/>
  <c r="Z50" i="2"/>
  <c r="AM64" i="2"/>
  <c r="Z64" i="2"/>
  <c r="AM66" i="2"/>
  <c r="Z66" i="2"/>
  <c r="AM14" i="2"/>
  <c r="Z14" i="2"/>
  <c r="AM20" i="2"/>
  <c r="Z20" i="2"/>
  <c r="AM37" i="2"/>
  <c r="Z37" i="2"/>
  <c r="AD11" i="2"/>
  <c r="AM11" i="2"/>
  <c r="Z11" i="2"/>
  <c r="AM17" i="2"/>
  <c r="Z17" i="2"/>
  <c r="AM27" i="2"/>
  <c r="Z27" i="2"/>
  <c r="AM33" i="2"/>
  <c r="Z33" i="2"/>
  <c r="Q37" i="2"/>
  <c r="T37" i="2"/>
  <c r="W20" i="2"/>
  <c r="W37" i="2"/>
  <c r="AM31" i="2"/>
  <c r="Z31" i="2"/>
  <c r="O270" i="2"/>
  <c r="R270" i="2"/>
  <c r="U270" i="2"/>
  <c r="W270" i="2" s="1"/>
  <c r="X270" i="2"/>
  <c r="AA270" i="2"/>
  <c r="O281" i="2"/>
  <c r="R281" i="2"/>
  <c r="U281" i="2"/>
  <c r="W281" i="2" s="1"/>
  <c r="X281" i="2"/>
  <c r="AA281" i="2"/>
  <c r="Z264" i="2" l="1"/>
  <c r="Z298" i="2"/>
  <c r="T328" i="2"/>
  <c r="E21" i="12" s="1"/>
  <c r="Z147" i="2"/>
  <c r="Z67" i="2"/>
  <c r="W298" i="2"/>
  <c r="T298" i="2"/>
  <c r="Q298" i="2"/>
  <c r="Z328" i="2"/>
  <c r="E21" i="14" s="1"/>
  <c r="Z38" i="2"/>
  <c r="Z10" i="2"/>
  <c r="Z100" i="2"/>
  <c r="Z254" i="2"/>
  <c r="Z211" i="2"/>
  <c r="Z177" i="2"/>
  <c r="Q281" i="2"/>
  <c r="N281" i="2"/>
  <c r="Q270" i="2"/>
  <c r="N270" i="2"/>
  <c r="D21" i="14"/>
  <c r="D21" i="13"/>
  <c r="D21" i="12"/>
  <c r="BP355" i="2"/>
  <c r="BO355" i="2"/>
  <c r="BN355" i="2"/>
  <c r="BM355" i="2"/>
  <c r="BL355" i="2"/>
  <c r="BP340" i="2"/>
  <c r="BO340" i="2"/>
  <c r="BN340" i="2"/>
  <c r="BM340" i="2"/>
  <c r="BL340" i="2"/>
  <c r="BP339" i="2"/>
  <c r="BO339" i="2"/>
  <c r="BN339" i="2"/>
  <c r="BM339" i="2"/>
  <c r="BL339" i="2"/>
  <c r="BP338" i="2"/>
  <c r="BO338" i="2"/>
  <c r="BN338" i="2"/>
  <c r="BM338" i="2"/>
  <c r="BL338" i="2"/>
  <c r="BP337" i="2"/>
  <c r="BO337" i="2"/>
  <c r="BN337" i="2"/>
  <c r="BM337" i="2"/>
  <c r="BL337" i="2"/>
  <c r="BP336" i="2"/>
  <c r="BO336" i="2"/>
  <c r="BN336" i="2"/>
  <c r="BM336" i="2"/>
  <c r="BL336" i="2"/>
  <c r="BP335" i="2"/>
  <c r="BO335" i="2"/>
  <c r="BN335" i="2"/>
  <c r="BM335" i="2"/>
  <c r="BL335" i="2"/>
  <c r="BP333" i="2"/>
  <c r="BO333" i="2"/>
  <c r="BN333" i="2"/>
  <c r="BM333" i="2"/>
  <c r="BL333" i="2"/>
  <c r="BP331" i="2"/>
  <c r="BO331" i="2"/>
  <c r="BN331" i="2"/>
  <c r="BM331" i="2"/>
  <c r="BL331" i="2"/>
  <c r="BP329" i="2"/>
  <c r="BO329" i="2"/>
  <c r="BN329" i="2"/>
  <c r="BM329" i="2"/>
  <c r="BL329" i="2"/>
  <c r="BP326" i="2"/>
  <c r="BO326" i="2"/>
  <c r="BN326" i="2"/>
  <c r="BM326" i="2"/>
  <c r="BL326" i="2"/>
  <c r="BP325" i="2"/>
  <c r="BO325" i="2"/>
  <c r="BN325" i="2"/>
  <c r="BM325" i="2"/>
  <c r="BL325" i="2"/>
  <c r="BP324" i="2"/>
  <c r="BO324" i="2"/>
  <c r="BN324" i="2"/>
  <c r="BM324" i="2"/>
  <c r="BL324" i="2"/>
  <c r="BP323" i="2"/>
  <c r="BO323" i="2"/>
  <c r="BN323" i="2"/>
  <c r="BM323" i="2"/>
  <c r="BL323" i="2"/>
  <c r="BP322" i="2"/>
  <c r="BO322" i="2"/>
  <c r="BN322" i="2"/>
  <c r="BM322" i="2"/>
  <c r="BL322" i="2"/>
  <c r="BP321" i="2"/>
  <c r="BO321" i="2"/>
  <c r="BN321" i="2"/>
  <c r="BM321" i="2"/>
  <c r="BL321" i="2"/>
  <c r="BP320" i="2"/>
  <c r="BO320" i="2"/>
  <c r="BN320" i="2"/>
  <c r="BM320" i="2"/>
  <c r="BL320" i="2"/>
  <c r="BP319" i="2"/>
  <c r="BO319" i="2"/>
  <c r="BN319" i="2"/>
  <c r="BM319" i="2"/>
  <c r="BL319" i="2"/>
  <c r="BP318" i="2"/>
  <c r="BO318" i="2"/>
  <c r="BN318" i="2"/>
  <c r="BM318" i="2"/>
  <c r="BL318" i="2"/>
  <c r="BP317" i="2"/>
  <c r="BO317" i="2"/>
  <c r="BN317" i="2"/>
  <c r="BM317" i="2"/>
  <c r="BL317" i="2"/>
  <c r="BP316" i="2"/>
  <c r="BO316" i="2"/>
  <c r="BN316" i="2"/>
  <c r="BM316" i="2"/>
  <c r="BL316" i="2"/>
  <c r="BP315" i="2"/>
  <c r="BO315" i="2"/>
  <c r="BN315" i="2"/>
  <c r="BM315" i="2"/>
  <c r="BL315" i="2"/>
  <c r="BP314" i="2"/>
  <c r="BO314" i="2"/>
  <c r="BN314" i="2"/>
  <c r="BM314" i="2"/>
  <c r="BL314" i="2"/>
  <c r="BP313" i="2"/>
  <c r="BO313" i="2"/>
  <c r="BN313" i="2"/>
  <c r="BM313" i="2"/>
  <c r="BL313" i="2"/>
  <c r="BP312" i="2"/>
  <c r="BO312" i="2"/>
  <c r="BN312" i="2"/>
  <c r="BM312" i="2"/>
  <c r="BL312" i="2"/>
  <c r="BP311" i="2"/>
  <c r="BO311" i="2"/>
  <c r="BN311" i="2"/>
  <c r="BM311" i="2"/>
  <c r="BL311" i="2"/>
  <c r="BP310" i="2"/>
  <c r="BO310" i="2"/>
  <c r="BN310" i="2"/>
  <c r="BM310" i="2"/>
  <c r="BL310" i="2"/>
  <c r="BP309" i="2"/>
  <c r="BO309" i="2"/>
  <c r="BN309" i="2"/>
  <c r="BM309" i="2"/>
  <c r="BL309" i="2"/>
  <c r="BP308" i="2"/>
  <c r="BO308" i="2"/>
  <c r="BN308" i="2"/>
  <c r="BM308" i="2"/>
  <c r="BL308" i="2"/>
  <c r="BP307" i="2"/>
  <c r="BO307" i="2"/>
  <c r="BN307" i="2"/>
  <c r="BM307" i="2"/>
  <c r="BL307" i="2"/>
  <c r="BP306" i="2"/>
  <c r="BO306" i="2"/>
  <c r="BN306" i="2"/>
  <c r="BM306" i="2"/>
  <c r="BL306" i="2"/>
  <c r="BP305" i="2"/>
  <c r="BO305" i="2"/>
  <c r="BN305" i="2"/>
  <c r="BM305" i="2"/>
  <c r="BL305" i="2"/>
  <c r="BP304" i="2"/>
  <c r="BO304" i="2"/>
  <c r="BN304" i="2"/>
  <c r="BM304" i="2"/>
  <c r="BL304" i="2"/>
  <c r="BP303" i="2"/>
  <c r="BO303" i="2"/>
  <c r="BN303" i="2"/>
  <c r="BM303" i="2"/>
  <c r="BL303" i="2"/>
  <c r="BP302" i="2"/>
  <c r="BO302" i="2"/>
  <c r="BN302" i="2"/>
  <c r="BM302" i="2"/>
  <c r="BL302" i="2"/>
  <c r="BP301" i="2"/>
  <c r="BO301" i="2"/>
  <c r="BN301" i="2"/>
  <c r="BM301" i="2"/>
  <c r="BL301" i="2"/>
  <c r="BP300" i="2"/>
  <c r="BO300" i="2"/>
  <c r="BN300" i="2"/>
  <c r="BM300" i="2"/>
  <c r="BL300" i="2"/>
  <c r="BP299" i="2"/>
  <c r="BO299" i="2"/>
  <c r="BN299" i="2"/>
  <c r="BM299" i="2"/>
  <c r="BL299" i="2"/>
  <c r="BP295" i="2"/>
  <c r="BO295" i="2"/>
  <c r="BN295" i="2"/>
  <c r="BM295" i="2"/>
  <c r="BL295" i="2"/>
  <c r="BP285" i="2"/>
  <c r="BO285" i="2"/>
  <c r="BN285" i="2"/>
  <c r="BM285" i="2"/>
  <c r="BL285" i="2"/>
  <c r="BP281" i="2"/>
  <c r="BO281" i="2"/>
  <c r="BN281" i="2"/>
  <c r="BM281" i="2"/>
  <c r="BL281" i="2"/>
  <c r="BP270" i="2"/>
  <c r="BO270" i="2"/>
  <c r="BN270" i="2"/>
  <c r="BM270" i="2"/>
  <c r="BL270" i="2"/>
  <c r="BP265" i="2"/>
  <c r="BO265" i="2"/>
  <c r="BN265" i="2"/>
  <c r="BM265" i="2"/>
  <c r="BL265" i="2"/>
  <c r="BP263" i="2"/>
  <c r="BO263" i="2"/>
  <c r="BN263" i="2"/>
  <c r="BM263" i="2"/>
  <c r="BL263" i="2"/>
  <c r="BP262" i="2"/>
  <c r="BO262" i="2"/>
  <c r="BN262" i="2"/>
  <c r="BM262" i="2"/>
  <c r="BL262" i="2"/>
  <c r="BP261" i="2"/>
  <c r="BO261" i="2"/>
  <c r="BN261" i="2"/>
  <c r="BM261" i="2"/>
  <c r="BL261" i="2"/>
  <c r="BP260" i="2"/>
  <c r="BO260" i="2"/>
  <c r="BN260" i="2"/>
  <c r="BM260" i="2"/>
  <c r="BL260" i="2"/>
  <c r="BP257" i="2"/>
  <c r="BO257" i="2"/>
  <c r="BN257" i="2"/>
  <c r="BM257" i="2"/>
  <c r="BL257" i="2"/>
  <c r="BP255" i="2"/>
  <c r="BO255" i="2"/>
  <c r="BN255" i="2"/>
  <c r="BM255" i="2"/>
  <c r="BL255" i="2"/>
  <c r="BP253" i="2"/>
  <c r="BO253" i="2"/>
  <c r="BN253" i="2"/>
  <c r="BM253" i="2"/>
  <c r="BL253" i="2"/>
  <c r="BP252" i="2"/>
  <c r="BO252" i="2"/>
  <c r="BN252" i="2"/>
  <c r="BM252" i="2"/>
  <c r="BL252" i="2"/>
  <c r="BP251" i="2"/>
  <c r="BO251" i="2"/>
  <c r="BN251" i="2"/>
  <c r="BM251" i="2"/>
  <c r="BL251" i="2"/>
  <c r="BP250" i="2"/>
  <c r="BO250" i="2"/>
  <c r="BN250" i="2"/>
  <c r="BM250" i="2"/>
  <c r="BL250" i="2"/>
  <c r="BP247" i="2"/>
  <c r="BO247" i="2"/>
  <c r="BN247" i="2"/>
  <c r="BM247" i="2"/>
  <c r="BL247" i="2"/>
  <c r="BP241" i="2"/>
  <c r="BO241" i="2"/>
  <c r="BN241" i="2"/>
  <c r="BM241" i="2"/>
  <c r="BL241" i="2"/>
  <c r="BP234" i="2"/>
  <c r="BO234" i="2"/>
  <c r="BN234" i="2"/>
  <c r="BM234" i="2"/>
  <c r="BL234" i="2"/>
  <c r="BP227" i="2"/>
  <c r="BO227" i="2"/>
  <c r="BN227" i="2"/>
  <c r="BM227" i="2"/>
  <c r="BL227" i="2"/>
  <c r="BP217" i="2"/>
  <c r="BO217" i="2"/>
  <c r="BN217" i="2"/>
  <c r="BM217" i="2"/>
  <c r="BL217" i="2"/>
  <c r="BP210" i="2"/>
  <c r="BO210" i="2"/>
  <c r="BN210" i="2"/>
  <c r="BM210" i="2"/>
  <c r="BL210" i="2"/>
  <c r="BP209" i="2"/>
  <c r="BO209" i="2"/>
  <c r="BN209" i="2"/>
  <c r="BM209" i="2"/>
  <c r="BL209" i="2"/>
  <c r="BP200" i="2"/>
  <c r="BO200" i="2"/>
  <c r="BN200" i="2"/>
  <c r="BM200" i="2"/>
  <c r="BL200" i="2"/>
  <c r="BP190" i="2"/>
  <c r="BO190" i="2"/>
  <c r="BN190" i="2"/>
  <c r="BM190" i="2"/>
  <c r="BL190" i="2"/>
  <c r="BP187" i="2"/>
  <c r="BO187" i="2"/>
  <c r="BN187" i="2"/>
  <c r="BM187" i="2"/>
  <c r="BL187" i="2"/>
  <c r="BP183" i="2"/>
  <c r="BO183" i="2"/>
  <c r="BN183" i="2"/>
  <c r="BM183" i="2"/>
  <c r="BL183" i="2"/>
  <c r="BP178" i="2"/>
  <c r="BO178" i="2"/>
  <c r="BN178" i="2"/>
  <c r="BM178" i="2"/>
  <c r="BL178" i="2"/>
  <c r="BP176" i="2"/>
  <c r="BO176" i="2"/>
  <c r="BN176" i="2"/>
  <c r="BM176" i="2"/>
  <c r="BL176" i="2"/>
  <c r="BP175" i="2"/>
  <c r="BO175" i="2"/>
  <c r="BN175" i="2"/>
  <c r="BM175" i="2"/>
  <c r="BL175" i="2"/>
  <c r="BP170" i="2"/>
  <c r="BO170" i="2"/>
  <c r="BN170" i="2"/>
  <c r="BM170" i="2"/>
  <c r="BL170" i="2"/>
  <c r="BP161" i="2"/>
  <c r="BO161" i="2"/>
  <c r="BN161" i="2"/>
  <c r="BM161" i="2"/>
  <c r="BL161" i="2"/>
  <c r="BP165" i="2"/>
  <c r="BO165" i="2"/>
  <c r="BN165" i="2"/>
  <c r="BM165" i="2"/>
  <c r="BL165" i="2"/>
  <c r="BP148" i="2"/>
  <c r="BO148" i="2"/>
  <c r="BN148" i="2"/>
  <c r="BM148" i="2"/>
  <c r="BL148" i="2"/>
  <c r="BP146" i="2"/>
  <c r="BO146" i="2"/>
  <c r="BN146" i="2"/>
  <c r="BM146" i="2"/>
  <c r="BL146" i="2"/>
  <c r="BP144" i="2"/>
  <c r="BO144" i="2"/>
  <c r="BN144" i="2"/>
  <c r="BM144" i="2"/>
  <c r="BL144" i="2"/>
  <c r="BP141" i="2"/>
  <c r="BO141" i="2"/>
  <c r="BN141" i="2"/>
  <c r="BM141" i="2"/>
  <c r="BL141" i="2"/>
  <c r="BP130" i="2"/>
  <c r="BO130" i="2"/>
  <c r="BN130" i="2"/>
  <c r="BM130" i="2"/>
  <c r="BL130" i="2"/>
  <c r="BP120" i="2"/>
  <c r="BO120" i="2"/>
  <c r="BN120" i="2"/>
  <c r="BM120" i="2"/>
  <c r="BL120" i="2"/>
  <c r="BP115" i="2"/>
  <c r="BO115" i="2"/>
  <c r="BN115" i="2"/>
  <c r="BM115" i="2"/>
  <c r="BL115" i="2"/>
  <c r="BP107" i="2"/>
  <c r="BO107" i="2"/>
  <c r="BN107" i="2"/>
  <c r="BM107" i="2"/>
  <c r="BL107" i="2"/>
  <c r="BP101" i="2"/>
  <c r="BO101" i="2"/>
  <c r="BN101" i="2"/>
  <c r="BM101" i="2"/>
  <c r="BL101" i="2"/>
  <c r="BP99" i="2"/>
  <c r="BO99" i="2"/>
  <c r="BN99" i="2"/>
  <c r="BM99" i="2"/>
  <c r="BL99" i="2"/>
  <c r="BP97" i="2"/>
  <c r="BO97" i="2"/>
  <c r="BN97" i="2"/>
  <c r="BM97" i="2"/>
  <c r="BL97" i="2"/>
  <c r="BP93" i="2"/>
  <c r="BO93" i="2"/>
  <c r="BN93" i="2"/>
  <c r="BM93" i="2"/>
  <c r="BL93" i="2"/>
  <c r="BP88" i="2"/>
  <c r="BO88" i="2"/>
  <c r="BN88" i="2"/>
  <c r="BM88" i="2"/>
  <c r="BL88" i="2"/>
  <c r="BP79" i="2"/>
  <c r="BO79" i="2"/>
  <c r="BN79" i="2"/>
  <c r="BM79" i="2"/>
  <c r="BL79" i="2"/>
  <c r="BP75" i="2"/>
  <c r="BO75" i="2"/>
  <c r="BN75" i="2"/>
  <c r="BM75" i="2"/>
  <c r="BL75" i="2"/>
  <c r="BP68" i="2"/>
  <c r="BO68" i="2"/>
  <c r="BN68" i="2"/>
  <c r="BM68" i="2"/>
  <c r="BL68" i="2"/>
  <c r="BP66" i="2"/>
  <c r="BO66" i="2"/>
  <c r="BN66" i="2"/>
  <c r="BM66" i="2"/>
  <c r="BL66" i="2"/>
  <c r="BP65" i="2"/>
  <c r="BO65" i="2"/>
  <c r="BN65" i="2"/>
  <c r="BM65" i="2"/>
  <c r="BL65" i="2"/>
  <c r="BP64" i="2"/>
  <c r="BO64" i="2"/>
  <c r="BN64" i="2"/>
  <c r="BM64" i="2"/>
  <c r="BL64" i="2"/>
  <c r="BP61" i="2"/>
  <c r="BO61" i="2"/>
  <c r="BN61" i="2"/>
  <c r="BM61" i="2"/>
  <c r="BL61" i="2"/>
  <c r="BP59" i="2"/>
  <c r="BO59" i="2"/>
  <c r="BN59" i="2"/>
  <c r="BM59" i="2"/>
  <c r="BL59" i="2"/>
  <c r="BP54" i="2"/>
  <c r="BO54" i="2"/>
  <c r="BN54" i="2"/>
  <c r="BM54" i="2"/>
  <c r="BL54" i="2"/>
  <c r="BP50" i="2"/>
  <c r="BO50" i="2"/>
  <c r="BN50" i="2"/>
  <c r="BM50" i="2"/>
  <c r="BL50" i="2"/>
  <c r="BP39" i="2"/>
  <c r="BO39" i="2"/>
  <c r="BN39" i="2"/>
  <c r="BM39" i="2"/>
  <c r="BL39" i="2"/>
  <c r="BP37" i="2"/>
  <c r="BO37" i="2"/>
  <c r="BN37" i="2"/>
  <c r="BM37" i="2"/>
  <c r="BL37" i="2"/>
  <c r="BP33" i="2"/>
  <c r="BO33" i="2"/>
  <c r="BN33" i="2"/>
  <c r="BM33" i="2"/>
  <c r="BL33" i="2"/>
  <c r="BP31" i="2"/>
  <c r="BO31" i="2"/>
  <c r="BN31" i="2"/>
  <c r="BM31" i="2"/>
  <c r="BL31" i="2"/>
  <c r="BP27" i="2"/>
  <c r="BO27" i="2"/>
  <c r="BN27" i="2"/>
  <c r="BM27" i="2"/>
  <c r="BL27" i="2"/>
  <c r="BP20" i="2"/>
  <c r="BO20" i="2"/>
  <c r="BN20" i="2"/>
  <c r="BM20" i="2"/>
  <c r="BL20" i="2"/>
  <c r="BP17" i="2"/>
  <c r="BO17" i="2"/>
  <c r="BN17" i="2"/>
  <c r="BM17" i="2"/>
  <c r="BL17" i="2"/>
  <c r="BP14" i="2"/>
  <c r="BO14" i="2"/>
  <c r="BN14" i="2"/>
  <c r="BM14" i="2"/>
  <c r="BL14" i="2"/>
  <c r="BP11" i="2"/>
  <c r="BO11" i="2"/>
  <c r="BN11" i="2"/>
  <c r="BM11" i="2"/>
  <c r="BK355" i="2"/>
  <c r="BJ355" i="2"/>
  <c r="BI355" i="2"/>
  <c r="BH355" i="2"/>
  <c r="BG355" i="2"/>
  <c r="BK340" i="2"/>
  <c r="BJ340" i="2"/>
  <c r="BI340" i="2"/>
  <c r="BH340" i="2"/>
  <c r="BG340" i="2"/>
  <c r="BK339" i="2"/>
  <c r="BJ339" i="2"/>
  <c r="BI339" i="2"/>
  <c r="BH339" i="2"/>
  <c r="BG339" i="2"/>
  <c r="BK338" i="2"/>
  <c r="BJ338" i="2"/>
  <c r="BI338" i="2"/>
  <c r="BH338" i="2"/>
  <c r="BG338" i="2"/>
  <c r="BK337" i="2"/>
  <c r="BJ337" i="2"/>
  <c r="BI337" i="2"/>
  <c r="BH337" i="2"/>
  <c r="BG337" i="2"/>
  <c r="BK336" i="2"/>
  <c r="BJ336" i="2"/>
  <c r="BI336" i="2"/>
  <c r="BH336" i="2"/>
  <c r="BG336" i="2"/>
  <c r="BK335" i="2"/>
  <c r="BJ335" i="2"/>
  <c r="BI335" i="2"/>
  <c r="BH335" i="2"/>
  <c r="BG335" i="2"/>
  <c r="BK333" i="2"/>
  <c r="BJ333" i="2"/>
  <c r="BI333" i="2"/>
  <c r="BH333" i="2"/>
  <c r="BG333" i="2"/>
  <c r="BK331" i="2"/>
  <c r="BJ331" i="2"/>
  <c r="BI331" i="2"/>
  <c r="BH331" i="2"/>
  <c r="BG331" i="2"/>
  <c r="BK329" i="2"/>
  <c r="BJ329" i="2"/>
  <c r="BI329" i="2"/>
  <c r="BH329" i="2"/>
  <c r="BG329" i="2"/>
  <c r="BK326" i="2"/>
  <c r="BJ326" i="2"/>
  <c r="BI326" i="2"/>
  <c r="BH326" i="2"/>
  <c r="BG326" i="2"/>
  <c r="BK325" i="2"/>
  <c r="BJ325" i="2"/>
  <c r="BI325" i="2"/>
  <c r="BH325" i="2"/>
  <c r="BG325" i="2"/>
  <c r="BK324" i="2"/>
  <c r="BJ324" i="2"/>
  <c r="BI324" i="2"/>
  <c r="BH324" i="2"/>
  <c r="BG324" i="2"/>
  <c r="BK323" i="2"/>
  <c r="BJ323" i="2"/>
  <c r="BI323" i="2"/>
  <c r="BH323" i="2"/>
  <c r="BG323" i="2"/>
  <c r="BK322" i="2"/>
  <c r="BJ322" i="2"/>
  <c r="BI322" i="2"/>
  <c r="BH322" i="2"/>
  <c r="BG322" i="2"/>
  <c r="BK321" i="2"/>
  <c r="BJ321" i="2"/>
  <c r="BI321" i="2"/>
  <c r="BH321" i="2"/>
  <c r="BG321" i="2"/>
  <c r="BK320" i="2"/>
  <c r="BJ320" i="2"/>
  <c r="BI320" i="2"/>
  <c r="BH320" i="2"/>
  <c r="BG320" i="2"/>
  <c r="BK319" i="2"/>
  <c r="BJ319" i="2"/>
  <c r="BI319" i="2"/>
  <c r="BH319" i="2"/>
  <c r="BG319" i="2"/>
  <c r="BK318" i="2"/>
  <c r="BJ318" i="2"/>
  <c r="BI318" i="2"/>
  <c r="BH318" i="2"/>
  <c r="BG318" i="2"/>
  <c r="BK317" i="2"/>
  <c r="BJ317" i="2"/>
  <c r="BI317" i="2"/>
  <c r="BH317" i="2"/>
  <c r="BG317" i="2"/>
  <c r="BK316" i="2"/>
  <c r="BJ316" i="2"/>
  <c r="BI316" i="2"/>
  <c r="BH316" i="2"/>
  <c r="BG316" i="2"/>
  <c r="BK315" i="2"/>
  <c r="BJ315" i="2"/>
  <c r="BI315" i="2"/>
  <c r="BH315" i="2"/>
  <c r="BG315" i="2"/>
  <c r="BK314" i="2"/>
  <c r="BJ314" i="2"/>
  <c r="BI314" i="2"/>
  <c r="BH314" i="2"/>
  <c r="BG314" i="2"/>
  <c r="BK313" i="2"/>
  <c r="BJ313" i="2"/>
  <c r="BI313" i="2"/>
  <c r="BH313" i="2"/>
  <c r="BG313" i="2"/>
  <c r="BK312" i="2"/>
  <c r="BJ312" i="2"/>
  <c r="BI312" i="2"/>
  <c r="BH312" i="2"/>
  <c r="BG312" i="2"/>
  <c r="BK311" i="2"/>
  <c r="BJ311" i="2"/>
  <c r="BI311" i="2"/>
  <c r="BH311" i="2"/>
  <c r="BG311" i="2"/>
  <c r="BK310" i="2"/>
  <c r="BJ310" i="2"/>
  <c r="BI310" i="2"/>
  <c r="BH310" i="2"/>
  <c r="BG310" i="2"/>
  <c r="BK309" i="2"/>
  <c r="BJ309" i="2"/>
  <c r="BI309" i="2"/>
  <c r="BH309" i="2"/>
  <c r="BG309" i="2"/>
  <c r="BK308" i="2"/>
  <c r="BJ308" i="2"/>
  <c r="BI308" i="2"/>
  <c r="BH308" i="2"/>
  <c r="BG308" i="2"/>
  <c r="BK307" i="2"/>
  <c r="BJ307" i="2"/>
  <c r="BI307" i="2"/>
  <c r="BH307" i="2"/>
  <c r="BG307" i="2"/>
  <c r="BK306" i="2"/>
  <c r="BJ306" i="2"/>
  <c r="BI306" i="2"/>
  <c r="BH306" i="2"/>
  <c r="BG306" i="2"/>
  <c r="BK305" i="2"/>
  <c r="BJ305" i="2"/>
  <c r="BI305" i="2"/>
  <c r="BH305" i="2"/>
  <c r="BG305" i="2"/>
  <c r="BK304" i="2"/>
  <c r="BJ304" i="2"/>
  <c r="BI304" i="2"/>
  <c r="BH304" i="2"/>
  <c r="BG304" i="2"/>
  <c r="BK303" i="2"/>
  <c r="BJ303" i="2"/>
  <c r="BI303" i="2"/>
  <c r="BH303" i="2"/>
  <c r="BG303" i="2"/>
  <c r="BK302" i="2"/>
  <c r="BJ302" i="2"/>
  <c r="BI302" i="2"/>
  <c r="BH302" i="2"/>
  <c r="BG302" i="2"/>
  <c r="BK301" i="2"/>
  <c r="BJ301" i="2"/>
  <c r="BI301" i="2"/>
  <c r="BH301" i="2"/>
  <c r="BG301" i="2"/>
  <c r="BK300" i="2"/>
  <c r="BJ300" i="2"/>
  <c r="BI300" i="2"/>
  <c r="BH300" i="2"/>
  <c r="BG300" i="2"/>
  <c r="BK299" i="2"/>
  <c r="BJ299" i="2"/>
  <c r="BI299" i="2"/>
  <c r="BH299" i="2"/>
  <c r="BG299" i="2"/>
  <c r="BK295" i="2"/>
  <c r="BJ295" i="2"/>
  <c r="BI295" i="2"/>
  <c r="BH295" i="2"/>
  <c r="BG295" i="2"/>
  <c r="BK285" i="2"/>
  <c r="BJ285" i="2"/>
  <c r="BI285" i="2"/>
  <c r="BH285" i="2"/>
  <c r="BG285" i="2"/>
  <c r="BK281" i="2"/>
  <c r="BJ281" i="2"/>
  <c r="BI281" i="2"/>
  <c r="BH281" i="2"/>
  <c r="BG281" i="2"/>
  <c r="BK270" i="2"/>
  <c r="BJ270" i="2"/>
  <c r="BI270" i="2"/>
  <c r="BH270" i="2"/>
  <c r="BG270" i="2"/>
  <c r="BK265" i="2"/>
  <c r="BJ265" i="2"/>
  <c r="BI265" i="2"/>
  <c r="BH265" i="2"/>
  <c r="BG265" i="2"/>
  <c r="BK263" i="2"/>
  <c r="BJ263" i="2"/>
  <c r="BI263" i="2"/>
  <c r="BH263" i="2"/>
  <c r="BG263" i="2"/>
  <c r="BK262" i="2"/>
  <c r="BJ262" i="2"/>
  <c r="BI262" i="2"/>
  <c r="BH262" i="2"/>
  <c r="BG262" i="2"/>
  <c r="BK261" i="2"/>
  <c r="BJ261" i="2"/>
  <c r="BI261" i="2"/>
  <c r="BH261" i="2"/>
  <c r="BG261" i="2"/>
  <c r="BK260" i="2"/>
  <c r="BJ260" i="2"/>
  <c r="BI260" i="2"/>
  <c r="BH260" i="2"/>
  <c r="BG260" i="2"/>
  <c r="BK257" i="2"/>
  <c r="BJ257" i="2"/>
  <c r="BI257" i="2"/>
  <c r="BH257" i="2"/>
  <c r="BG257" i="2"/>
  <c r="BK255" i="2"/>
  <c r="BJ255" i="2"/>
  <c r="BI255" i="2"/>
  <c r="BH255" i="2"/>
  <c r="BG255" i="2"/>
  <c r="BK253" i="2"/>
  <c r="BJ253" i="2"/>
  <c r="BI253" i="2"/>
  <c r="BH253" i="2"/>
  <c r="BG253" i="2"/>
  <c r="BK252" i="2"/>
  <c r="BJ252" i="2"/>
  <c r="BI252" i="2"/>
  <c r="BH252" i="2"/>
  <c r="BG252" i="2"/>
  <c r="BK251" i="2"/>
  <c r="BJ251" i="2"/>
  <c r="BI251" i="2"/>
  <c r="BH251" i="2"/>
  <c r="BG251" i="2"/>
  <c r="BK250" i="2"/>
  <c r="BJ250" i="2"/>
  <c r="BI250" i="2"/>
  <c r="BH250" i="2"/>
  <c r="BG250" i="2"/>
  <c r="BK247" i="2"/>
  <c r="BJ247" i="2"/>
  <c r="BI247" i="2"/>
  <c r="BH247" i="2"/>
  <c r="BG247" i="2"/>
  <c r="BK241" i="2"/>
  <c r="BJ241" i="2"/>
  <c r="BI241" i="2"/>
  <c r="BH241" i="2"/>
  <c r="BG241" i="2"/>
  <c r="BK234" i="2"/>
  <c r="BJ234" i="2"/>
  <c r="BI234" i="2"/>
  <c r="BH234" i="2"/>
  <c r="BG234" i="2"/>
  <c r="BK227" i="2"/>
  <c r="BJ227" i="2"/>
  <c r="BI227" i="2"/>
  <c r="BH227" i="2"/>
  <c r="BG227" i="2"/>
  <c r="BK217" i="2"/>
  <c r="BJ217" i="2"/>
  <c r="BI217" i="2"/>
  <c r="BH217" i="2"/>
  <c r="BG217" i="2"/>
  <c r="BK210" i="2"/>
  <c r="BJ210" i="2"/>
  <c r="BI210" i="2"/>
  <c r="BH210" i="2"/>
  <c r="BG210" i="2"/>
  <c r="BK209" i="2"/>
  <c r="BJ209" i="2"/>
  <c r="BI209" i="2"/>
  <c r="BH209" i="2"/>
  <c r="BG209" i="2"/>
  <c r="BK200" i="2"/>
  <c r="BJ200" i="2"/>
  <c r="BI200" i="2"/>
  <c r="BH200" i="2"/>
  <c r="BG200" i="2"/>
  <c r="BK190" i="2"/>
  <c r="BJ190" i="2"/>
  <c r="BI190" i="2"/>
  <c r="BH190" i="2"/>
  <c r="BG190" i="2"/>
  <c r="BK187" i="2"/>
  <c r="BJ187" i="2"/>
  <c r="BI187" i="2"/>
  <c r="BH187" i="2"/>
  <c r="BG187" i="2"/>
  <c r="BK183" i="2"/>
  <c r="BJ183" i="2"/>
  <c r="BI183" i="2"/>
  <c r="BH183" i="2"/>
  <c r="BG183" i="2"/>
  <c r="BK178" i="2"/>
  <c r="BJ178" i="2"/>
  <c r="BI178" i="2"/>
  <c r="BH178" i="2"/>
  <c r="BG178" i="2"/>
  <c r="BK176" i="2"/>
  <c r="BJ176" i="2"/>
  <c r="BI176" i="2"/>
  <c r="BH176" i="2"/>
  <c r="BG176" i="2"/>
  <c r="BK175" i="2"/>
  <c r="BJ175" i="2"/>
  <c r="BI175" i="2"/>
  <c r="BH175" i="2"/>
  <c r="BG175" i="2"/>
  <c r="BK170" i="2"/>
  <c r="BJ170" i="2"/>
  <c r="BI170" i="2"/>
  <c r="BH170" i="2"/>
  <c r="BG170" i="2"/>
  <c r="BK161" i="2"/>
  <c r="BJ161" i="2"/>
  <c r="BI161" i="2"/>
  <c r="BH161" i="2"/>
  <c r="BG161" i="2"/>
  <c r="BK165" i="2"/>
  <c r="BJ165" i="2"/>
  <c r="BI165" i="2"/>
  <c r="BH165" i="2"/>
  <c r="BG165" i="2"/>
  <c r="BK148" i="2"/>
  <c r="BJ148" i="2"/>
  <c r="BI148" i="2"/>
  <c r="BH148" i="2"/>
  <c r="BG148" i="2"/>
  <c r="BK146" i="2"/>
  <c r="BJ146" i="2"/>
  <c r="BI146" i="2"/>
  <c r="BH146" i="2"/>
  <c r="BG146" i="2"/>
  <c r="BK144" i="2"/>
  <c r="BJ144" i="2"/>
  <c r="BI144" i="2"/>
  <c r="BH144" i="2"/>
  <c r="BG144" i="2"/>
  <c r="BK141" i="2"/>
  <c r="BJ141" i="2"/>
  <c r="BI141" i="2"/>
  <c r="BH141" i="2"/>
  <c r="BG141" i="2"/>
  <c r="BK130" i="2"/>
  <c r="BJ130" i="2"/>
  <c r="BI130" i="2"/>
  <c r="BH130" i="2"/>
  <c r="BG130" i="2"/>
  <c r="BK120" i="2"/>
  <c r="BJ120" i="2"/>
  <c r="BI120" i="2"/>
  <c r="BH120" i="2"/>
  <c r="BG120" i="2"/>
  <c r="BK115" i="2"/>
  <c r="BJ115" i="2"/>
  <c r="BI115" i="2"/>
  <c r="BH115" i="2"/>
  <c r="BG115" i="2"/>
  <c r="BK107" i="2"/>
  <c r="BJ107" i="2"/>
  <c r="BI107" i="2"/>
  <c r="BH107" i="2"/>
  <c r="BG107" i="2"/>
  <c r="BK101" i="2"/>
  <c r="BJ101" i="2"/>
  <c r="BI101" i="2"/>
  <c r="BH101" i="2"/>
  <c r="BG101" i="2"/>
  <c r="BK99" i="2"/>
  <c r="BJ99" i="2"/>
  <c r="BI99" i="2"/>
  <c r="BH99" i="2"/>
  <c r="BG99" i="2"/>
  <c r="BK97" i="2"/>
  <c r="BJ97" i="2"/>
  <c r="BI97" i="2"/>
  <c r="BH97" i="2"/>
  <c r="BG97" i="2"/>
  <c r="BK93" i="2"/>
  <c r="BJ93" i="2"/>
  <c r="BI93" i="2"/>
  <c r="BH93" i="2"/>
  <c r="BG93" i="2"/>
  <c r="BK88" i="2"/>
  <c r="BJ88" i="2"/>
  <c r="BI88" i="2"/>
  <c r="BH88" i="2"/>
  <c r="BG88" i="2"/>
  <c r="BK79" i="2"/>
  <c r="BJ79" i="2"/>
  <c r="BI79" i="2"/>
  <c r="BH79" i="2"/>
  <c r="BG79" i="2"/>
  <c r="BK75" i="2"/>
  <c r="BJ75" i="2"/>
  <c r="BI75" i="2"/>
  <c r="BH75" i="2"/>
  <c r="BG75" i="2"/>
  <c r="BK68" i="2"/>
  <c r="BJ68" i="2"/>
  <c r="BI68" i="2"/>
  <c r="BH68" i="2"/>
  <c r="BG68" i="2"/>
  <c r="BK66" i="2"/>
  <c r="BJ66" i="2"/>
  <c r="BI66" i="2"/>
  <c r="BH66" i="2"/>
  <c r="BG66" i="2"/>
  <c r="BK65" i="2"/>
  <c r="BJ65" i="2"/>
  <c r="BI65" i="2"/>
  <c r="BH65" i="2"/>
  <c r="BG65" i="2"/>
  <c r="BK64" i="2"/>
  <c r="BJ64" i="2"/>
  <c r="BI64" i="2"/>
  <c r="BH64" i="2"/>
  <c r="BG64" i="2"/>
  <c r="BK61" i="2"/>
  <c r="BJ61" i="2"/>
  <c r="BI61" i="2"/>
  <c r="BH61" i="2"/>
  <c r="BG61" i="2"/>
  <c r="BK59" i="2"/>
  <c r="BJ59" i="2"/>
  <c r="BI59" i="2"/>
  <c r="BH59" i="2"/>
  <c r="BG59" i="2"/>
  <c r="BK54" i="2"/>
  <c r="BJ54" i="2"/>
  <c r="BI54" i="2"/>
  <c r="BH54" i="2"/>
  <c r="BG54" i="2"/>
  <c r="BK50" i="2"/>
  <c r="BJ50" i="2"/>
  <c r="BI50" i="2"/>
  <c r="BH50" i="2"/>
  <c r="BG50" i="2"/>
  <c r="BK39" i="2"/>
  <c r="BJ39" i="2"/>
  <c r="BI39" i="2"/>
  <c r="BH39" i="2"/>
  <c r="BG39" i="2"/>
  <c r="BK37" i="2"/>
  <c r="BJ37" i="2"/>
  <c r="BI37" i="2"/>
  <c r="BH37" i="2"/>
  <c r="BG37" i="2"/>
  <c r="BK33" i="2"/>
  <c r="BJ33" i="2"/>
  <c r="BI33" i="2"/>
  <c r="BH33" i="2"/>
  <c r="BG33" i="2"/>
  <c r="BK31" i="2"/>
  <c r="BJ31" i="2"/>
  <c r="BI31" i="2"/>
  <c r="BH31" i="2"/>
  <c r="BG31" i="2"/>
  <c r="BK27" i="2"/>
  <c r="BJ27" i="2"/>
  <c r="BI27" i="2"/>
  <c r="BH27" i="2"/>
  <c r="BG27" i="2"/>
  <c r="BK20" i="2"/>
  <c r="BJ20" i="2"/>
  <c r="BI20" i="2"/>
  <c r="BH20" i="2"/>
  <c r="BG20" i="2"/>
  <c r="BK17" i="2"/>
  <c r="BJ17" i="2"/>
  <c r="BI17" i="2"/>
  <c r="BH17" i="2"/>
  <c r="BG17" i="2"/>
  <c r="BK14" i="2"/>
  <c r="BJ14" i="2"/>
  <c r="BI14" i="2"/>
  <c r="BH14" i="2"/>
  <c r="BG14" i="2"/>
  <c r="BK11" i="2"/>
  <c r="BJ11" i="2"/>
  <c r="BI11" i="2"/>
  <c r="BH11" i="2"/>
  <c r="BG11" i="2"/>
  <c r="BF355" i="2"/>
  <c r="BE355" i="2"/>
  <c r="BD355" i="2"/>
  <c r="BC355" i="2"/>
  <c r="BB355" i="2"/>
  <c r="BF340" i="2"/>
  <c r="BE340" i="2"/>
  <c r="BD340" i="2"/>
  <c r="BC340" i="2"/>
  <c r="BB340" i="2"/>
  <c r="BF339" i="2"/>
  <c r="BE339" i="2"/>
  <c r="BD339" i="2"/>
  <c r="BC339" i="2"/>
  <c r="BB339" i="2"/>
  <c r="BF338" i="2"/>
  <c r="BE338" i="2"/>
  <c r="BD338" i="2"/>
  <c r="BC338" i="2"/>
  <c r="BB338" i="2"/>
  <c r="BF337" i="2"/>
  <c r="BE337" i="2"/>
  <c r="BD337" i="2"/>
  <c r="BC337" i="2"/>
  <c r="BB337" i="2"/>
  <c r="BF336" i="2"/>
  <c r="BE336" i="2"/>
  <c r="BD336" i="2"/>
  <c r="BC336" i="2"/>
  <c r="BB336" i="2"/>
  <c r="BF335" i="2"/>
  <c r="BE335" i="2"/>
  <c r="BD335" i="2"/>
  <c r="BC335" i="2"/>
  <c r="BB335" i="2"/>
  <c r="BF333" i="2"/>
  <c r="BE333" i="2"/>
  <c r="BD333" i="2"/>
  <c r="BC333" i="2"/>
  <c r="BB333" i="2"/>
  <c r="BF331" i="2"/>
  <c r="BE331" i="2"/>
  <c r="BD331" i="2"/>
  <c r="BC331" i="2"/>
  <c r="BB331" i="2"/>
  <c r="BF329" i="2"/>
  <c r="BE329" i="2"/>
  <c r="BD329" i="2"/>
  <c r="BC329" i="2"/>
  <c r="BB329" i="2"/>
  <c r="BF326" i="2"/>
  <c r="BE326" i="2"/>
  <c r="BD326" i="2"/>
  <c r="BC326" i="2"/>
  <c r="BB326" i="2"/>
  <c r="BF325" i="2"/>
  <c r="BE325" i="2"/>
  <c r="BD325" i="2"/>
  <c r="BC325" i="2"/>
  <c r="BB325" i="2"/>
  <c r="BF324" i="2"/>
  <c r="BE324" i="2"/>
  <c r="BD324" i="2"/>
  <c r="BC324" i="2"/>
  <c r="BB324" i="2"/>
  <c r="BF323" i="2"/>
  <c r="BE323" i="2"/>
  <c r="BD323" i="2"/>
  <c r="BC323" i="2"/>
  <c r="BB323" i="2"/>
  <c r="BF322" i="2"/>
  <c r="BE322" i="2"/>
  <c r="BD322" i="2"/>
  <c r="BC322" i="2"/>
  <c r="BB322" i="2"/>
  <c r="BF321" i="2"/>
  <c r="BE321" i="2"/>
  <c r="BD321" i="2"/>
  <c r="BC321" i="2"/>
  <c r="BB321" i="2"/>
  <c r="BF320" i="2"/>
  <c r="BE320" i="2"/>
  <c r="BD320" i="2"/>
  <c r="BC320" i="2"/>
  <c r="BB320" i="2"/>
  <c r="BF319" i="2"/>
  <c r="BE319" i="2"/>
  <c r="BD319" i="2"/>
  <c r="BC319" i="2"/>
  <c r="BB319" i="2"/>
  <c r="BF318" i="2"/>
  <c r="BE318" i="2"/>
  <c r="BD318" i="2"/>
  <c r="BC318" i="2"/>
  <c r="BB318" i="2"/>
  <c r="BF317" i="2"/>
  <c r="BE317" i="2"/>
  <c r="BD317" i="2"/>
  <c r="BC317" i="2"/>
  <c r="BB317" i="2"/>
  <c r="BF316" i="2"/>
  <c r="BE316" i="2"/>
  <c r="BD316" i="2"/>
  <c r="BC316" i="2"/>
  <c r="BB316" i="2"/>
  <c r="BF315" i="2"/>
  <c r="BE315" i="2"/>
  <c r="BD315" i="2"/>
  <c r="BC315" i="2"/>
  <c r="BB315" i="2"/>
  <c r="BF314" i="2"/>
  <c r="BE314" i="2"/>
  <c r="BD314" i="2"/>
  <c r="BC314" i="2"/>
  <c r="BB314" i="2"/>
  <c r="BF313" i="2"/>
  <c r="BE313" i="2"/>
  <c r="BD313" i="2"/>
  <c r="BC313" i="2"/>
  <c r="BB313" i="2"/>
  <c r="BF312" i="2"/>
  <c r="BE312" i="2"/>
  <c r="BD312" i="2"/>
  <c r="BC312" i="2"/>
  <c r="BB312" i="2"/>
  <c r="BF311" i="2"/>
  <c r="BE311" i="2"/>
  <c r="BD311" i="2"/>
  <c r="BC311" i="2"/>
  <c r="BB311" i="2"/>
  <c r="BF310" i="2"/>
  <c r="BE310" i="2"/>
  <c r="BD310" i="2"/>
  <c r="BC310" i="2"/>
  <c r="BB310" i="2"/>
  <c r="BF309" i="2"/>
  <c r="BE309" i="2"/>
  <c r="BD309" i="2"/>
  <c r="BC309" i="2"/>
  <c r="BB309" i="2"/>
  <c r="BF308" i="2"/>
  <c r="BE308" i="2"/>
  <c r="BD308" i="2"/>
  <c r="BC308" i="2"/>
  <c r="BB308" i="2"/>
  <c r="BF307" i="2"/>
  <c r="BE307" i="2"/>
  <c r="BD307" i="2"/>
  <c r="BC307" i="2"/>
  <c r="BB307" i="2"/>
  <c r="BF306" i="2"/>
  <c r="BE306" i="2"/>
  <c r="BD306" i="2"/>
  <c r="BC306" i="2"/>
  <c r="BB306" i="2"/>
  <c r="BF305" i="2"/>
  <c r="BE305" i="2"/>
  <c r="BD305" i="2"/>
  <c r="BC305" i="2"/>
  <c r="BB305" i="2"/>
  <c r="BF304" i="2"/>
  <c r="BE304" i="2"/>
  <c r="BD304" i="2"/>
  <c r="BC304" i="2"/>
  <c r="BB304" i="2"/>
  <c r="BF303" i="2"/>
  <c r="BE303" i="2"/>
  <c r="BD303" i="2"/>
  <c r="BC303" i="2"/>
  <c r="BB303" i="2"/>
  <c r="BF302" i="2"/>
  <c r="BE302" i="2"/>
  <c r="BD302" i="2"/>
  <c r="BC302" i="2"/>
  <c r="BB302" i="2"/>
  <c r="BF301" i="2"/>
  <c r="BE301" i="2"/>
  <c r="BD301" i="2"/>
  <c r="BC301" i="2"/>
  <c r="BB301" i="2"/>
  <c r="BF300" i="2"/>
  <c r="BE300" i="2"/>
  <c r="BD300" i="2"/>
  <c r="BC300" i="2"/>
  <c r="BB300" i="2"/>
  <c r="BF299" i="2"/>
  <c r="BE299" i="2"/>
  <c r="BD299" i="2"/>
  <c r="BC299" i="2"/>
  <c r="BB299" i="2"/>
  <c r="BF295" i="2"/>
  <c r="BE295" i="2"/>
  <c r="BD295" i="2"/>
  <c r="BC295" i="2"/>
  <c r="BB295" i="2"/>
  <c r="BF285" i="2"/>
  <c r="BE285" i="2"/>
  <c r="BD285" i="2"/>
  <c r="BC285" i="2"/>
  <c r="BB285" i="2"/>
  <c r="BF281" i="2"/>
  <c r="BE281" i="2"/>
  <c r="BD281" i="2"/>
  <c r="BC281" i="2"/>
  <c r="BB281" i="2"/>
  <c r="BF270" i="2"/>
  <c r="BE270" i="2"/>
  <c r="BD270" i="2"/>
  <c r="BC270" i="2"/>
  <c r="BB270" i="2"/>
  <c r="BF265" i="2"/>
  <c r="BE265" i="2"/>
  <c r="BD265" i="2"/>
  <c r="BC265" i="2"/>
  <c r="BB265" i="2"/>
  <c r="BF263" i="2"/>
  <c r="BE263" i="2"/>
  <c r="BD263" i="2"/>
  <c r="BC263" i="2"/>
  <c r="BB263" i="2"/>
  <c r="BF262" i="2"/>
  <c r="BE262" i="2"/>
  <c r="BD262" i="2"/>
  <c r="BC262" i="2"/>
  <c r="BB262" i="2"/>
  <c r="BF261" i="2"/>
  <c r="BE261" i="2"/>
  <c r="BD261" i="2"/>
  <c r="BC261" i="2"/>
  <c r="BB261" i="2"/>
  <c r="BF260" i="2"/>
  <c r="BE260" i="2"/>
  <c r="BD260" i="2"/>
  <c r="BC260" i="2"/>
  <c r="BB260" i="2"/>
  <c r="BF257" i="2"/>
  <c r="BE257" i="2"/>
  <c r="BD257" i="2"/>
  <c r="BC257" i="2"/>
  <c r="BB257" i="2"/>
  <c r="BF255" i="2"/>
  <c r="BE255" i="2"/>
  <c r="BD255" i="2"/>
  <c r="BC255" i="2"/>
  <c r="BB255" i="2"/>
  <c r="BF253" i="2"/>
  <c r="BE253" i="2"/>
  <c r="BD253" i="2"/>
  <c r="BC253" i="2"/>
  <c r="BB253" i="2"/>
  <c r="BF252" i="2"/>
  <c r="BE252" i="2"/>
  <c r="BD252" i="2"/>
  <c r="BC252" i="2"/>
  <c r="BB252" i="2"/>
  <c r="BF251" i="2"/>
  <c r="BE251" i="2"/>
  <c r="BD251" i="2"/>
  <c r="BC251" i="2"/>
  <c r="BB251" i="2"/>
  <c r="BF250" i="2"/>
  <c r="BE250" i="2"/>
  <c r="BD250" i="2"/>
  <c r="BC250" i="2"/>
  <c r="BB250" i="2"/>
  <c r="BF247" i="2"/>
  <c r="BE247" i="2"/>
  <c r="BD247" i="2"/>
  <c r="BC247" i="2"/>
  <c r="BB247" i="2"/>
  <c r="BF241" i="2"/>
  <c r="BE241" i="2"/>
  <c r="BD241" i="2"/>
  <c r="BC241" i="2"/>
  <c r="BB241" i="2"/>
  <c r="BF234" i="2"/>
  <c r="BE234" i="2"/>
  <c r="BD234" i="2"/>
  <c r="BC234" i="2"/>
  <c r="BB234" i="2"/>
  <c r="BF227" i="2"/>
  <c r="BE227" i="2"/>
  <c r="BD227" i="2"/>
  <c r="BC227" i="2"/>
  <c r="BB227" i="2"/>
  <c r="BF217" i="2"/>
  <c r="BE217" i="2"/>
  <c r="BD217" i="2"/>
  <c r="BC217" i="2"/>
  <c r="BB217" i="2"/>
  <c r="BF210" i="2"/>
  <c r="BE210" i="2"/>
  <c r="BD210" i="2"/>
  <c r="BC210" i="2"/>
  <c r="BB210" i="2"/>
  <c r="BF209" i="2"/>
  <c r="BE209" i="2"/>
  <c r="BD209" i="2"/>
  <c r="BC209" i="2"/>
  <c r="BB209" i="2"/>
  <c r="BF200" i="2"/>
  <c r="BE200" i="2"/>
  <c r="BD200" i="2"/>
  <c r="BC200" i="2"/>
  <c r="BB200" i="2"/>
  <c r="BF190" i="2"/>
  <c r="BE190" i="2"/>
  <c r="BD190" i="2"/>
  <c r="BC190" i="2"/>
  <c r="BB190" i="2"/>
  <c r="BF187" i="2"/>
  <c r="BE187" i="2"/>
  <c r="BD187" i="2"/>
  <c r="BC187" i="2"/>
  <c r="BB187" i="2"/>
  <c r="BF183" i="2"/>
  <c r="BE183" i="2"/>
  <c r="BD183" i="2"/>
  <c r="BC183" i="2"/>
  <c r="BB183" i="2"/>
  <c r="BF178" i="2"/>
  <c r="BE178" i="2"/>
  <c r="BD178" i="2"/>
  <c r="BC178" i="2"/>
  <c r="BB178" i="2"/>
  <c r="BF176" i="2"/>
  <c r="BE176" i="2"/>
  <c r="BD176" i="2"/>
  <c r="BC176" i="2"/>
  <c r="BB176" i="2"/>
  <c r="BF175" i="2"/>
  <c r="BE175" i="2"/>
  <c r="BD175" i="2"/>
  <c r="BC175" i="2"/>
  <c r="BB175" i="2"/>
  <c r="BF170" i="2"/>
  <c r="BE170" i="2"/>
  <c r="BD170" i="2"/>
  <c r="BC170" i="2"/>
  <c r="BB170" i="2"/>
  <c r="BF161" i="2"/>
  <c r="BE161" i="2"/>
  <c r="BD161" i="2"/>
  <c r="BC161" i="2"/>
  <c r="BB161" i="2"/>
  <c r="BF165" i="2"/>
  <c r="BE165" i="2"/>
  <c r="BD165" i="2"/>
  <c r="BC165" i="2"/>
  <c r="BB165" i="2"/>
  <c r="BF148" i="2"/>
  <c r="BE148" i="2"/>
  <c r="BD148" i="2"/>
  <c r="BC148" i="2"/>
  <c r="BB148" i="2"/>
  <c r="BF146" i="2"/>
  <c r="BE146" i="2"/>
  <c r="BD146" i="2"/>
  <c r="BC146" i="2"/>
  <c r="BB146" i="2"/>
  <c r="BF144" i="2"/>
  <c r="BE144" i="2"/>
  <c r="BD144" i="2"/>
  <c r="BC144" i="2"/>
  <c r="BB144" i="2"/>
  <c r="BF141" i="2"/>
  <c r="BE141" i="2"/>
  <c r="BD141" i="2"/>
  <c r="BC141" i="2"/>
  <c r="BB141" i="2"/>
  <c r="BF130" i="2"/>
  <c r="BE130" i="2"/>
  <c r="BD130" i="2"/>
  <c r="BC130" i="2"/>
  <c r="BB130" i="2"/>
  <c r="BF120" i="2"/>
  <c r="BE120" i="2"/>
  <c r="BD120" i="2"/>
  <c r="BC120" i="2"/>
  <c r="BB120" i="2"/>
  <c r="BF115" i="2"/>
  <c r="BE115" i="2"/>
  <c r="BD115" i="2"/>
  <c r="BC115" i="2"/>
  <c r="BB115" i="2"/>
  <c r="BF107" i="2"/>
  <c r="BE107" i="2"/>
  <c r="BD107" i="2"/>
  <c r="BC107" i="2"/>
  <c r="BB107" i="2"/>
  <c r="BF101" i="2"/>
  <c r="BE101" i="2"/>
  <c r="BD101" i="2"/>
  <c r="BC101" i="2"/>
  <c r="BB101" i="2"/>
  <c r="BF99" i="2"/>
  <c r="BE99" i="2"/>
  <c r="BD99" i="2"/>
  <c r="BC99" i="2"/>
  <c r="BB99" i="2"/>
  <c r="BF97" i="2"/>
  <c r="BE97" i="2"/>
  <c r="BD97" i="2"/>
  <c r="BC97" i="2"/>
  <c r="BB97" i="2"/>
  <c r="BF93" i="2"/>
  <c r="BE93" i="2"/>
  <c r="BD93" i="2"/>
  <c r="BC93" i="2"/>
  <c r="BB93" i="2"/>
  <c r="BF88" i="2"/>
  <c r="BE88" i="2"/>
  <c r="BD88" i="2"/>
  <c r="BC88" i="2"/>
  <c r="BB88" i="2"/>
  <c r="BF79" i="2"/>
  <c r="BE79" i="2"/>
  <c r="BD79" i="2"/>
  <c r="BC79" i="2"/>
  <c r="BB79" i="2"/>
  <c r="BF75" i="2"/>
  <c r="BE75" i="2"/>
  <c r="BD75" i="2"/>
  <c r="BC75" i="2"/>
  <c r="BB75" i="2"/>
  <c r="BF68" i="2"/>
  <c r="BE68" i="2"/>
  <c r="BD68" i="2"/>
  <c r="BC68" i="2"/>
  <c r="BB68" i="2"/>
  <c r="BF66" i="2"/>
  <c r="BE66" i="2"/>
  <c r="BD66" i="2"/>
  <c r="BC66" i="2"/>
  <c r="BB66" i="2"/>
  <c r="BF65" i="2"/>
  <c r="BE65" i="2"/>
  <c r="BD65" i="2"/>
  <c r="BC65" i="2"/>
  <c r="BB65" i="2"/>
  <c r="BF64" i="2"/>
  <c r="BE64" i="2"/>
  <c r="BD64" i="2"/>
  <c r="BC64" i="2"/>
  <c r="BB64" i="2"/>
  <c r="BF61" i="2"/>
  <c r="BE61" i="2"/>
  <c r="BD61" i="2"/>
  <c r="BC61" i="2"/>
  <c r="BB61" i="2"/>
  <c r="BF59" i="2"/>
  <c r="BE59" i="2"/>
  <c r="BD59" i="2"/>
  <c r="BC59" i="2"/>
  <c r="BB59" i="2"/>
  <c r="BF54" i="2"/>
  <c r="BE54" i="2"/>
  <c r="BD54" i="2"/>
  <c r="BC54" i="2"/>
  <c r="BB54" i="2"/>
  <c r="BF50" i="2"/>
  <c r="BE50" i="2"/>
  <c r="BD50" i="2"/>
  <c r="BC50" i="2"/>
  <c r="BB50" i="2"/>
  <c r="BF39" i="2"/>
  <c r="BE39" i="2"/>
  <c r="BD39" i="2"/>
  <c r="BC39" i="2"/>
  <c r="BB39" i="2"/>
  <c r="BF37" i="2"/>
  <c r="BE37" i="2"/>
  <c r="BD37" i="2"/>
  <c r="BC37" i="2"/>
  <c r="BB37" i="2"/>
  <c r="BF33" i="2"/>
  <c r="BE33" i="2"/>
  <c r="BD33" i="2"/>
  <c r="BC33" i="2"/>
  <c r="BB33" i="2"/>
  <c r="BF31" i="2"/>
  <c r="BE31" i="2"/>
  <c r="BD31" i="2"/>
  <c r="BC31" i="2"/>
  <c r="BB31" i="2"/>
  <c r="BF27" i="2"/>
  <c r="BE27" i="2"/>
  <c r="BD27" i="2"/>
  <c r="BC27" i="2"/>
  <c r="BB27" i="2"/>
  <c r="BF20" i="2"/>
  <c r="BE20" i="2"/>
  <c r="BD20" i="2"/>
  <c r="BC20" i="2"/>
  <c r="BB20" i="2"/>
  <c r="BF17" i="2"/>
  <c r="BE17" i="2"/>
  <c r="BD17" i="2"/>
  <c r="BC17" i="2"/>
  <c r="BB17" i="2"/>
  <c r="BF14" i="2"/>
  <c r="BE14" i="2"/>
  <c r="BD14" i="2"/>
  <c r="BC14" i="2"/>
  <c r="BB14" i="2"/>
  <c r="BF11" i="2"/>
  <c r="BE11" i="2"/>
  <c r="BD11" i="2"/>
  <c r="BC11" i="2"/>
  <c r="BB11" i="2"/>
  <c r="Z327" i="2" l="1"/>
  <c r="E20" i="14" s="1"/>
  <c r="C78" i="14" s="1"/>
  <c r="D21" i="1"/>
  <c r="D21" i="10"/>
  <c r="D20" i="12"/>
  <c r="D20" i="14"/>
  <c r="D20" i="13"/>
  <c r="BL328" i="2"/>
  <c r="CM328" i="2" s="1"/>
  <c r="BH147" i="2"/>
  <c r="CI147" i="2" s="1"/>
  <c r="BM211" i="2"/>
  <c r="CN211" i="2" s="1"/>
  <c r="BO38" i="2"/>
  <c r="CP38" i="2" s="1"/>
  <c r="BO100" i="2"/>
  <c r="CP100" i="2" s="1"/>
  <c r="BF177" i="2"/>
  <c r="BB254" i="2"/>
  <c r="CC254" i="2" s="1"/>
  <c r="BM10" i="2"/>
  <c r="CN10" i="2" s="1"/>
  <c r="BM254" i="2"/>
  <c r="CN254" i="2" s="1"/>
  <c r="BG10" i="2"/>
  <c r="CH10" i="2" s="1"/>
  <c r="BJ38" i="2"/>
  <c r="CK38" i="2" s="1"/>
  <c r="BH177" i="2"/>
  <c r="BK177" i="2"/>
  <c r="BI177" i="2"/>
  <c r="BJ177" i="2"/>
  <c r="BK254" i="2"/>
  <c r="CL254" i="2" s="1"/>
  <c r="BP147" i="2"/>
  <c r="CQ147" i="2" s="1"/>
  <c r="BN211" i="2"/>
  <c r="CO211" i="2" s="1"/>
  <c r="BP254" i="2"/>
  <c r="CQ254" i="2" s="1"/>
  <c r="BP264" i="2"/>
  <c r="CQ264" i="2" s="1"/>
  <c r="BF100" i="2"/>
  <c r="CG100" i="2" s="1"/>
  <c r="BG67" i="2"/>
  <c r="CH67" i="2" s="1"/>
  <c r="BO10" i="2"/>
  <c r="CP10" i="2" s="1"/>
  <c r="BL38" i="2"/>
  <c r="CM38" i="2" s="1"/>
  <c r="BL100" i="2"/>
  <c r="CM100" i="2" s="1"/>
  <c r="BM100" i="2"/>
  <c r="CN100" i="2" s="1"/>
  <c r="BO211" i="2"/>
  <c r="CP211" i="2" s="1"/>
  <c r="BN328" i="2"/>
  <c r="CO328" i="2" s="1"/>
  <c r="BC298" i="2"/>
  <c r="CD298" i="2" s="1"/>
  <c r="BL264" i="2"/>
  <c r="CM264" i="2" s="1"/>
  <c r="BF147" i="2"/>
  <c r="CG147" i="2" s="1"/>
  <c r="BD177" i="2"/>
  <c r="BD254" i="2"/>
  <c r="CE254" i="2" s="1"/>
  <c r="BF264" i="2"/>
  <c r="CG264" i="2" s="1"/>
  <c r="BN67" i="2"/>
  <c r="CO67" i="2" s="1"/>
  <c r="BM177" i="2"/>
  <c r="BL211" i="2"/>
  <c r="CM211" i="2" s="1"/>
  <c r="BL298" i="2"/>
  <c r="CM298" i="2" s="1"/>
  <c r="BN10" i="2"/>
  <c r="CO10" i="2" s="1"/>
  <c r="BF67" i="2"/>
  <c r="CG67" i="2" s="1"/>
  <c r="BH298" i="2"/>
  <c r="CI298" i="2" s="1"/>
  <c r="BK298" i="2"/>
  <c r="CL298" i="2" s="1"/>
  <c r="BG298" i="2"/>
  <c r="CH298" i="2" s="1"/>
  <c r="BO67" i="2"/>
  <c r="CP67" i="2" s="1"/>
  <c r="BN177" i="2"/>
  <c r="BH254" i="2"/>
  <c r="CI254" i="2" s="1"/>
  <c r="BC38" i="2"/>
  <c r="CD38" i="2" s="1"/>
  <c r="BE328" i="2"/>
  <c r="CF328" i="2" s="1"/>
  <c r="BM67" i="2"/>
  <c r="CN67" i="2" s="1"/>
  <c r="BF211" i="2"/>
  <c r="CG211" i="2" s="1"/>
  <c r="BG264" i="2"/>
  <c r="CH264" i="2" s="1"/>
  <c r="BJ264" i="2"/>
  <c r="CK264" i="2" s="1"/>
  <c r="BH264" i="2"/>
  <c r="CI264" i="2" s="1"/>
  <c r="BP38" i="2"/>
  <c r="CQ38" i="2" s="1"/>
  <c r="BM147" i="2"/>
  <c r="CN147" i="2" s="1"/>
  <c r="BO177" i="2"/>
  <c r="BG254" i="2"/>
  <c r="CH254" i="2" s="1"/>
  <c r="BJ298" i="2"/>
  <c r="CK298" i="2" s="1"/>
  <c r="BK328" i="2"/>
  <c r="CL328" i="2" s="1"/>
  <c r="BP10" i="2"/>
  <c r="CQ10" i="2" s="1"/>
  <c r="BN100" i="2"/>
  <c r="CO100" i="2" s="1"/>
  <c r="BC254" i="2"/>
  <c r="CD254" i="2" s="1"/>
  <c r="BF298" i="2"/>
  <c r="CG298" i="2" s="1"/>
  <c r="BB10" i="2"/>
  <c r="CC10" i="2" s="1"/>
  <c r="BB100" i="2"/>
  <c r="CC100" i="2" s="1"/>
  <c r="BJ10" i="2"/>
  <c r="CK10" i="2" s="1"/>
  <c r="BH10" i="2"/>
  <c r="CI10" i="2" s="1"/>
  <c r="BH38" i="2"/>
  <c r="CI38" i="2" s="1"/>
  <c r="BG38" i="2"/>
  <c r="CH38" i="2" s="1"/>
  <c r="BH211" i="2"/>
  <c r="CI211" i="2" s="1"/>
  <c r="BK211" i="2"/>
  <c r="CL211" i="2" s="1"/>
  <c r="BI211" i="2"/>
  <c r="CJ211" i="2" s="1"/>
  <c r="BJ211" i="2"/>
  <c r="CK211" i="2" s="1"/>
  <c r="BI254" i="2"/>
  <c r="CJ254" i="2" s="1"/>
  <c r="BP67" i="2"/>
  <c r="CQ67" i="2" s="1"/>
  <c r="BP177" i="2"/>
  <c r="BM264" i="2"/>
  <c r="CN264" i="2" s="1"/>
  <c r="BB177" i="2"/>
  <c r="BI10" i="2"/>
  <c r="CJ10" i="2" s="1"/>
  <c r="BG177" i="2"/>
  <c r="BJ254" i="2"/>
  <c r="CK254" i="2" s="1"/>
  <c r="BK264" i="2"/>
  <c r="CL264" i="2" s="1"/>
  <c r="BI264" i="2"/>
  <c r="CJ264" i="2" s="1"/>
  <c r="BI298" i="2"/>
  <c r="CJ298" i="2" s="1"/>
  <c r="BL67" i="2"/>
  <c r="CM67" i="2" s="1"/>
  <c r="BL177" i="2"/>
  <c r="BN264" i="2"/>
  <c r="CO264" i="2" s="1"/>
  <c r="BD38" i="2"/>
  <c r="CE38" i="2" s="1"/>
  <c r="BC264" i="2"/>
  <c r="CD264" i="2" s="1"/>
  <c r="BG100" i="2"/>
  <c r="CH100" i="2" s="1"/>
  <c r="BK147" i="2"/>
  <c r="CL147" i="2" s="1"/>
  <c r="BI147" i="2"/>
  <c r="CJ147" i="2" s="1"/>
  <c r="BM38" i="2"/>
  <c r="CN38" i="2" s="1"/>
  <c r="BN147" i="2"/>
  <c r="CO147" i="2" s="1"/>
  <c r="BN254" i="2"/>
  <c r="CO254" i="2" s="1"/>
  <c r="BL254" i="2"/>
  <c r="CM254" i="2" s="1"/>
  <c r="BO264" i="2"/>
  <c r="CP264" i="2" s="1"/>
  <c r="BM298" i="2"/>
  <c r="CN298" i="2" s="1"/>
  <c r="BP298" i="2"/>
  <c r="CQ298" i="2" s="1"/>
  <c r="BO328" i="2"/>
  <c r="CP328" i="2" s="1"/>
  <c r="BM328" i="2"/>
  <c r="CN328" i="2" s="1"/>
  <c r="BF38" i="2"/>
  <c r="CG38" i="2" s="1"/>
  <c r="BE100" i="2"/>
  <c r="CF100" i="2" s="1"/>
  <c r="BE177" i="2"/>
  <c r="BE254" i="2"/>
  <c r="CF254" i="2" s="1"/>
  <c r="BD298" i="2"/>
  <c r="CE298" i="2" s="1"/>
  <c r="BD10" i="2"/>
  <c r="CE10" i="2" s="1"/>
  <c r="BC67" i="2"/>
  <c r="CD67" i="2" s="1"/>
  <c r="BD100" i="2"/>
  <c r="CE100" i="2" s="1"/>
  <c r="BC147" i="2"/>
  <c r="CD147" i="2" s="1"/>
  <c r="BE10" i="2"/>
  <c r="CF10" i="2" s="1"/>
  <c r="BD67" i="2"/>
  <c r="CE67" i="2" s="1"/>
  <c r="BE67" i="2"/>
  <c r="CF67" i="2" s="1"/>
  <c r="BD147" i="2"/>
  <c r="CE147" i="2" s="1"/>
  <c r="BB147" i="2"/>
  <c r="CC147" i="2" s="1"/>
  <c r="BD211" i="2"/>
  <c r="CE211" i="2" s="1"/>
  <c r="BB211" i="2"/>
  <c r="CC211" i="2" s="1"/>
  <c r="BE211" i="2"/>
  <c r="CF211" i="2" s="1"/>
  <c r="BC211" i="2"/>
  <c r="CD211" i="2" s="1"/>
  <c r="BD264" i="2"/>
  <c r="CE264" i="2" s="1"/>
  <c r="BB264" i="2"/>
  <c r="CC264" i="2" s="1"/>
  <c r="BE264" i="2"/>
  <c r="CF264" i="2" s="1"/>
  <c r="BH67" i="2"/>
  <c r="CI67" i="2" s="1"/>
  <c r="BK67" i="2"/>
  <c r="CL67" i="2" s="1"/>
  <c r="BI67" i="2"/>
  <c r="CJ67" i="2" s="1"/>
  <c r="BJ67" i="2"/>
  <c r="CK67" i="2" s="1"/>
  <c r="BG328" i="2"/>
  <c r="CH328" i="2" s="1"/>
  <c r="BJ328" i="2"/>
  <c r="CK328" i="2" s="1"/>
  <c r="BH328" i="2"/>
  <c r="CI328" i="2" s="1"/>
  <c r="BI328" i="2"/>
  <c r="CJ328" i="2" s="1"/>
  <c r="BN38" i="2"/>
  <c r="CO38" i="2" s="1"/>
  <c r="BL147" i="2"/>
  <c r="CM147" i="2" s="1"/>
  <c r="BO147" i="2"/>
  <c r="CP147" i="2" s="1"/>
  <c r="BO254" i="2"/>
  <c r="CP254" i="2" s="1"/>
  <c r="BN298" i="2"/>
  <c r="CO298" i="2" s="1"/>
  <c r="BP328" i="2"/>
  <c r="CQ328" i="2" s="1"/>
  <c r="BB38" i="2"/>
  <c r="CC38" i="2" s="1"/>
  <c r="BC177" i="2"/>
  <c r="BB298" i="2"/>
  <c r="CC298" i="2" s="1"/>
  <c r="BC10" i="2"/>
  <c r="CD10" i="2" s="1"/>
  <c r="BF10" i="2"/>
  <c r="CG10" i="2" s="1"/>
  <c r="BB67" i="2"/>
  <c r="CC67" i="2" s="1"/>
  <c r="BE147" i="2"/>
  <c r="CF147" i="2" s="1"/>
  <c r="BK10" i="2"/>
  <c r="CL10" i="2" s="1"/>
  <c r="BI38" i="2"/>
  <c r="CJ38" i="2" s="1"/>
  <c r="BG211" i="2"/>
  <c r="CH211" i="2" s="1"/>
  <c r="BO298" i="2"/>
  <c r="CP298" i="2" s="1"/>
  <c r="BE38" i="2"/>
  <c r="CF38" i="2" s="1"/>
  <c r="BC100" i="2"/>
  <c r="CD100" i="2" s="1"/>
  <c r="BF254" i="2"/>
  <c r="CG254" i="2" s="1"/>
  <c r="BE298" i="2"/>
  <c r="CF298" i="2" s="1"/>
  <c r="BC328" i="2"/>
  <c r="CD328" i="2" s="1"/>
  <c r="BF328" i="2"/>
  <c r="CG328" i="2" s="1"/>
  <c r="BD328" i="2"/>
  <c r="CE328" i="2" s="1"/>
  <c r="BB328" i="2"/>
  <c r="CC328" i="2" s="1"/>
  <c r="BK38" i="2"/>
  <c r="CL38" i="2" s="1"/>
  <c r="BH100" i="2"/>
  <c r="CI100" i="2" s="1"/>
  <c r="BK100" i="2"/>
  <c r="CL100" i="2" s="1"/>
  <c r="BI100" i="2"/>
  <c r="CJ100" i="2" s="1"/>
  <c r="BJ100" i="2"/>
  <c r="CK100" i="2" s="1"/>
  <c r="BG147" i="2"/>
  <c r="CH147" i="2" s="1"/>
  <c r="BJ147" i="2"/>
  <c r="CK147" i="2" s="1"/>
  <c r="BP100" i="2"/>
  <c r="CQ100" i="2" s="1"/>
  <c r="BP211" i="2"/>
  <c r="CQ211" i="2" s="1"/>
  <c r="AZ355" i="2"/>
  <c r="AZ340" i="2"/>
  <c r="AZ339" i="2"/>
  <c r="AZ338" i="2"/>
  <c r="AZ337" i="2"/>
  <c r="AZ336" i="2"/>
  <c r="AZ335" i="2"/>
  <c r="AZ333" i="2"/>
  <c r="AZ331" i="2"/>
  <c r="AZ329" i="2"/>
  <c r="AZ326" i="2"/>
  <c r="AZ325" i="2"/>
  <c r="AZ324" i="2"/>
  <c r="AZ323" i="2"/>
  <c r="AZ322" i="2"/>
  <c r="AZ321" i="2"/>
  <c r="AZ320" i="2"/>
  <c r="AZ319" i="2"/>
  <c r="AZ318" i="2"/>
  <c r="AZ317" i="2"/>
  <c r="AZ316" i="2"/>
  <c r="AZ315" i="2"/>
  <c r="AZ314" i="2"/>
  <c r="AZ313" i="2"/>
  <c r="AZ312" i="2"/>
  <c r="AZ311" i="2"/>
  <c r="AZ310" i="2"/>
  <c r="AZ309" i="2"/>
  <c r="AZ308" i="2"/>
  <c r="AZ307" i="2"/>
  <c r="AZ306" i="2"/>
  <c r="AZ305" i="2"/>
  <c r="AZ304" i="2"/>
  <c r="AZ303" i="2"/>
  <c r="AZ302" i="2"/>
  <c r="AZ301" i="2"/>
  <c r="AZ300" i="2"/>
  <c r="AZ299" i="2"/>
  <c r="AZ295" i="2"/>
  <c r="AZ285" i="2"/>
  <c r="AZ281" i="2"/>
  <c r="AZ270" i="2"/>
  <c r="AZ265" i="2"/>
  <c r="AZ263" i="2"/>
  <c r="AZ262" i="2"/>
  <c r="AZ261" i="2"/>
  <c r="AZ260" i="2"/>
  <c r="AZ257" i="2"/>
  <c r="AZ255" i="2"/>
  <c r="AZ253" i="2"/>
  <c r="AZ252" i="2"/>
  <c r="AZ251" i="2"/>
  <c r="AZ250" i="2"/>
  <c r="AZ247" i="2"/>
  <c r="AZ241" i="2"/>
  <c r="AZ234" i="2"/>
  <c r="AZ227" i="2"/>
  <c r="AZ217" i="2"/>
  <c r="AZ210" i="2"/>
  <c r="AZ209" i="2"/>
  <c r="AZ200" i="2"/>
  <c r="AZ190" i="2"/>
  <c r="AZ187" i="2"/>
  <c r="AZ183" i="2"/>
  <c r="AZ178" i="2"/>
  <c r="AZ176" i="2"/>
  <c r="AZ175" i="2"/>
  <c r="AZ170" i="2"/>
  <c r="AZ161" i="2"/>
  <c r="AZ165" i="2"/>
  <c r="AZ148" i="2"/>
  <c r="AZ146" i="2"/>
  <c r="AZ144" i="2"/>
  <c r="AZ141" i="2"/>
  <c r="AZ130" i="2"/>
  <c r="AZ120" i="2"/>
  <c r="AZ115" i="2"/>
  <c r="AZ107" i="2"/>
  <c r="AZ101" i="2"/>
  <c r="AZ99" i="2"/>
  <c r="AZ97" i="2"/>
  <c r="AZ93" i="2"/>
  <c r="AZ88" i="2"/>
  <c r="AZ79" i="2"/>
  <c r="AZ75" i="2"/>
  <c r="AZ68" i="2"/>
  <c r="AZ66" i="2"/>
  <c r="AZ65" i="2"/>
  <c r="AZ64" i="2"/>
  <c r="AZ61" i="2"/>
  <c r="AZ59" i="2"/>
  <c r="AZ54" i="2"/>
  <c r="AZ50" i="2"/>
  <c r="AZ39" i="2"/>
  <c r="AZ37" i="2"/>
  <c r="AZ33" i="2"/>
  <c r="AZ31" i="2"/>
  <c r="AZ27" i="2"/>
  <c r="AZ20" i="2"/>
  <c r="AZ17" i="2"/>
  <c r="AZ14" i="2"/>
  <c r="AZ11" i="2"/>
  <c r="AY355" i="2"/>
  <c r="AX355" i="2"/>
  <c r="AW355" i="2"/>
  <c r="AY340" i="2"/>
  <c r="AX340" i="2"/>
  <c r="AW340" i="2"/>
  <c r="AY339" i="2"/>
  <c r="AX339" i="2"/>
  <c r="AW339" i="2"/>
  <c r="AY338" i="2"/>
  <c r="AX338" i="2"/>
  <c r="AW338" i="2"/>
  <c r="AY337" i="2"/>
  <c r="AX337" i="2"/>
  <c r="AW337" i="2"/>
  <c r="AY336" i="2"/>
  <c r="AX336" i="2"/>
  <c r="AW336" i="2"/>
  <c r="AY335" i="2"/>
  <c r="AX335" i="2"/>
  <c r="AW335" i="2"/>
  <c r="AY333" i="2"/>
  <c r="AX333" i="2"/>
  <c r="AW333" i="2"/>
  <c r="AY331" i="2"/>
  <c r="AX331" i="2"/>
  <c r="AW331" i="2"/>
  <c r="AY329" i="2"/>
  <c r="AX329" i="2"/>
  <c r="AW329" i="2"/>
  <c r="AY326" i="2"/>
  <c r="AX326" i="2"/>
  <c r="AW326" i="2"/>
  <c r="AY325" i="2"/>
  <c r="AX325" i="2"/>
  <c r="AW325" i="2"/>
  <c r="AY324" i="2"/>
  <c r="AX324" i="2"/>
  <c r="AW324" i="2"/>
  <c r="AY323" i="2"/>
  <c r="AX323" i="2"/>
  <c r="AW323" i="2"/>
  <c r="AY322" i="2"/>
  <c r="AX322" i="2"/>
  <c r="AW322" i="2"/>
  <c r="AY321" i="2"/>
  <c r="AX321" i="2"/>
  <c r="AW321" i="2"/>
  <c r="AY320" i="2"/>
  <c r="AX320" i="2"/>
  <c r="AW320" i="2"/>
  <c r="AY319" i="2"/>
  <c r="AX319" i="2"/>
  <c r="AW319" i="2"/>
  <c r="AY318" i="2"/>
  <c r="AX318" i="2"/>
  <c r="AW318" i="2"/>
  <c r="AY317" i="2"/>
  <c r="AX317" i="2"/>
  <c r="AW317" i="2"/>
  <c r="AY316" i="2"/>
  <c r="AX316" i="2"/>
  <c r="AW316" i="2"/>
  <c r="AY315" i="2"/>
  <c r="AX315" i="2"/>
  <c r="AW315" i="2"/>
  <c r="AY314" i="2"/>
  <c r="AX314" i="2"/>
  <c r="AW314" i="2"/>
  <c r="AY313" i="2"/>
  <c r="AX313" i="2"/>
  <c r="AW313" i="2"/>
  <c r="AY312" i="2"/>
  <c r="AX312" i="2"/>
  <c r="AW312" i="2"/>
  <c r="AY311" i="2"/>
  <c r="AX311" i="2"/>
  <c r="AW311" i="2"/>
  <c r="AY310" i="2"/>
  <c r="AX310" i="2"/>
  <c r="AW310" i="2"/>
  <c r="AY309" i="2"/>
  <c r="AX309" i="2"/>
  <c r="AW309" i="2"/>
  <c r="AY308" i="2"/>
  <c r="AX308" i="2"/>
  <c r="AW308" i="2"/>
  <c r="AY307" i="2"/>
  <c r="AX307" i="2"/>
  <c r="AW307" i="2"/>
  <c r="AY306" i="2"/>
  <c r="AX306" i="2"/>
  <c r="AW306" i="2"/>
  <c r="AY305" i="2"/>
  <c r="AX305" i="2"/>
  <c r="AW305" i="2"/>
  <c r="AY304" i="2"/>
  <c r="AX304" i="2"/>
  <c r="AW304" i="2"/>
  <c r="AY303" i="2"/>
  <c r="AX303" i="2"/>
  <c r="AW303" i="2"/>
  <c r="AY302" i="2"/>
  <c r="AX302" i="2"/>
  <c r="AW302" i="2"/>
  <c r="AY301" i="2"/>
  <c r="AX301" i="2"/>
  <c r="AW301" i="2"/>
  <c r="AY300" i="2"/>
  <c r="AX300" i="2"/>
  <c r="AW300" i="2"/>
  <c r="AY299" i="2"/>
  <c r="AX299" i="2"/>
  <c r="AW299" i="2"/>
  <c r="AY295" i="2"/>
  <c r="AX295" i="2"/>
  <c r="AW295" i="2"/>
  <c r="AY285" i="2"/>
  <c r="AX285" i="2"/>
  <c r="AW285" i="2"/>
  <c r="AY281" i="2"/>
  <c r="AX281" i="2"/>
  <c r="AW281" i="2"/>
  <c r="AY270" i="2"/>
  <c r="AX270" i="2"/>
  <c r="AW270" i="2"/>
  <c r="AY265" i="2"/>
  <c r="AX265" i="2"/>
  <c r="AW265" i="2"/>
  <c r="AY263" i="2"/>
  <c r="AX263" i="2"/>
  <c r="AW263" i="2"/>
  <c r="AY262" i="2"/>
  <c r="AX262" i="2"/>
  <c r="AW262" i="2"/>
  <c r="AY261" i="2"/>
  <c r="AX261" i="2"/>
  <c r="AW261" i="2"/>
  <c r="AY260" i="2"/>
  <c r="AX260" i="2"/>
  <c r="AW260" i="2"/>
  <c r="AY257" i="2"/>
  <c r="AX257" i="2"/>
  <c r="AW257" i="2"/>
  <c r="AY255" i="2"/>
  <c r="AX255" i="2"/>
  <c r="AW255" i="2"/>
  <c r="AY253" i="2"/>
  <c r="AX253" i="2"/>
  <c r="AW253" i="2"/>
  <c r="AY252" i="2"/>
  <c r="AX252" i="2"/>
  <c r="AW252" i="2"/>
  <c r="AY251" i="2"/>
  <c r="AX251" i="2"/>
  <c r="AW251" i="2"/>
  <c r="AY250" i="2"/>
  <c r="AX250" i="2"/>
  <c r="AW250" i="2"/>
  <c r="AY247" i="2"/>
  <c r="AX247" i="2"/>
  <c r="AW247" i="2"/>
  <c r="AY241" i="2"/>
  <c r="AX241" i="2"/>
  <c r="AW241" i="2"/>
  <c r="AY234" i="2"/>
  <c r="AX234" i="2"/>
  <c r="AW234" i="2"/>
  <c r="AY227" i="2"/>
  <c r="AX227" i="2"/>
  <c r="AW227" i="2"/>
  <c r="AY217" i="2"/>
  <c r="AX217" i="2"/>
  <c r="AW217" i="2"/>
  <c r="AY210" i="2"/>
  <c r="AX210" i="2"/>
  <c r="AW210" i="2"/>
  <c r="AY209" i="2"/>
  <c r="AX209" i="2"/>
  <c r="AW209" i="2"/>
  <c r="AY200" i="2"/>
  <c r="AX200" i="2"/>
  <c r="AW200" i="2"/>
  <c r="AY190" i="2"/>
  <c r="AX190" i="2"/>
  <c r="AW190" i="2"/>
  <c r="AY187" i="2"/>
  <c r="AX187" i="2"/>
  <c r="AW187" i="2"/>
  <c r="AS187" i="2"/>
  <c r="AY183" i="2"/>
  <c r="AX183" i="2"/>
  <c r="AW183" i="2"/>
  <c r="AS183" i="2"/>
  <c r="AY178" i="2"/>
  <c r="AX178" i="2"/>
  <c r="AW178" i="2"/>
  <c r="AS178" i="2"/>
  <c r="AY176" i="2"/>
  <c r="AX176" i="2"/>
  <c r="AW176" i="2"/>
  <c r="AS176" i="2"/>
  <c r="AY175" i="2"/>
  <c r="AX175" i="2"/>
  <c r="AW175" i="2"/>
  <c r="AS175" i="2"/>
  <c r="AY170" i="2"/>
  <c r="AX170" i="2"/>
  <c r="AW170" i="2"/>
  <c r="AS170" i="2"/>
  <c r="AY161" i="2"/>
  <c r="AX161" i="2"/>
  <c r="AW161" i="2"/>
  <c r="AS161" i="2"/>
  <c r="AY165" i="2"/>
  <c r="AX165" i="2"/>
  <c r="AW165" i="2"/>
  <c r="AS165" i="2"/>
  <c r="AY148" i="2"/>
  <c r="AX148" i="2"/>
  <c r="AW148" i="2"/>
  <c r="AS148" i="2"/>
  <c r="AY146" i="2"/>
  <c r="AX146" i="2"/>
  <c r="AW146" i="2"/>
  <c r="AS146" i="2"/>
  <c r="AY144" i="2"/>
  <c r="AX144" i="2"/>
  <c r="AW144" i="2"/>
  <c r="AS144" i="2"/>
  <c r="AY141" i="2"/>
  <c r="AX141" i="2"/>
  <c r="AW141" i="2"/>
  <c r="AS141" i="2"/>
  <c r="AY130" i="2"/>
  <c r="AX130" i="2"/>
  <c r="AW130" i="2"/>
  <c r="AS130" i="2"/>
  <c r="AY120" i="2"/>
  <c r="AX120" i="2"/>
  <c r="AW120" i="2"/>
  <c r="AS120" i="2"/>
  <c r="AY115" i="2"/>
  <c r="AX115" i="2"/>
  <c r="AW115" i="2"/>
  <c r="AS115" i="2"/>
  <c r="AY107" i="2"/>
  <c r="AX107" i="2"/>
  <c r="AW107" i="2"/>
  <c r="AS107" i="2"/>
  <c r="AY101" i="2"/>
  <c r="AX101" i="2"/>
  <c r="AW101" i="2"/>
  <c r="AS101" i="2"/>
  <c r="AY99" i="2"/>
  <c r="AX99" i="2"/>
  <c r="AW99" i="2"/>
  <c r="AS99" i="2"/>
  <c r="AY97" i="2"/>
  <c r="AX97" i="2"/>
  <c r="AW97" i="2"/>
  <c r="AS97" i="2"/>
  <c r="AY93" i="2"/>
  <c r="AX93" i="2"/>
  <c r="AW93" i="2"/>
  <c r="AS93" i="2"/>
  <c r="AY88" i="2"/>
  <c r="AX88" i="2"/>
  <c r="AW88" i="2"/>
  <c r="AS88" i="2"/>
  <c r="AY79" i="2"/>
  <c r="AX79" i="2"/>
  <c r="AW79" i="2"/>
  <c r="AS79" i="2"/>
  <c r="AY75" i="2"/>
  <c r="AX75" i="2"/>
  <c r="AW75" i="2"/>
  <c r="AS75" i="2"/>
  <c r="AY68" i="2"/>
  <c r="AX68" i="2"/>
  <c r="AW68" i="2"/>
  <c r="AS68" i="2"/>
  <c r="AY66" i="2"/>
  <c r="AX66" i="2"/>
  <c r="AW66" i="2"/>
  <c r="AS66" i="2"/>
  <c r="AY65" i="2"/>
  <c r="AX65" i="2"/>
  <c r="AW65" i="2"/>
  <c r="AS65" i="2"/>
  <c r="AY64" i="2"/>
  <c r="AX64" i="2"/>
  <c r="AW64" i="2"/>
  <c r="AS64" i="2"/>
  <c r="AY61" i="2"/>
  <c r="AX61" i="2"/>
  <c r="AW61" i="2"/>
  <c r="AS61" i="2"/>
  <c r="AY59" i="2"/>
  <c r="AX59" i="2"/>
  <c r="AW59" i="2"/>
  <c r="AS59" i="2"/>
  <c r="AY54" i="2"/>
  <c r="AX54" i="2"/>
  <c r="AW54" i="2"/>
  <c r="AS54" i="2"/>
  <c r="AY50" i="2"/>
  <c r="AX50" i="2"/>
  <c r="AW50" i="2"/>
  <c r="AS50" i="2"/>
  <c r="AY39" i="2"/>
  <c r="AX39" i="2"/>
  <c r="AW39" i="2"/>
  <c r="AY37" i="2"/>
  <c r="AX37" i="2"/>
  <c r="AW37" i="2"/>
  <c r="AS37" i="2"/>
  <c r="AY33" i="2"/>
  <c r="AX33" i="2"/>
  <c r="AW33" i="2"/>
  <c r="AS33" i="2"/>
  <c r="AY31" i="2"/>
  <c r="AX31" i="2"/>
  <c r="AW31" i="2"/>
  <c r="AS31" i="2"/>
  <c r="AY27" i="2"/>
  <c r="AX27" i="2"/>
  <c r="AW27" i="2"/>
  <c r="AS27" i="2"/>
  <c r="AY20" i="2"/>
  <c r="AX20" i="2"/>
  <c r="AW20" i="2"/>
  <c r="AS20" i="2"/>
  <c r="AY17" i="2"/>
  <c r="AX17" i="2"/>
  <c r="AW17" i="2"/>
  <c r="AY14" i="2"/>
  <c r="AX14" i="2"/>
  <c r="AW14" i="2"/>
  <c r="AS14" i="2"/>
  <c r="AY11" i="2"/>
  <c r="AX11" i="2"/>
  <c r="AS11" i="2"/>
  <c r="CO177" i="2" l="1"/>
  <c r="CL177" i="2"/>
  <c r="CQ177" i="2"/>
  <c r="CN177" i="2"/>
  <c r="CI177" i="2"/>
  <c r="CD177" i="2"/>
  <c r="CF177" i="2"/>
  <c r="CH177" i="2"/>
  <c r="CP177" i="2"/>
  <c r="CE177" i="2"/>
  <c r="CK177" i="2"/>
  <c r="CM177" i="2"/>
  <c r="CC177" i="2"/>
  <c r="CJ177" i="2"/>
  <c r="CG177" i="2"/>
  <c r="D20" i="1"/>
  <c r="BM327" i="2"/>
  <c r="BN327" i="2"/>
  <c r="BH327" i="2"/>
  <c r="BB327" i="2"/>
  <c r="BE327" i="2"/>
  <c r="BF327" i="2"/>
  <c r="BG327" i="2"/>
  <c r="BK327" i="2"/>
  <c r="BP327" i="2"/>
  <c r="BC327" i="2"/>
  <c r="BO327" i="2"/>
  <c r="BJ327" i="2"/>
  <c r="BD327" i="2"/>
  <c r="BI327" i="2"/>
  <c r="AZ254" i="2"/>
  <c r="CA254" i="2" s="1"/>
  <c r="AZ147" i="2"/>
  <c r="CA147" i="2" s="1"/>
  <c r="AZ67" i="2"/>
  <c r="CA67" i="2" s="1"/>
  <c r="AZ264" i="2"/>
  <c r="CA264" i="2" s="1"/>
  <c r="AZ38" i="2"/>
  <c r="CA38" i="2" s="1"/>
  <c r="AZ10" i="2"/>
  <c r="CA10" i="2" s="1"/>
  <c r="AZ298" i="2"/>
  <c r="CA298" i="2" s="1"/>
  <c r="AZ211" i="2"/>
  <c r="CA211" i="2" s="1"/>
  <c r="AZ177" i="2"/>
  <c r="AZ100" i="2"/>
  <c r="CA100" i="2" s="1"/>
  <c r="AZ328" i="2"/>
  <c r="CA328" i="2" s="1"/>
  <c r="AY177" i="2"/>
  <c r="AX147" i="2"/>
  <c r="AY211" i="2"/>
  <c r="BZ211" i="2" s="1"/>
  <c r="AY67" i="2"/>
  <c r="BZ67" i="2" s="1"/>
  <c r="AX67" i="2"/>
  <c r="AW328" i="2"/>
  <c r="AY100" i="2"/>
  <c r="BZ100" i="2" s="1"/>
  <c r="AW38" i="2"/>
  <c r="AX298" i="2"/>
  <c r="AX254" i="2"/>
  <c r="AW100" i="2"/>
  <c r="AY254" i="2"/>
  <c r="BZ254" i="2" s="1"/>
  <c r="AW10" i="2"/>
  <c r="AX328" i="2"/>
  <c r="AX211" i="2"/>
  <c r="AY328" i="2"/>
  <c r="BZ328" i="2" s="1"/>
  <c r="AF328" i="2" s="1"/>
  <c r="AS328" i="2"/>
  <c r="BS328" i="2" s="1"/>
  <c r="AY10" i="2"/>
  <c r="BZ10" i="2" s="1"/>
  <c r="AW211" i="2"/>
  <c r="AW264" i="2"/>
  <c r="AX38" i="2"/>
  <c r="AW254" i="2"/>
  <c r="AX264" i="2"/>
  <c r="AY38" i="2"/>
  <c r="BZ38" i="2" s="1"/>
  <c r="AW147" i="2"/>
  <c r="AX177" i="2"/>
  <c r="AY264" i="2"/>
  <c r="BZ264" i="2" s="1"/>
  <c r="AW298" i="2"/>
  <c r="AX10" i="2"/>
  <c r="AW67" i="2"/>
  <c r="AY147" i="2"/>
  <c r="BZ147" i="2" s="1"/>
  <c r="AW177" i="2"/>
  <c r="AY298" i="2"/>
  <c r="BZ298" i="2" s="1"/>
  <c r="AS100" i="2"/>
  <c r="BS100" i="2" s="1"/>
  <c r="AS177" i="2"/>
  <c r="BS177" i="2" s="1"/>
  <c r="AS10" i="2"/>
  <c r="BS10" i="2" s="1"/>
  <c r="AX100" i="2"/>
  <c r="AS147" i="2"/>
  <c r="BS147" i="2" s="1"/>
  <c r="AS264" i="2"/>
  <c r="BS264" i="2" s="1"/>
  <c r="AS298" i="2"/>
  <c r="BS298" i="2" s="1"/>
  <c r="AS67" i="2"/>
  <c r="BS67" i="2" s="1"/>
  <c r="AS211" i="2"/>
  <c r="BS211" i="2" s="1"/>
  <c r="AS254" i="2"/>
  <c r="BS254" i="2" s="1"/>
  <c r="C68" i="1"/>
  <c r="C67" i="1"/>
  <c r="BW254" i="2" l="1"/>
  <c r="BW177" i="2"/>
  <c r="BW67" i="2"/>
  <c r="BW100" i="2"/>
  <c r="BW298" i="2"/>
  <c r="BW328" i="2"/>
  <c r="BW264" i="2"/>
  <c r="BW211" i="2"/>
  <c r="BX100" i="2"/>
  <c r="BW147" i="2"/>
  <c r="BW10" i="2"/>
  <c r="CA177" i="2"/>
  <c r="BZ177" i="2"/>
  <c r="BX298" i="2"/>
  <c r="BX264" i="2"/>
  <c r="BY38" i="2"/>
  <c r="BY177" i="2"/>
  <c r="BY254" i="2"/>
  <c r="BY147" i="2"/>
  <c r="BX10" i="2"/>
  <c r="BX147" i="2"/>
  <c r="BY298" i="2"/>
  <c r="BY67" i="2"/>
  <c r="BX177" i="2"/>
  <c r="BX38" i="2"/>
  <c r="BY264" i="2"/>
  <c r="BY211" i="2"/>
  <c r="BY10" i="2"/>
  <c r="BX211" i="2"/>
  <c r="BY100" i="2"/>
  <c r="BX67" i="2"/>
  <c r="BX254" i="2"/>
  <c r="BY328" i="2"/>
  <c r="BX328" i="2"/>
  <c r="AZ327" i="2"/>
  <c r="AW327" i="2"/>
  <c r="AY327" i="2"/>
  <c r="AX327" i="2"/>
  <c r="C64" i="1"/>
  <c r="C63" i="1"/>
  <c r="AA335" i="2" l="1"/>
  <c r="B9" i="21" s="1"/>
  <c r="O329" i="2"/>
  <c r="R329" i="2"/>
  <c r="U329" i="2"/>
  <c r="X329" i="2"/>
  <c r="O331" i="2"/>
  <c r="R331" i="2"/>
  <c r="U331" i="2"/>
  <c r="W331" i="2" s="1"/>
  <c r="X331" i="2"/>
  <c r="O333" i="2"/>
  <c r="R333" i="2"/>
  <c r="U333" i="2"/>
  <c r="W333" i="2" s="1"/>
  <c r="X333" i="2"/>
  <c r="O335" i="2"/>
  <c r="R335" i="2"/>
  <c r="U335" i="2"/>
  <c r="X335" i="2"/>
  <c r="O336" i="2"/>
  <c r="Q336" i="2" s="1"/>
  <c r="R336" i="2"/>
  <c r="U336" i="2"/>
  <c r="X336" i="2"/>
  <c r="O337" i="2"/>
  <c r="R337" i="2"/>
  <c r="U337" i="2"/>
  <c r="X337" i="2"/>
  <c r="O338" i="2"/>
  <c r="R338" i="2"/>
  <c r="U338" i="2"/>
  <c r="X338" i="2"/>
  <c r="O339" i="2"/>
  <c r="R339" i="2"/>
  <c r="U339" i="2"/>
  <c r="X339" i="2"/>
  <c r="O340" i="2"/>
  <c r="R340" i="2"/>
  <c r="U340" i="2"/>
  <c r="X340" i="2"/>
  <c r="O355" i="2"/>
  <c r="R355" i="2"/>
  <c r="U355" i="2"/>
  <c r="X355" i="2"/>
  <c r="AA329" i="2"/>
  <c r="B3" i="21" s="1"/>
  <c r="AA336" i="2"/>
  <c r="B10" i="21" s="1"/>
  <c r="Q337" i="2" l="1"/>
  <c r="Q329" i="2"/>
  <c r="W328" i="2"/>
  <c r="E21" i="13" s="1"/>
  <c r="X328" i="2"/>
  <c r="U328" i="2"/>
  <c r="R328" i="2"/>
  <c r="O328" i="2"/>
  <c r="C21" i="10" s="1"/>
  <c r="N355" i="2"/>
  <c r="N337" i="2"/>
  <c r="N329" i="2"/>
  <c r="N339" i="2"/>
  <c r="N333" i="2"/>
  <c r="N340" i="2"/>
  <c r="N338" i="2"/>
  <c r="N336" i="2"/>
  <c r="N335" i="2"/>
  <c r="N331" i="2"/>
  <c r="X326" i="2"/>
  <c r="U326" i="2"/>
  <c r="R326" i="2"/>
  <c r="O326" i="2"/>
  <c r="X325" i="2"/>
  <c r="U325" i="2"/>
  <c r="R325" i="2"/>
  <c r="O325" i="2"/>
  <c r="X324" i="2"/>
  <c r="U324" i="2"/>
  <c r="R324" i="2"/>
  <c r="O324" i="2"/>
  <c r="X323" i="2"/>
  <c r="U323" i="2"/>
  <c r="R323" i="2"/>
  <c r="O323" i="2"/>
  <c r="X322" i="2"/>
  <c r="U322" i="2"/>
  <c r="R322" i="2"/>
  <c r="O322" i="2"/>
  <c r="X321" i="2"/>
  <c r="U321" i="2"/>
  <c r="R321" i="2"/>
  <c r="O321" i="2"/>
  <c r="X320" i="2"/>
  <c r="U320" i="2"/>
  <c r="R320" i="2"/>
  <c r="O320" i="2"/>
  <c r="X319" i="2"/>
  <c r="U319" i="2"/>
  <c r="R319" i="2"/>
  <c r="O319" i="2"/>
  <c r="X318" i="2"/>
  <c r="U318" i="2"/>
  <c r="R318" i="2"/>
  <c r="O318" i="2"/>
  <c r="X317" i="2"/>
  <c r="U317" i="2"/>
  <c r="R317" i="2"/>
  <c r="O317" i="2"/>
  <c r="X316" i="2"/>
  <c r="U316" i="2"/>
  <c r="R316" i="2"/>
  <c r="O316" i="2"/>
  <c r="X315" i="2"/>
  <c r="U315" i="2"/>
  <c r="R315" i="2"/>
  <c r="O315" i="2"/>
  <c r="X314" i="2"/>
  <c r="U314" i="2"/>
  <c r="R314" i="2"/>
  <c r="O314" i="2"/>
  <c r="X313" i="2"/>
  <c r="U313" i="2"/>
  <c r="R313" i="2"/>
  <c r="O313" i="2"/>
  <c r="X312" i="2"/>
  <c r="U312" i="2"/>
  <c r="R312" i="2"/>
  <c r="O312" i="2"/>
  <c r="X311" i="2"/>
  <c r="U311" i="2"/>
  <c r="R311" i="2"/>
  <c r="O311" i="2"/>
  <c r="X310" i="2"/>
  <c r="U310" i="2"/>
  <c r="R310" i="2"/>
  <c r="O310" i="2"/>
  <c r="X309" i="2"/>
  <c r="U309" i="2"/>
  <c r="R309" i="2"/>
  <c r="O309" i="2"/>
  <c r="X308" i="2"/>
  <c r="U308" i="2"/>
  <c r="R308" i="2"/>
  <c r="O308" i="2"/>
  <c r="X307" i="2"/>
  <c r="U307" i="2"/>
  <c r="R307" i="2"/>
  <c r="O307" i="2"/>
  <c r="X306" i="2"/>
  <c r="U306" i="2"/>
  <c r="R306" i="2"/>
  <c r="O306" i="2"/>
  <c r="X305" i="2"/>
  <c r="U305" i="2"/>
  <c r="R305" i="2"/>
  <c r="O305" i="2"/>
  <c r="X304" i="2"/>
  <c r="U304" i="2"/>
  <c r="R304" i="2"/>
  <c r="O304" i="2"/>
  <c r="X303" i="2"/>
  <c r="U303" i="2"/>
  <c r="R303" i="2"/>
  <c r="O303" i="2"/>
  <c r="X302" i="2"/>
  <c r="U302" i="2"/>
  <c r="R302" i="2"/>
  <c r="O302" i="2"/>
  <c r="X301" i="2"/>
  <c r="U301" i="2"/>
  <c r="R301" i="2"/>
  <c r="O301" i="2"/>
  <c r="X300" i="2"/>
  <c r="U300" i="2"/>
  <c r="R300" i="2"/>
  <c r="O300" i="2"/>
  <c r="X299" i="2"/>
  <c r="U299" i="2"/>
  <c r="R299" i="2"/>
  <c r="O299" i="2"/>
  <c r="X295" i="2"/>
  <c r="U295" i="2"/>
  <c r="R295" i="2"/>
  <c r="O295" i="2"/>
  <c r="X285" i="2"/>
  <c r="U285" i="2"/>
  <c r="W285" i="2" s="1"/>
  <c r="R285" i="2"/>
  <c r="O285" i="2"/>
  <c r="X265" i="2"/>
  <c r="U265" i="2"/>
  <c r="R265" i="2"/>
  <c r="O265" i="2"/>
  <c r="X263" i="2"/>
  <c r="U263" i="2"/>
  <c r="R263" i="2"/>
  <c r="T263" i="2" s="1"/>
  <c r="O263" i="2"/>
  <c r="X262" i="2"/>
  <c r="U262" i="2"/>
  <c r="R262" i="2"/>
  <c r="T262" i="2" s="1"/>
  <c r="O262" i="2"/>
  <c r="X261" i="2"/>
  <c r="U261" i="2"/>
  <c r="R261" i="2"/>
  <c r="O261" i="2"/>
  <c r="X260" i="2"/>
  <c r="U260" i="2"/>
  <c r="R260" i="2"/>
  <c r="O260" i="2"/>
  <c r="X257" i="2"/>
  <c r="U257" i="2"/>
  <c r="R257" i="2"/>
  <c r="T257" i="2" s="1"/>
  <c r="O257" i="2"/>
  <c r="X255" i="2"/>
  <c r="U255" i="2"/>
  <c r="R255" i="2"/>
  <c r="T255" i="2" s="1"/>
  <c r="O255" i="2"/>
  <c r="X253" i="2"/>
  <c r="U253" i="2"/>
  <c r="R253" i="2"/>
  <c r="O253" i="2"/>
  <c r="X252" i="2"/>
  <c r="U252" i="2"/>
  <c r="W252" i="2" s="1"/>
  <c r="R252" i="2"/>
  <c r="T252" i="2" s="1"/>
  <c r="O252" i="2"/>
  <c r="X251" i="2"/>
  <c r="U251" i="2"/>
  <c r="R251" i="2"/>
  <c r="O251" i="2"/>
  <c r="X250" i="2"/>
  <c r="U250" i="2"/>
  <c r="R250" i="2"/>
  <c r="O250" i="2"/>
  <c r="X247" i="2"/>
  <c r="U247" i="2"/>
  <c r="W247" i="2" s="1"/>
  <c r="R247" i="2"/>
  <c r="T247" i="2" s="1"/>
  <c r="O247" i="2"/>
  <c r="X241" i="2"/>
  <c r="U241" i="2"/>
  <c r="W241" i="2" s="1"/>
  <c r="R241" i="2"/>
  <c r="T241" i="2" s="1"/>
  <c r="O241" i="2"/>
  <c r="X234" i="2"/>
  <c r="U234" i="2"/>
  <c r="W234" i="2" s="1"/>
  <c r="R234" i="2"/>
  <c r="T234" i="2" s="1"/>
  <c r="O234" i="2"/>
  <c r="X227" i="2"/>
  <c r="U227" i="2"/>
  <c r="W227" i="2" s="1"/>
  <c r="R227" i="2"/>
  <c r="T227" i="2" s="1"/>
  <c r="O227" i="2"/>
  <c r="X217" i="2"/>
  <c r="U217" i="2"/>
  <c r="R217" i="2"/>
  <c r="T217" i="2" s="1"/>
  <c r="O217" i="2"/>
  <c r="X210" i="2"/>
  <c r="U210" i="2"/>
  <c r="R210" i="2"/>
  <c r="O210" i="2"/>
  <c r="X209" i="2"/>
  <c r="U209" i="2"/>
  <c r="R209" i="2"/>
  <c r="O209" i="2"/>
  <c r="X200" i="2"/>
  <c r="U200" i="2"/>
  <c r="W200" i="2" s="1"/>
  <c r="R200" i="2"/>
  <c r="T200" i="2" s="1"/>
  <c r="O200" i="2"/>
  <c r="X190" i="2"/>
  <c r="U190" i="2"/>
  <c r="W190" i="2" s="1"/>
  <c r="R190" i="2"/>
  <c r="T190" i="2" s="1"/>
  <c r="O190" i="2"/>
  <c r="X187" i="2"/>
  <c r="U187" i="2"/>
  <c r="R187" i="2"/>
  <c r="T187" i="2" s="1"/>
  <c r="O187" i="2"/>
  <c r="X183" i="2"/>
  <c r="U183" i="2"/>
  <c r="R183" i="2"/>
  <c r="T183" i="2" s="1"/>
  <c r="O183" i="2"/>
  <c r="X178" i="2"/>
  <c r="U178" i="2"/>
  <c r="R178" i="2"/>
  <c r="T178" i="2" s="1"/>
  <c r="O178" i="2"/>
  <c r="X176" i="2"/>
  <c r="U176" i="2"/>
  <c r="R176" i="2"/>
  <c r="O176" i="2"/>
  <c r="Q176" i="2" s="1"/>
  <c r="X175" i="2"/>
  <c r="U175" i="2"/>
  <c r="R175" i="2"/>
  <c r="O175" i="2"/>
  <c r="X170" i="2"/>
  <c r="U170" i="2"/>
  <c r="W170" i="2" s="1"/>
  <c r="R170" i="2"/>
  <c r="T170" i="2" s="1"/>
  <c r="O170" i="2"/>
  <c r="X161" i="2"/>
  <c r="U161" i="2"/>
  <c r="W161" i="2" s="1"/>
  <c r="R161" i="2"/>
  <c r="T161" i="2" s="1"/>
  <c r="O161" i="2"/>
  <c r="X165" i="2"/>
  <c r="U165" i="2"/>
  <c r="W165" i="2" s="1"/>
  <c r="R165" i="2"/>
  <c r="O165" i="2"/>
  <c r="X148" i="2"/>
  <c r="U148" i="2"/>
  <c r="R148" i="2"/>
  <c r="O148" i="2"/>
  <c r="X146" i="2"/>
  <c r="U146" i="2"/>
  <c r="R146" i="2"/>
  <c r="O146" i="2"/>
  <c r="X144" i="2"/>
  <c r="U144" i="2"/>
  <c r="W144" i="2" s="1"/>
  <c r="R144" i="2"/>
  <c r="T144" i="2" s="1"/>
  <c r="O144" i="2"/>
  <c r="X141" i="2"/>
  <c r="U141" i="2"/>
  <c r="W141" i="2" s="1"/>
  <c r="R141" i="2"/>
  <c r="T141" i="2" s="1"/>
  <c r="O141" i="2"/>
  <c r="W130" i="2"/>
  <c r="R130" i="2"/>
  <c r="T130" i="2" s="1"/>
  <c r="X120" i="2"/>
  <c r="U120" i="2"/>
  <c r="W120" i="2" s="1"/>
  <c r="R120" i="2"/>
  <c r="T120" i="2" s="1"/>
  <c r="O120" i="2"/>
  <c r="X115" i="2"/>
  <c r="U115" i="2"/>
  <c r="W115" i="2" s="1"/>
  <c r="R115" i="2"/>
  <c r="T115" i="2" s="1"/>
  <c r="O115" i="2"/>
  <c r="X107" i="2"/>
  <c r="U107" i="2"/>
  <c r="W107" i="2" s="1"/>
  <c r="R107" i="2"/>
  <c r="T107" i="2" s="1"/>
  <c r="O107" i="2"/>
  <c r="X101" i="2"/>
  <c r="U101" i="2"/>
  <c r="R101" i="2"/>
  <c r="O101" i="2"/>
  <c r="X99" i="2"/>
  <c r="U99" i="2"/>
  <c r="R99" i="2"/>
  <c r="X97" i="2"/>
  <c r="U97" i="2"/>
  <c r="W97" i="2" s="1"/>
  <c r="R97" i="2"/>
  <c r="T97" i="2" s="1"/>
  <c r="X93" i="2"/>
  <c r="U93" i="2"/>
  <c r="W93" i="2" s="1"/>
  <c r="R93" i="2"/>
  <c r="T93" i="2" s="1"/>
  <c r="X88" i="2"/>
  <c r="U88" i="2"/>
  <c r="W88" i="2" s="1"/>
  <c r="R88" i="2"/>
  <c r="T88" i="2" s="1"/>
  <c r="O88" i="2"/>
  <c r="X79" i="2"/>
  <c r="U79" i="2"/>
  <c r="W79" i="2" s="1"/>
  <c r="R79" i="2"/>
  <c r="T79" i="2" s="1"/>
  <c r="O79" i="2"/>
  <c r="X75" i="2"/>
  <c r="U75" i="2"/>
  <c r="W75" i="2" s="1"/>
  <c r="R75" i="2"/>
  <c r="T75" i="2" s="1"/>
  <c r="O75" i="2"/>
  <c r="X68" i="2"/>
  <c r="U68" i="2"/>
  <c r="R68" i="2"/>
  <c r="O68" i="2"/>
  <c r="X66" i="2"/>
  <c r="U66" i="2"/>
  <c r="R66" i="2"/>
  <c r="T66" i="2" s="1"/>
  <c r="O66" i="2"/>
  <c r="X65" i="2"/>
  <c r="U65" i="2"/>
  <c r="R65" i="2"/>
  <c r="O65" i="2"/>
  <c r="Q65" i="2" s="1"/>
  <c r="X64" i="2"/>
  <c r="U64" i="2"/>
  <c r="W64" i="2" s="1"/>
  <c r="R64" i="2"/>
  <c r="T64" i="2" s="1"/>
  <c r="O64" i="2"/>
  <c r="X61" i="2"/>
  <c r="U61" i="2"/>
  <c r="W61" i="2" s="1"/>
  <c r="R61" i="2"/>
  <c r="T61" i="2" s="1"/>
  <c r="O61" i="2"/>
  <c r="X59" i="2"/>
  <c r="U59" i="2"/>
  <c r="W59" i="2" s="1"/>
  <c r="R59" i="2"/>
  <c r="T59" i="2" s="1"/>
  <c r="O59" i="2"/>
  <c r="X54" i="2"/>
  <c r="U54" i="2"/>
  <c r="W54" i="2" s="1"/>
  <c r="R54" i="2"/>
  <c r="T54" i="2" s="1"/>
  <c r="O54" i="2"/>
  <c r="X50" i="2"/>
  <c r="U50" i="2"/>
  <c r="W50" i="2" s="1"/>
  <c r="R50" i="2"/>
  <c r="T50" i="2" s="1"/>
  <c r="O50" i="2"/>
  <c r="X39" i="2"/>
  <c r="U39" i="2"/>
  <c r="R39" i="2"/>
  <c r="X37" i="2"/>
  <c r="U37" i="2"/>
  <c r="R37" i="2"/>
  <c r="O37" i="2"/>
  <c r="X33" i="2"/>
  <c r="U33" i="2"/>
  <c r="R33" i="2"/>
  <c r="T33" i="2" s="1"/>
  <c r="O33" i="2"/>
  <c r="X31" i="2"/>
  <c r="U31" i="2"/>
  <c r="W31" i="2" s="1"/>
  <c r="R31" i="2"/>
  <c r="T31" i="2" s="1"/>
  <c r="O31" i="2"/>
  <c r="X27" i="2"/>
  <c r="U27" i="2"/>
  <c r="W27" i="2" s="1"/>
  <c r="R27" i="2"/>
  <c r="T27" i="2" s="1"/>
  <c r="O27" i="2"/>
  <c r="X20" i="2"/>
  <c r="U20" i="2"/>
  <c r="R20" i="2"/>
  <c r="T20" i="2" s="1"/>
  <c r="O20" i="2"/>
  <c r="X17" i="2"/>
  <c r="U17" i="2"/>
  <c r="R17" i="2"/>
  <c r="O17" i="2"/>
  <c r="X14" i="2"/>
  <c r="U14" i="2"/>
  <c r="W14" i="2" s="1"/>
  <c r="R14" i="2"/>
  <c r="T14" i="2" s="1"/>
  <c r="O14" i="2"/>
  <c r="X11" i="2"/>
  <c r="U11" i="2"/>
  <c r="R11" i="2"/>
  <c r="O11"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11" i="2"/>
  <c r="AA14" i="2"/>
  <c r="AA17" i="2"/>
  <c r="AA20" i="2"/>
  <c r="AA27" i="2"/>
  <c r="AA31" i="2"/>
  <c r="AA33" i="2"/>
  <c r="AA37" i="2"/>
  <c r="AA50" i="2"/>
  <c r="AA54" i="2"/>
  <c r="AA59" i="2"/>
  <c r="AA61" i="2"/>
  <c r="AA64" i="2"/>
  <c r="AA65" i="2"/>
  <c r="AA66" i="2"/>
  <c r="AA68" i="2"/>
  <c r="AA75" i="2"/>
  <c r="AA79" i="2"/>
  <c r="AA88" i="2"/>
  <c r="AA93" i="2"/>
  <c r="AA97" i="2"/>
  <c r="AA99" i="2"/>
  <c r="AA101" i="2"/>
  <c r="AA107" i="2"/>
  <c r="AA115" i="2"/>
  <c r="AA120" i="2"/>
  <c r="AA130" i="2"/>
  <c r="AA141" i="2"/>
  <c r="AA144" i="2"/>
  <c r="AA146" i="2"/>
  <c r="AA148" i="2"/>
  <c r="AA165" i="2"/>
  <c r="AA161" i="2"/>
  <c r="AA170" i="2"/>
  <c r="AA175" i="2"/>
  <c r="AA176" i="2"/>
  <c r="AA178" i="2"/>
  <c r="AA183" i="2"/>
  <c r="AA187" i="2"/>
  <c r="AA190" i="2"/>
  <c r="AA200" i="2"/>
  <c r="AA209" i="2"/>
  <c r="AA210" i="2"/>
  <c r="AA217" i="2"/>
  <c r="AA227" i="2"/>
  <c r="AA234" i="2"/>
  <c r="AA241" i="2"/>
  <c r="AA247" i="2"/>
  <c r="AA250" i="2"/>
  <c r="AA251" i="2"/>
  <c r="AA252" i="2"/>
  <c r="AA253" i="2"/>
  <c r="AA255" i="2"/>
  <c r="AA257" i="2"/>
  <c r="AA260" i="2"/>
  <c r="AA261" i="2"/>
  <c r="AA262" i="2"/>
  <c r="AA263" i="2"/>
  <c r="AA265" i="2"/>
  <c r="AA285" i="2"/>
  <c r="AA295" i="2"/>
  <c r="AA331" i="2"/>
  <c r="B5" i="21" s="1"/>
  <c r="AA333" i="2"/>
  <c r="B7" i="21" s="1"/>
  <c r="AA337" i="2"/>
  <c r="B11" i="21" s="1"/>
  <c r="AA338" i="2"/>
  <c r="B12" i="21" s="1"/>
  <c r="AA339" i="2"/>
  <c r="B13" i="21" s="1"/>
  <c r="AA340" i="2"/>
  <c r="B14" i="21" s="1"/>
  <c r="AA355" i="2"/>
  <c r="B29" i="21" s="1"/>
  <c r="T177" i="2" l="1"/>
  <c r="T254" i="2"/>
  <c r="T211" i="2"/>
  <c r="R177" i="2"/>
  <c r="AD358" i="2"/>
  <c r="D24" i="12"/>
  <c r="E24" i="12"/>
  <c r="C24" i="14"/>
  <c r="D24" i="14"/>
  <c r="B24" i="14"/>
  <c r="E24" i="1"/>
  <c r="E24" i="10"/>
  <c r="W11" i="2"/>
  <c r="B24" i="13"/>
  <c r="E24" i="13"/>
  <c r="X298" i="2"/>
  <c r="AL298" i="2" s="1"/>
  <c r="W17" i="2"/>
  <c r="C24" i="13"/>
  <c r="E24" i="14"/>
  <c r="W33" i="2"/>
  <c r="D24" i="13"/>
  <c r="C24" i="1"/>
  <c r="C24" i="10"/>
  <c r="D24" i="1"/>
  <c r="D24" i="10"/>
  <c r="T11" i="2"/>
  <c r="B24" i="12"/>
  <c r="T17" i="2"/>
  <c r="C24" i="12"/>
  <c r="AE358" i="2"/>
  <c r="Q328" i="2"/>
  <c r="E21" i="1" s="1"/>
  <c r="R254" i="2"/>
  <c r="AF254" i="2" s="1"/>
  <c r="O177" i="2"/>
  <c r="O254" i="2"/>
  <c r="AC254" i="2" s="1"/>
  <c r="X38" i="2"/>
  <c r="U147" i="2"/>
  <c r="AI147" i="2" s="1"/>
  <c r="O67" i="2"/>
  <c r="AC67" i="2" s="1"/>
  <c r="R298" i="2"/>
  <c r="AF298" i="2" s="1"/>
  <c r="U67" i="2"/>
  <c r="AI67" i="2" s="1"/>
  <c r="O100" i="2"/>
  <c r="AC100" i="2" s="1"/>
  <c r="R211" i="2"/>
  <c r="AF211" i="2" s="1"/>
  <c r="O147" i="2"/>
  <c r="AC147" i="2" s="1"/>
  <c r="O211" i="2"/>
  <c r="AC211" i="2" s="1"/>
  <c r="O298" i="2"/>
  <c r="AC298" i="2" s="1"/>
  <c r="X10" i="2"/>
  <c r="AL10" i="2" s="1"/>
  <c r="W177" i="2"/>
  <c r="U298" i="2"/>
  <c r="AI298" i="2" s="1"/>
  <c r="T39" i="2"/>
  <c r="T38" i="2" s="1"/>
  <c r="R38" i="2"/>
  <c r="R67" i="2"/>
  <c r="AF67" i="2" s="1"/>
  <c r="O264" i="2"/>
  <c r="AC264" i="2" s="1"/>
  <c r="T101" i="2"/>
  <c r="T100" i="2" s="1"/>
  <c r="R100" i="2"/>
  <c r="AF100" i="2" s="1"/>
  <c r="T148" i="2"/>
  <c r="R147" i="2"/>
  <c r="AF147" i="2" s="1"/>
  <c r="T265" i="2"/>
  <c r="T264" i="2" s="1"/>
  <c r="R264" i="2"/>
  <c r="AF264" i="2" s="1"/>
  <c r="W39" i="2"/>
  <c r="W38" i="2" s="1"/>
  <c r="U38" i="2"/>
  <c r="X67" i="2"/>
  <c r="AL67" i="2" s="1"/>
  <c r="W101" i="2"/>
  <c r="W100" i="2" s="1"/>
  <c r="U100" i="2"/>
  <c r="AI100" i="2" s="1"/>
  <c r="W255" i="2"/>
  <c r="W254" i="2" s="1"/>
  <c r="U254" i="2"/>
  <c r="AI254" i="2" s="1"/>
  <c r="W265" i="2"/>
  <c r="W264" i="2" s="1"/>
  <c r="U264" i="2"/>
  <c r="AI264" i="2" s="1"/>
  <c r="O10" i="2"/>
  <c r="AC10" i="2" s="1"/>
  <c r="X100" i="2"/>
  <c r="AL100" i="2" s="1"/>
  <c r="X147" i="2"/>
  <c r="AL147" i="2" s="1"/>
  <c r="X177" i="2"/>
  <c r="X254" i="2"/>
  <c r="AL254" i="2" s="1"/>
  <c r="X264" i="2"/>
  <c r="AL264" i="2" s="1"/>
  <c r="R10" i="2"/>
  <c r="AF10" i="2" s="1"/>
  <c r="U10" i="2"/>
  <c r="AI10" i="2" s="1"/>
  <c r="W217" i="2"/>
  <c r="W211" i="2" s="1"/>
  <c r="U211" i="2"/>
  <c r="AI211" i="2" s="1"/>
  <c r="X211" i="2"/>
  <c r="AL211" i="2" s="1"/>
  <c r="U177" i="2"/>
  <c r="T68" i="2"/>
  <c r="T67" i="2" s="1"/>
  <c r="W68" i="2"/>
  <c r="W67" i="2" s="1"/>
  <c r="W148" i="2"/>
  <c r="W147" i="2" s="1"/>
  <c r="T165" i="2"/>
  <c r="N37" i="2"/>
  <c r="N175" i="2"/>
  <c r="N210" i="2"/>
  <c r="N250" i="2"/>
  <c r="N260" i="2"/>
  <c r="N300" i="2"/>
  <c r="N302" i="2"/>
  <c r="N304" i="2"/>
  <c r="N308" i="2"/>
  <c r="N312" i="2"/>
  <c r="N314" i="2"/>
  <c r="N318" i="2"/>
  <c r="N322" i="2"/>
  <c r="N326" i="2"/>
  <c r="N306" i="2"/>
  <c r="N310" i="2"/>
  <c r="N316" i="2"/>
  <c r="N320" i="2"/>
  <c r="N324" i="2"/>
  <c r="Q11" i="2"/>
  <c r="N11" i="2"/>
  <c r="Q17" i="2"/>
  <c r="N17" i="2"/>
  <c r="Q27" i="2"/>
  <c r="N27" i="2"/>
  <c r="Q33" i="2"/>
  <c r="N33" i="2"/>
  <c r="Q54" i="2"/>
  <c r="N54" i="2"/>
  <c r="Q61" i="2"/>
  <c r="N61" i="2"/>
  <c r="N65" i="2"/>
  <c r="Q68" i="2"/>
  <c r="N68" i="2"/>
  <c r="Q79" i="2"/>
  <c r="N79" i="2"/>
  <c r="Q93" i="2"/>
  <c r="N93" i="2"/>
  <c r="N99" i="2"/>
  <c r="Q107" i="2"/>
  <c r="N107" i="2"/>
  <c r="Q120" i="2"/>
  <c r="N120" i="2"/>
  <c r="Q141" i="2"/>
  <c r="N141" i="2"/>
  <c r="N146" i="2"/>
  <c r="Q165" i="2"/>
  <c r="N165" i="2"/>
  <c r="Q170" i="2"/>
  <c r="N170" i="2"/>
  <c r="N176" i="2"/>
  <c r="Q183" i="2"/>
  <c r="N183" i="2"/>
  <c r="Q190" i="2"/>
  <c r="N190" i="2"/>
  <c r="N209" i="2"/>
  <c r="Q217" i="2"/>
  <c r="N217" i="2"/>
  <c r="Q234" i="2"/>
  <c r="N234" i="2"/>
  <c r="Q247" i="2"/>
  <c r="N247" i="2"/>
  <c r="N251" i="2"/>
  <c r="N253" i="2"/>
  <c r="Q257" i="2"/>
  <c r="N257" i="2"/>
  <c r="N261" i="2"/>
  <c r="Q263" i="2"/>
  <c r="N263" i="2"/>
  <c r="Q285" i="2"/>
  <c r="N285" i="2"/>
  <c r="N299" i="2"/>
  <c r="N301" i="2"/>
  <c r="N303" i="2"/>
  <c r="N305" i="2"/>
  <c r="N307" i="2"/>
  <c r="N309" i="2"/>
  <c r="N311" i="2"/>
  <c r="N313" i="2"/>
  <c r="N315" i="2"/>
  <c r="N317" i="2"/>
  <c r="N319" i="2"/>
  <c r="N321" i="2"/>
  <c r="N323" i="2"/>
  <c r="N325" i="2"/>
  <c r="Q14" i="2"/>
  <c r="N14" i="2"/>
  <c r="Q20" i="2"/>
  <c r="N20" i="2"/>
  <c r="Q31" i="2"/>
  <c r="N31" i="2"/>
  <c r="Q50" i="2"/>
  <c r="N50" i="2"/>
  <c r="Q59" i="2"/>
  <c r="N59" i="2"/>
  <c r="Q64" i="2"/>
  <c r="N64" i="2"/>
  <c r="Q66" i="2"/>
  <c r="N66" i="2"/>
  <c r="Q75" i="2"/>
  <c r="N75" i="2"/>
  <c r="Q88" i="2"/>
  <c r="N88" i="2"/>
  <c r="Q97" i="2"/>
  <c r="N97" i="2"/>
  <c r="Q101" i="2"/>
  <c r="N101" i="2"/>
  <c r="Q115" i="2"/>
  <c r="N115" i="2"/>
  <c r="Q130" i="2"/>
  <c r="N130" i="2"/>
  <c r="Q144" i="2"/>
  <c r="N144" i="2"/>
  <c r="Q148" i="2"/>
  <c r="N148" i="2"/>
  <c r="Q161" i="2"/>
  <c r="N161" i="2"/>
  <c r="Q178" i="2"/>
  <c r="N178" i="2"/>
  <c r="Q187" i="2"/>
  <c r="N187" i="2"/>
  <c r="Q200" i="2"/>
  <c r="N200" i="2"/>
  <c r="Q227" i="2"/>
  <c r="N227" i="2"/>
  <c r="Q241" i="2"/>
  <c r="N241" i="2"/>
  <c r="Q252" i="2"/>
  <c r="N252" i="2"/>
  <c r="Q255" i="2"/>
  <c r="N255" i="2"/>
  <c r="Q262" i="2"/>
  <c r="N262" i="2"/>
  <c r="Q265" i="2"/>
  <c r="N265" i="2"/>
  <c r="Q295" i="2"/>
  <c r="N295" i="2"/>
  <c r="C21" i="12"/>
  <c r="C21" i="13"/>
  <c r="C21" i="14"/>
  <c r="C33" i="14" l="1"/>
  <c r="C54" i="14" s="1"/>
  <c r="AC358" i="2" a="1"/>
  <c r="E21" i="10"/>
  <c r="W10" i="2"/>
  <c r="W327" i="2" s="1"/>
  <c r="E20" i="13" s="1"/>
  <c r="C78" i="13" s="1"/>
  <c r="C33" i="12"/>
  <c r="C32" i="12" s="1"/>
  <c r="C33" i="13"/>
  <c r="C32" i="13" s="1"/>
  <c r="T10" i="2"/>
  <c r="C33" i="10"/>
  <c r="C32" i="10" s="1"/>
  <c r="R327" i="2"/>
  <c r="C20" i="12" s="1"/>
  <c r="U327" i="2"/>
  <c r="C20" i="13" s="1"/>
  <c r="Q264" i="2"/>
  <c r="Q100" i="2"/>
  <c r="Q67" i="2"/>
  <c r="X327" i="2"/>
  <c r="C20" i="14" s="1"/>
  <c r="Q254" i="2"/>
  <c r="Q147" i="2"/>
  <c r="T147" i="2"/>
  <c r="Q10" i="2"/>
  <c r="Q211" i="2"/>
  <c r="Q177" i="2"/>
  <c r="N211" i="2"/>
  <c r="N67" i="2"/>
  <c r="N177" i="2"/>
  <c r="N147" i="2"/>
  <c r="N100" i="2"/>
  <c r="AI177" i="2"/>
  <c r="AC177" i="2"/>
  <c r="AF177" i="2"/>
  <c r="AL177" i="2"/>
  <c r="C21" i="1"/>
  <c r="AL38" i="2"/>
  <c r="AF38" i="2"/>
  <c r="AI38" i="2"/>
  <c r="N10" i="2"/>
  <c r="N254" i="2"/>
  <c r="N264" i="2"/>
  <c r="N328" i="2"/>
  <c r="N298" i="2"/>
  <c r="E4" i="1"/>
  <c r="D4" i="1"/>
  <c r="Y84" i="10" l="1"/>
  <c r="N84" i="10"/>
  <c r="X84" i="10"/>
  <c r="M84" i="10"/>
  <c r="C32" i="14"/>
  <c r="N73" i="14" s="1"/>
  <c r="N90" i="10"/>
  <c r="Y90" i="10"/>
  <c r="C75" i="14"/>
  <c r="N78" i="14"/>
  <c r="C84" i="14"/>
  <c r="C83" i="14"/>
  <c r="C79" i="10"/>
  <c r="X88" i="12"/>
  <c r="N88" i="12"/>
  <c r="N73" i="12"/>
  <c r="N78" i="12"/>
  <c r="X73" i="12"/>
  <c r="X78" i="12"/>
  <c r="X87" i="12"/>
  <c r="N87" i="12"/>
  <c r="C83" i="12"/>
  <c r="C84" i="12"/>
  <c r="C86" i="12"/>
  <c r="C85" i="12"/>
  <c r="C73" i="12"/>
  <c r="N88" i="13"/>
  <c r="X88" i="13"/>
  <c r="X78" i="13"/>
  <c r="X73" i="13"/>
  <c r="N73" i="13"/>
  <c r="N78" i="13"/>
  <c r="N87" i="13"/>
  <c r="X87" i="13"/>
  <c r="C83" i="13"/>
  <c r="C84" i="13"/>
  <c r="C86" i="13"/>
  <c r="C85" i="13"/>
  <c r="C73" i="13"/>
  <c r="C76" i="13"/>
  <c r="C75" i="13"/>
  <c r="C76" i="12"/>
  <c r="C75" i="12"/>
  <c r="C88" i="10"/>
  <c r="C81" i="10"/>
  <c r="Y78" i="10"/>
  <c r="C87" i="10"/>
  <c r="Y88" i="10"/>
  <c r="N77" i="10"/>
  <c r="N79" i="10"/>
  <c r="N78" i="10"/>
  <c r="N82" i="10"/>
  <c r="Y83" i="10"/>
  <c r="N83" i="10"/>
  <c r="N88" i="10"/>
  <c r="Y79" i="10"/>
  <c r="Y89" i="10"/>
  <c r="N80" i="10"/>
  <c r="Y80" i="10"/>
  <c r="N89" i="10"/>
  <c r="Y75" i="10"/>
  <c r="N75" i="10"/>
  <c r="C86" i="10"/>
  <c r="C85" i="10"/>
  <c r="C75" i="10"/>
  <c r="T327" i="2"/>
  <c r="E20" i="12" s="1"/>
  <c r="C78" i="12" s="1"/>
  <c r="F24" i="13"/>
  <c r="F24" i="12"/>
  <c r="F24" i="14"/>
  <c r="L66" i="11"/>
  <c r="M66" i="11"/>
  <c r="N66" i="11"/>
  <c r="AA67" i="2"/>
  <c r="AA100" i="2"/>
  <c r="AA147" i="2"/>
  <c r="AA177" i="2"/>
  <c r="AA264" i="2"/>
  <c r="AA10" i="2"/>
  <c r="AA298" i="2"/>
  <c r="AA328" i="2"/>
  <c r="AA254" i="2"/>
  <c r="AA211" i="2"/>
  <c r="C4" i="1"/>
  <c r="X87" i="14" l="1"/>
  <c r="C73" i="14"/>
  <c r="N88" i="14"/>
  <c r="X78" i="14"/>
  <c r="C86" i="14"/>
  <c r="X88" i="14"/>
  <c r="C85" i="14"/>
  <c r="V85" i="14" s="1"/>
  <c r="C76" i="14"/>
  <c r="L76" i="14" s="1"/>
  <c r="N87" i="14"/>
  <c r="X73" i="14"/>
  <c r="L85" i="14"/>
  <c r="V83" i="14"/>
  <c r="L83" i="14"/>
  <c r="V84" i="14"/>
  <c r="L84" i="14"/>
  <c r="V75" i="14"/>
  <c r="L75" i="14"/>
  <c r="V86" i="14"/>
  <c r="L86" i="14"/>
  <c r="C80" i="13"/>
  <c r="L80" i="13" s="1"/>
  <c r="W86" i="10"/>
  <c r="L86" i="10"/>
  <c r="L85" i="12"/>
  <c r="V85" i="12"/>
  <c r="V85" i="13"/>
  <c r="L85" i="13"/>
  <c r="L86" i="12"/>
  <c r="V86" i="12"/>
  <c r="L75" i="13"/>
  <c r="V75" i="13"/>
  <c r="C81" i="13"/>
  <c r="W87" i="10"/>
  <c r="L87" i="10"/>
  <c r="V86" i="13"/>
  <c r="L86" i="13"/>
  <c r="V84" i="12"/>
  <c r="L84" i="12"/>
  <c r="V75" i="12"/>
  <c r="L75" i="12"/>
  <c r="C81" i="12"/>
  <c r="L76" i="12"/>
  <c r="V76" i="12"/>
  <c r="V84" i="13"/>
  <c r="L84" i="13"/>
  <c r="L83" i="12"/>
  <c r="V83" i="12"/>
  <c r="C80" i="12"/>
  <c r="L76" i="13"/>
  <c r="V76" i="13"/>
  <c r="W85" i="10"/>
  <c r="L85" i="10"/>
  <c r="L81" i="10"/>
  <c r="W81" i="10"/>
  <c r="L83" i="13"/>
  <c r="V83" i="13"/>
  <c r="C50" i="1"/>
  <c r="Q83" i="13" l="1"/>
  <c r="R83" i="13"/>
  <c r="U83" i="13"/>
  <c r="S83" i="13"/>
  <c r="Q76" i="13"/>
  <c r="R76" i="13"/>
  <c r="U76" i="13"/>
  <c r="S76" i="13"/>
  <c r="Q84" i="13"/>
  <c r="R84" i="13"/>
  <c r="U84" i="13"/>
  <c r="S84" i="13"/>
  <c r="Q86" i="13"/>
  <c r="R86" i="13"/>
  <c r="U86" i="13"/>
  <c r="S86" i="13"/>
  <c r="Q75" i="13"/>
  <c r="R75" i="13"/>
  <c r="U75" i="13"/>
  <c r="S75" i="13"/>
  <c r="Q85" i="13"/>
  <c r="R85" i="13"/>
  <c r="U85" i="13"/>
  <c r="S85" i="13"/>
  <c r="Q83" i="12"/>
  <c r="R83" i="12"/>
  <c r="U83" i="12"/>
  <c r="S83" i="12"/>
  <c r="Q76" i="12"/>
  <c r="R76" i="12"/>
  <c r="U76" i="12"/>
  <c r="S76" i="12"/>
  <c r="Q75" i="12"/>
  <c r="R75" i="12"/>
  <c r="U75" i="12"/>
  <c r="S75" i="12"/>
  <c r="Q84" i="12"/>
  <c r="R84" i="12"/>
  <c r="U84" i="12"/>
  <c r="S84" i="12"/>
  <c r="Q86" i="12"/>
  <c r="R86" i="12"/>
  <c r="U86" i="12"/>
  <c r="S86" i="12"/>
  <c r="Q85" i="12"/>
  <c r="R85" i="12"/>
  <c r="U85" i="12"/>
  <c r="S85" i="12"/>
  <c r="C81" i="14"/>
  <c r="V76" i="14"/>
  <c r="C80" i="14"/>
  <c r="L80" i="14" s="1"/>
  <c r="K76" i="12"/>
  <c r="H76" i="12"/>
  <c r="G76" i="12"/>
  <c r="I76" i="12"/>
  <c r="I75" i="14"/>
  <c r="G75" i="14"/>
  <c r="H75" i="14"/>
  <c r="K75" i="14"/>
  <c r="I85" i="13"/>
  <c r="G85" i="13"/>
  <c r="K85" i="13"/>
  <c r="H85" i="13"/>
  <c r="I76" i="14"/>
  <c r="K76" i="14"/>
  <c r="G76" i="14"/>
  <c r="H76" i="14"/>
  <c r="K86" i="12"/>
  <c r="H86" i="12"/>
  <c r="G86" i="12"/>
  <c r="I86" i="12"/>
  <c r="I84" i="14"/>
  <c r="H84" i="14"/>
  <c r="K84" i="14"/>
  <c r="G84" i="14"/>
  <c r="I83" i="14"/>
  <c r="H83" i="14"/>
  <c r="G83" i="14"/>
  <c r="K83" i="14"/>
  <c r="I75" i="13"/>
  <c r="G75" i="13"/>
  <c r="H75" i="13"/>
  <c r="K75" i="13"/>
  <c r="I84" i="13"/>
  <c r="H84" i="13"/>
  <c r="K84" i="13"/>
  <c r="G84" i="13"/>
  <c r="I80" i="13"/>
  <c r="H80" i="13"/>
  <c r="G80" i="13"/>
  <c r="K80" i="13"/>
  <c r="I85" i="14"/>
  <c r="K85" i="14"/>
  <c r="H85" i="14"/>
  <c r="G85" i="14"/>
  <c r="I86" i="13"/>
  <c r="G86" i="13"/>
  <c r="K86" i="13"/>
  <c r="H86" i="13"/>
  <c r="I86" i="14"/>
  <c r="K86" i="14"/>
  <c r="G86" i="14"/>
  <c r="H86" i="14"/>
  <c r="K75" i="12"/>
  <c r="H75" i="12"/>
  <c r="G75" i="12"/>
  <c r="I75" i="12"/>
  <c r="K84" i="12"/>
  <c r="H84" i="12"/>
  <c r="G84" i="12"/>
  <c r="I84" i="12"/>
  <c r="I76" i="13"/>
  <c r="G76" i="13"/>
  <c r="H76" i="13"/>
  <c r="K76" i="13"/>
  <c r="K85" i="12"/>
  <c r="H85" i="12"/>
  <c r="G85" i="12"/>
  <c r="I85" i="12"/>
  <c r="K83" i="12"/>
  <c r="H83" i="12"/>
  <c r="G83" i="12"/>
  <c r="I83" i="12"/>
  <c r="I83" i="13"/>
  <c r="H83" i="13"/>
  <c r="K83" i="13"/>
  <c r="G83" i="13"/>
  <c r="I80" i="14"/>
  <c r="K80" i="14"/>
  <c r="G80" i="14"/>
  <c r="H80" i="14"/>
  <c r="T81" i="10"/>
  <c r="T86" i="10"/>
  <c r="T85" i="10"/>
  <c r="T87" i="10"/>
  <c r="I85" i="10"/>
  <c r="I87" i="10"/>
  <c r="I81" i="10"/>
  <c r="I86" i="10"/>
  <c r="V80" i="14"/>
  <c r="C88" i="14"/>
  <c r="X86" i="14"/>
  <c r="N75" i="14"/>
  <c r="X75" i="14"/>
  <c r="N84" i="14"/>
  <c r="V81" i="14"/>
  <c r="L81" i="14"/>
  <c r="X84" i="14"/>
  <c r="X76" i="14"/>
  <c r="N83" i="14"/>
  <c r="N76" i="14"/>
  <c r="X83" i="14"/>
  <c r="N80" i="14"/>
  <c r="N85" i="14"/>
  <c r="N86" i="14"/>
  <c r="X85" i="14"/>
  <c r="C88" i="13"/>
  <c r="V80" i="13"/>
  <c r="Y86" i="10"/>
  <c r="S86" i="10"/>
  <c r="R86" i="10"/>
  <c r="V86" i="10"/>
  <c r="Y87" i="10"/>
  <c r="R87" i="10"/>
  <c r="V87" i="10"/>
  <c r="S87" i="10"/>
  <c r="Y85" i="10"/>
  <c r="V85" i="10"/>
  <c r="S85" i="10"/>
  <c r="R85" i="10"/>
  <c r="Y81" i="10"/>
  <c r="R81" i="10"/>
  <c r="V81" i="10"/>
  <c r="X75" i="13"/>
  <c r="N84" i="12"/>
  <c r="N85" i="12"/>
  <c r="X83" i="13"/>
  <c r="X76" i="13"/>
  <c r="N83" i="12"/>
  <c r="X84" i="12"/>
  <c r="N86" i="12"/>
  <c r="N86" i="10"/>
  <c r="H86" i="10"/>
  <c r="G86" i="10"/>
  <c r="K86" i="10"/>
  <c r="N85" i="10"/>
  <c r="G85" i="10"/>
  <c r="K85" i="10"/>
  <c r="H85" i="10"/>
  <c r="G87" i="10"/>
  <c r="K87" i="10"/>
  <c r="N87" i="10"/>
  <c r="H87" i="10"/>
  <c r="X83" i="12"/>
  <c r="X86" i="12"/>
  <c r="N83" i="13"/>
  <c r="X76" i="12"/>
  <c r="N86" i="13"/>
  <c r="N85" i="13"/>
  <c r="N84" i="13"/>
  <c r="N76" i="12"/>
  <c r="X86" i="13"/>
  <c r="X85" i="13"/>
  <c r="H81" i="10"/>
  <c r="G81" i="10"/>
  <c r="N81" i="10"/>
  <c r="K81" i="10"/>
  <c r="N75" i="12"/>
  <c r="V80" i="12"/>
  <c r="C88" i="12"/>
  <c r="L80" i="12"/>
  <c r="X75" i="12"/>
  <c r="X85" i="12"/>
  <c r="N76" i="13"/>
  <c r="X84" i="13"/>
  <c r="N75" i="13"/>
  <c r="V81" i="12"/>
  <c r="L81" i="12"/>
  <c r="L81" i="13"/>
  <c r="V81" i="13"/>
  <c r="N80" i="13"/>
  <c r="Y86" i="1"/>
  <c r="Y75" i="1"/>
  <c r="Z72" i="1"/>
  <c r="Q81" i="13" l="1"/>
  <c r="R81" i="13"/>
  <c r="U81" i="13"/>
  <c r="S81" i="13"/>
  <c r="Q80" i="13"/>
  <c r="R80" i="13"/>
  <c r="U80" i="13"/>
  <c r="S80" i="13"/>
  <c r="Q81" i="12"/>
  <c r="R81" i="12"/>
  <c r="U81" i="12"/>
  <c r="S81" i="12"/>
  <c r="Q80" i="12"/>
  <c r="R80" i="12"/>
  <c r="U80" i="12"/>
  <c r="S80" i="12"/>
  <c r="K81" i="12"/>
  <c r="H81" i="12"/>
  <c r="G81" i="12"/>
  <c r="I81" i="12"/>
  <c r="K80" i="12"/>
  <c r="H80" i="12"/>
  <c r="G80" i="12"/>
  <c r="I80" i="12"/>
  <c r="I81" i="14"/>
  <c r="K81" i="14"/>
  <c r="G81" i="14"/>
  <c r="H81" i="14"/>
  <c r="I81" i="13"/>
  <c r="G81" i="13"/>
  <c r="K81" i="13"/>
  <c r="H81" i="13"/>
  <c r="X80" i="14"/>
  <c r="X80" i="13"/>
  <c r="N81" i="14"/>
  <c r="X81" i="14"/>
  <c r="N81" i="13"/>
  <c r="N80" i="12"/>
  <c r="X81" i="12"/>
  <c r="X81" i="13"/>
  <c r="X80" i="12"/>
  <c r="N81" i="12"/>
  <c r="AE72" i="1"/>
  <c r="AD72" i="1"/>
  <c r="AC72" i="1"/>
  <c r="AB72" i="1"/>
  <c r="AA72" i="1"/>
  <c r="Y89" i="1"/>
  <c r="Y88" i="1"/>
  <c r="Y84" i="1"/>
  <c r="Y82" i="1"/>
  <c r="Y81" i="1"/>
  <c r="Y80" i="1"/>
  <c r="Y79" i="1"/>
  <c r="Y78" i="1"/>
  <c r="Y77" i="1"/>
  <c r="Y76" i="1"/>
  <c r="Y74" i="1"/>
  <c r="Y72" i="1" l="1"/>
  <c r="C238" i="4" l="1"/>
  <c r="C240" i="4" s="1"/>
  <c r="C241" i="4" s="1"/>
  <c r="C6" i="1"/>
  <c r="C7" i="1"/>
  <c r="C5" i="1"/>
  <c r="C33" i="1" s="1"/>
  <c r="E47" i="1" l="1"/>
  <c r="F47" i="1" s="1"/>
  <c r="E49" i="1"/>
  <c r="F49" i="1" s="1"/>
  <c r="E48" i="1"/>
  <c r="F48" i="1" s="1"/>
  <c r="C32" i="1"/>
  <c r="C36" i="14"/>
  <c r="C74" i="14" s="1"/>
  <c r="C36" i="13"/>
  <c r="C74" i="13" s="1"/>
  <c r="C36" i="12"/>
  <c r="C74" i="12" s="1"/>
  <c r="C37" i="1"/>
  <c r="V74" i="14" l="1"/>
  <c r="L74" i="14"/>
  <c r="X89" i="1"/>
  <c r="X74" i="1"/>
  <c r="X79" i="1"/>
  <c r="X88" i="1"/>
  <c r="C74" i="1"/>
  <c r="C85" i="1"/>
  <c r="V85" i="1" s="1"/>
  <c r="C84" i="1"/>
  <c r="V84" i="1" s="1"/>
  <c r="V74" i="12"/>
  <c r="L74" i="12"/>
  <c r="C87" i="1"/>
  <c r="V87" i="1" s="1"/>
  <c r="V74" i="13"/>
  <c r="L74" i="13"/>
  <c r="C86" i="1"/>
  <c r="V86" i="1" s="1"/>
  <c r="N89" i="1"/>
  <c r="N88" i="1"/>
  <c r="N79" i="1"/>
  <c r="N74" i="1"/>
  <c r="J66" i="11"/>
  <c r="C35" i="12"/>
  <c r="C77" i="12" s="1"/>
  <c r="C35" i="13"/>
  <c r="C77" i="13" s="1"/>
  <c r="C35" i="14"/>
  <c r="C77" i="14" s="1"/>
  <c r="C36" i="1"/>
  <c r="Q74" i="13" l="1"/>
  <c r="R74" i="13"/>
  <c r="U74" i="13"/>
  <c r="S74" i="13"/>
  <c r="Q74" i="12"/>
  <c r="R74" i="12"/>
  <c r="U74" i="12"/>
  <c r="S74" i="12"/>
  <c r="V82" i="14"/>
  <c r="X82" i="14" s="1"/>
  <c r="L82" i="14"/>
  <c r="C79" i="13"/>
  <c r="V82" i="12"/>
  <c r="L82" i="12"/>
  <c r="K74" i="12"/>
  <c r="H74" i="12"/>
  <c r="G74" i="12"/>
  <c r="I74" i="12"/>
  <c r="I74" i="14"/>
  <c r="K74" i="14"/>
  <c r="G74" i="14"/>
  <c r="H74" i="14"/>
  <c r="U84" i="1"/>
  <c r="R84" i="1"/>
  <c r="Q84" i="1"/>
  <c r="S84" i="1"/>
  <c r="R85" i="1"/>
  <c r="Q85" i="1"/>
  <c r="U85" i="1"/>
  <c r="S85" i="1"/>
  <c r="I74" i="13"/>
  <c r="G74" i="13"/>
  <c r="K74" i="13"/>
  <c r="H74" i="13"/>
  <c r="R87" i="1"/>
  <c r="Q87" i="1"/>
  <c r="U87" i="1"/>
  <c r="S87" i="1"/>
  <c r="R86" i="1"/>
  <c r="U86" i="1"/>
  <c r="Q86" i="1"/>
  <c r="S86" i="1"/>
  <c r="V77" i="14"/>
  <c r="L77" i="14"/>
  <c r="C79" i="14"/>
  <c r="N74" i="14"/>
  <c r="X74" i="14"/>
  <c r="L86" i="1"/>
  <c r="L85" i="1"/>
  <c r="L87" i="1"/>
  <c r="N74" i="13"/>
  <c r="X87" i="1"/>
  <c r="C78" i="1"/>
  <c r="V78" i="1" s="1"/>
  <c r="L79" i="13"/>
  <c r="V79" i="13"/>
  <c r="L77" i="12"/>
  <c r="V77" i="12"/>
  <c r="X74" i="13"/>
  <c r="N74" i="12"/>
  <c r="L77" i="13"/>
  <c r="V77" i="13"/>
  <c r="X86" i="1"/>
  <c r="X74" i="12"/>
  <c r="X85" i="1"/>
  <c r="X84" i="1"/>
  <c r="L84" i="1"/>
  <c r="C71" i="13"/>
  <c r="C79" i="12"/>
  <c r="Q77" i="13" l="1"/>
  <c r="R77" i="13"/>
  <c r="U77" i="13"/>
  <c r="S77" i="13"/>
  <c r="Q79" i="13"/>
  <c r="R79" i="13"/>
  <c r="U79" i="13"/>
  <c r="S79" i="13"/>
  <c r="Q77" i="12"/>
  <c r="R77" i="12"/>
  <c r="U77" i="12"/>
  <c r="S77" i="12"/>
  <c r="X82" i="12"/>
  <c r="Q82" i="12"/>
  <c r="R82" i="12"/>
  <c r="U82" i="12"/>
  <c r="S82" i="12"/>
  <c r="N82" i="14"/>
  <c r="I82" i="14"/>
  <c r="G82" i="14"/>
  <c r="K82" i="14"/>
  <c r="H82" i="14"/>
  <c r="V82" i="13"/>
  <c r="L82" i="13"/>
  <c r="L71" i="13" s="1"/>
  <c r="N82" i="12"/>
  <c r="K82" i="12"/>
  <c r="G82" i="12"/>
  <c r="H82" i="12"/>
  <c r="I82" i="12"/>
  <c r="H85" i="1"/>
  <c r="G85" i="1"/>
  <c r="K85" i="1"/>
  <c r="I85" i="1"/>
  <c r="I77" i="13"/>
  <c r="H77" i="13"/>
  <c r="G77" i="13"/>
  <c r="K77" i="13"/>
  <c r="H86" i="1"/>
  <c r="K86" i="1"/>
  <c r="G86" i="1"/>
  <c r="I86" i="1"/>
  <c r="I77" i="14"/>
  <c r="K77" i="14"/>
  <c r="G77" i="14"/>
  <c r="H77" i="14"/>
  <c r="K77" i="12"/>
  <c r="H77" i="12"/>
  <c r="G77" i="12"/>
  <c r="I77" i="12"/>
  <c r="I79" i="13"/>
  <c r="H79" i="13"/>
  <c r="K79" i="13"/>
  <c r="G79" i="13"/>
  <c r="K87" i="1"/>
  <c r="G87" i="1"/>
  <c r="H87" i="1"/>
  <c r="I87" i="1"/>
  <c r="H84" i="1"/>
  <c r="K84" i="1"/>
  <c r="G84" i="1"/>
  <c r="I84" i="1"/>
  <c r="R78" i="1"/>
  <c r="Q78" i="1"/>
  <c r="U78" i="1"/>
  <c r="S78" i="1"/>
  <c r="N87" i="1"/>
  <c r="N85" i="1"/>
  <c r="N86" i="1"/>
  <c r="N84" i="1"/>
  <c r="L79" i="14"/>
  <c r="V79" i="14"/>
  <c r="C71" i="14"/>
  <c r="N77" i="14"/>
  <c r="X77" i="14"/>
  <c r="L78" i="1"/>
  <c r="V79" i="12"/>
  <c r="L79" i="12"/>
  <c r="C71" i="12"/>
  <c r="X77" i="12"/>
  <c r="X77" i="13"/>
  <c r="N77" i="12"/>
  <c r="N77" i="13"/>
  <c r="N79" i="13"/>
  <c r="X79" i="13"/>
  <c r="X78" i="1"/>
  <c r="X82" i="13" l="1"/>
  <c r="Q82" i="13"/>
  <c r="R82" i="13"/>
  <c r="U82" i="13"/>
  <c r="S82" i="13"/>
  <c r="Q79" i="12"/>
  <c r="R79" i="12"/>
  <c r="U79" i="12"/>
  <c r="S79" i="12"/>
  <c r="V71" i="13"/>
  <c r="N82" i="13"/>
  <c r="N71" i="13" s="1"/>
  <c r="N90" i="13" s="1"/>
  <c r="U71" i="13"/>
  <c r="Q71" i="13"/>
  <c r="S71" i="13"/>
  <c r="I82" i="13"/>
  <c r="I71" i="13" s="1"/>
  <c r="H82" i="13"/>
  <c r="H71" i="13" s="1"/>
  <c r="K82" i="13"/>
  <c r="K71" i="13" s="1"/>
  <c r="G82" i="13"/>
  <c r="E54" i="13"/>
  <c r="T69" i="13"/>
  <c r="J69" i="13"/>
  <c r="J82" i="13" s="1"/>
  <c r="C50" i="13"/>
  <c r="K78" i="1"/>
  <c r="H78" i="1"/>
  <c r="G78" i="1"/>
  <c r="I78" i="1"/>
  <c r="U71" i="12"/>
  <c r="R71" i="12"/>
  <c r="K79" i="12"/>
  <c r="K71" i="12" s="1"/>
  <c r="H79" i="12"/>
  <c r="H71" i="12" s="1"/>
  <c r="G79" i="12"/>
  <c r="Q71" i="12"/>
  <c r="S71" i="12"/>
  <c r="I79" i="12"/>
  <c r="I71" i="12" s="1"/>
  <c r="U71" i="14"/>
  <c r="S71" i="14"/>
  <c r="R71" i="14"/>
  <c r="I79" i="14"/>
  <c r="I71" i="14" s="1"/>
  <c r="G79" i="14"/>
  <c r="H79" i="14"/>
  <c r="H71" i="14" s="1"/>
  <c r="K79" i="14"/>
  <c r="K71" i="14" s="1"/>
  <c r="N78" i="1"/>
  <c r="X79" i="14"/>
  <c r="X71" i="14" s="1"/>
  <c r="X90" i="14" s="1"/>
  <c r="V71" i="14"/>
  <c r="L71" i="14"/>
  <c r="N79" i="14"/>
  <c r="N71" i="14" s="1"/>
  <c r="N90" i="14" s="1"/>
  <c r="X71" i="13"/>
  <c r="X90" i="13" s="1"/>
  <c r="R71" i="13"/>
  <c r="X79" i="12"/>
  <c r="X71" i="12" s="1"/>
  <c r="X90" i="12" s="1"/>
  <c r="N79" i="12"/>
  <c r="N71" i="12" s="1"/>
  <c r="N90" i="12" s="1"/>
  <c r="V71" i="12"/>
  <c r="L71" i="12"/>
  <c r="T88" i="13" l="1"/>
  <c r="T87" i="13"/>
  <c r="T86" i="13"/>
  <c r="T85" i="13"/>
  <c r="T84" i="13"/>
  <c r="T83" i="13"/>
  <c r="T82" i="13"/>
  <c r="T81" i="13"/>
  <c r="T80" i="13"/>
  <c r="T79" i="13"/>
  <c r="T78" i="13"/>
  <c r="T77" i="13"/>
  <c r="T76" i="13"/>
  <c r="T75" i="13"/>
  <c r="T74" i="13"/>
  <c r="T73" i="13"/>
  <c r="T72" i="13"/>
  <c r="F82" i="13"/>
  <c r="M82" i="13" s="1"/>
  <c r="P82" i="13"/>
  <c r="G71" i="13"/>
  <c r="E54" i="12"/>
  <c r="E54" i="14"/>
  <c r="J69" i="14"/>
  <c r="J82" i="14" s="1"/>
  <c r="F82" i="14" s="1"/>
  <c r="T69" i="14"/>
  <c r="P82" i="14" s="1"/>
  <c r="C50" i="14"/>
  <c r="J69" i="12"/>
  <c r="J82" i="12" s="1"/>
  <c r="F82" i="12" s="1"/>
  <c r="T69" i="12"/>
  <c r="C50" i="12"/>
  <c r="J72" i="13"/>
  <c r="F72" i="13" s="1"/>
  <c r="E72" i="13" s="1"/>
  <c r="J89" i="13"/>
  <c r="F89" i="13" s="1"/>
  <c r="J88" i="13"/>
  <c r="F88" i="13" s="1"/>
  <c r="J73" i="13"/>
  <c r="F73" i="13" s="1"/>
  <c r="J78" i="13"/>
  <c r="F78" i="13" s="1"/>
  <c r="J87" i="13"/>
  <c r="F87" i="13" s="1"/>
  <c r="J80" i="13"/>
  <c r="F80" i="13" s="1"/>
  <c r="J85" i="13"/>
  <c r="F85" i="13" s="1"/>
  <c r="J83" i="13"/>
  <c r="F83" i="13" s="1"/>
  <c r="J75" i="13"/>
  <c r="F75" i="13" s="1"/>
  <c r="J86" i="13"/>
  <c r="F86" i="13" s="1"/>
  <c r="J76" i="13"/>
  <c r="F76" i="13" s="1"/>
  <c r="J84" i="13"/>
  <c r="F84" i="13" s="1"/>
  <c r="J81" i="13"/>
  <c r="F81" i="13" s="1"/>
  <c r="J74" i="13"/>
  <c r="F74" i="13" s="1"/>
  <c r="J77" i="13"/>
  <c r="F77" i="13" s="1"/>
  <c r="M77" i="13" s="1"/>
  <c r="J79" i="13"/>
  <c r="P72" i="13"/>
  <c r="O72" i="13" s="1"/>
  <c r="T89" i="13"/>
  <c r="P89" i="13" s="1"/>
  <c r="P88" i="13"/>
  <c r="P78" i="13"/>
  <c r="P73" i="13"/>
  <c r="P87" i="13"/>
  <c r="P86" i="13"/>
  <c r="P75" i="13"/>
  <c r="P76" i="13"/>
  <c r="P84" i="13"/>
  <c r="P80" i="13"/>
  <c r="P83" i="13"/>
  <c r="P85" i="13"/>
  <c r="P81" i="13"/>
  <c r="P74" i="13"/>
  <c r="P79" i="13"/>
  <c r="W79" i="13" s="1"/>
  <c r="Q71" i="14"/>
  <c r="G71" i="14"/>
  <c r="G71" i="12"/>
  <c r="N4" i="11"/>
  <c r="N63" i="11" s="1"/>
  <c r="N64" i="11" s="1"/>
  <c r="M4" i="11"/>
  <c r="T88" i="12" l="1"/>
  <c r="T87" i="12"/>
  <c r="T86" i="12"/>
  <c r="T85" i="12"/>
  <c r="T84" i="12"/>
  <c r="T83" i="12"/>
  <c r="T82" i="12"/>
  <c r="P82" i="12" s="1"/>
  <c r="T81" i="12"/>
  <c r="T80" i="12"/>
  <c r="T79" i="12"/>
  <c r="T78" i="12"/>
  <c r="T77" i="12"/>
  <c r="T76" i="12"/>
  <c r="T75" i="12"/>
  <c r="T74" i="12"/>
  <c r="T73" i="12"/>
  <c r="T72" i="12"/>
  <c r="M82" i="14"/>
  <c r="E82" i="14"/>
  <c r="W82" i="14"/>
  <c r="O82" i="14"/>
  <c r="E82" i="13"/>
  <c r="W82" i="13"/>
  <c r="O82" i="13"/>
  <c r="W82" i="12"/>
  <c r="O82" i="12"/>
  <c r="M82" i="12"/>
  <c r="E82" i="12"/>
  <c r="T71" i="13"/>
  <c r="P77" i="13"/>
  <c r="P71" i="13" s="1"/>
  <c r="W76" i="13"/>
  <c r="O76" i="13"/>
  <c r="M75" i="13"/>
  <c r="E75" i="13"/>
  <c r="E89" i="13"/>
  <c r="M89" i="13"/>
  <c r="J71" i="13"/>
  <c r="F79" i="13"/>
  <c r="M83" i="13"/>
  <c r="E83" i="13"/>
  <c r="W74" i="13"/>
  <c r="O74" i="13"/>
  <c r="W86" i="13"/>
  <c r="O86" i="13"/>
  <c r="E85" i="13"/>
  <c r="M85" i="13"/>
  <c r="W81" i="13"/>
  <c r="O81" i="13"/>
  <c r="O87" i="13"/>
  <c r="W87" i="13"/>
  <c r="E74" i="13"/>
  <c r="M74" i="13"/>
  <c r="E80" i="13"/>
  <c r="M80" i="13"/>
  <c r="P72" i="12"/>
  <c r="O72" i="12" s="1"/>
  <c r="T89" i="12"/>
  <c r="P89" i="12" s="1"/>
  <c r="P88" i="12"/>
  <c r="P78" i="12"/>
  <c r="P73" i="12"/>
  <c r="P87" i="12"/>
  <c r="P83" i="12"/>
  <c r="P76" i="12"/>
  <c r="P75" i="12"/>
  <c r="P84" i="12"/>
  <c r="P86" i="12"/>
  <c r="P85" i="12"/>
  <c r="P80" i="12"/>
  <c r="P81" i="12"/>
  <c r="P74" i="12"/>
  <c r="P77" i="12"/>
  <c r="W85" i="13"/>
  <c r="O85" i="13"/>
  <c r="O73" i="13"/>
  <c r="W73" i="13"/>
  <c r="M81" i="13"/>
  <c r="E81" i="13"/>
  <c r="E87" i="13"/>
  <c r="M87" i="13"/>
  <c r="J72" i="12"/>
  <c r="J89" i="12"/>
  <c r="F89" i="12" s="1"/>
  <c r="J88" i="12"/>
  <c r="F88" i="12" s="1"/>
  <c r="J78" i="12"/>
  <c r="F78" i="12" s="1"/>
  <c r="J73" i="12"/>
  <c r="F73" i="12" s="1"/>
  <c r="J87" i="12"/>
  <c r="J86" i="12"/>
  <c r="F86" i="12" s="1"/>
  <c r="J75" i="12"/>
  <c r="F75" i="12" s="1"/>
  <c r="J83" i="12"/>
  <c r="F83" i="12" s="1"/>
  <c r="J84" i="12"/>
  <c r="J76" i="12"/>
  <c r="F76" i="12" s="1"/>
  <c r="J85" i="12"/>
  <c r="F85" i="12" s="1"/>
  <c r="J80" i="12"/>
  <c r="J81" i="12"/>
  <c r="F81" i="12" s="1"/>
  <c r="J74" i="12"/>
  <c r="J77" i="12"/>
  <c r="J79" i="12"/>
  <c r="F79" i="12" s="1"/>
  <c r="E79" i="12" s="1"/>
  <c r="W83" i="13"/>
  <c r="O83" i="13"/>
  <c r="O78" i="13"/>
  <c r="W78" i="13"/>
  <c r="E84" i="13"/>
  <c r="M84" i="13"/>
  <c r="E78" i="13"/>
  <c r="M78" i="13"/>
  <c r="O79" i="13"/>
  <c r="E77" i="13"/>
  <c r="W80" i="13"/>
  <c r="O80" i="13"/>
  <c r="O88" i="13"/>
  <c r="W88" i="13"/>
  <c r="E76" i="13"/>
  <c r="M76" i="13"/>
  <c r="E73" i="13"/>
  <c r="M73" i="13"/>
  <c r="P72" i="14"/>
  <c r="O72" i="14" s="1"/>
  <c r="T89" i="14"/>
  <c r="P89" i="14" s="1"/>
  <c r="P88" i="14"/>
  <c r="P78" i="14"/>
  <c r="P73" i="14"/>
  <c r="P87" i="14"/>
  <c r="P83" i="14"/>
  <c r="P85" i="14"/>
  <c r="P76" i="14"/>
  <c r="P80" i="14"/>
  <c r="P86" i="14"/>
  <c r="P75" i="14"/>
  <c r="P84" i="14"/>
  <c r="P81" i="14"/>
  <c r="P74" i="14"/>
  <c r="P77" i="14"/>
  <c r="W75" i="13"/>
  <c r="O75" i="13"/>
  <c r="W84" i="13"/>
  <c r="O84" i="13"/>
  <c r="O89" i="13"/>
  <c r="W89" i="13"/>
  <c r="E86" i="13"/>
  <c r="M86" i="13"/>
  <c r="E88" i="13"/>
  <c r="M88" i="13"/>
  <c r="J72" i="14"/>
  <c r="F72" i="14" s="1"/>
  <c r="E72" i="14" s="1"/>
  <c r="J89" i="14"/>
  <c r="F89" i="14" s="1"/>
  <c r="J88" i="14"/>
  <c r="F88" i="14" s="1"/>
  <c r="J78" i="14"/>
  <c r="F78" i="14" s="1"/>
  <c r="J73" i="14"/>
  <c r="F73" i="14" s="1"/>
  <c r="J87" i="14"/>
  <c r="F87" i="14" s="1"/>
  <c r="J85" i="14"/>
  <c r="F85" i="14" s="1"/>
  <c r="J83" i="14"/>
  <c r="F83" i="14" s="1"/>
  <c r="J76" i="14"/>
  <c r="F76" i="14" s="1"/>
  <c r="J80" i="14"/>
  <c r="F80" i="14" s="1"/>
  <c r="J86" i="14"/>
  <c r="F86" i="14" s="1"/>
  <c r="J75" i="14"/>
  <c r="F75" i="14" s="1"/>
  <c r="J84" i="14"/>
  <c r="F84" i="14" s="1"/>
  <c r="J81" i="14"/>
  <c r="F81" i="14" s="1"/>
  <c r="J74" i="14"/>
  <c r="F74" i="14" s="1"/>
  <c r="J77" i="14"/>
  <c r="F77" i="14" s="1"/>
  <c r="J79" i="14"/>
  <c r="F74" i="12"/>
  <c r="M63" i="11"/>
  <c r="M64" i="11" s="1"/>
  <c r="BL11" i="2"/>
  <c r="BL10" i="2" s="1"/>
  <c r="M79" i="12" l="1"/>
  <c r="M81" i="14"/>
  <c r="E81" i="14"/>
  <c r="E87" i="14"/>
  <c r="M87" i="14"/>
  <c r="T71" i="14"/>
  <c r="P79" i="14"/>
  <c r="O76" i="14"/>
  <c r="W76" i="14"/>
  <c r="E73" i="12"/>
  <c r="M73" i="12"/>
  <c r="W81" i="12"/>
  <c r="O81" i="12"/>
  <c r="O87" i="12"/>
  <c r="W87" i="12"/>
  <c r="E84" i="14"/>
  <c r="M84" i="14"/>
  <c r="O77" i="14"/>
  <c r="W77" i="14"/>
  <c r="W85" i="14"/>
  <c r="O85" i="14"/>
  <c r="M85" i="12"/>
  <c r="E85" i="12"/>
  <c r="E78" i="12"/>
  <c r="M78" i="12"/>
  <c r="W80" i="12"/>
  <c r="O80" i="12"/>
  <c r="O73" i="12"/>
  <c r="W73" i="12"/>
  <c r="O74" i="14"/>
  <c r="W74" i="14"/>
  <c r="W83" i="14"/>
  <c r="O83" i="14"/>
  <c r="M76" i="12"/>
  <c r="E76" i="12"/>
  <c r="E88" i="12"/>
  <c r="M88" i="12"/>
  <c r="W85" i="12"/>
  <c r="O85" i="12"/>
  <c r="O78" i="12"/>
  <c r="W78" i="12"/>
  <c r="E73" i="14"/>
  <c r="M73" i="14"/>
  <c r="M86" i="14"/>
  <c r="E86" i="14"/>
  <c r="E88" i="14"/>
  <c r="M88" i="14"/>
  <c r="W81" i="14"/>
  <c r="O81" i="14"/>
  <c r="O87" i="14"/>
  <c r="W87" i="14"/>
  <c r="E89" i="12"/>
  <c r="M89" i="12"/>
  <c r="W86" i="12"/>
  <c r="O86" i="12"/>
  <c r="O88" i="12"/>
  <c r="W88" i="12"/>
  <c r="M80" i="14"/>
  <c r="E80" i="14"/>
  <c r="E89" i="14"/>
  <c r="M89" i="14"/>
  <c r="W84" i="14"/>
  <c r="O84" i="14"/>
  <c r="O73" i="14"/>
  <c r="W73" i="14"/>
  <c r="M83" i="12"/>
  <c r="E83" i="12"/>
  <c r="F72" i="12"/>
  <c r="E72" i="12" s="1"/>
  <c r="J71" i="12"/>
  <c r="W84" i="12"/>
  <c r="O84" i="12"/>
  <c r="O89" i="12"/>
  <c r="W89" i="12"/>
  <c r="E75" i="14"/>
  <c r="M75" i="14"/>
  <c r="J71" i="14"/>
  <c r="F79" i="14"/>
  <c r="W75" i="14"/>
  <c r="O75" i="14"/>
  <c r="O78" i="14"/>
  <c r="W78" i="14"/>
  <c r="M75" i="12"/>
  <c r="E75" i="12"/>
  <c r="T71" i="12"/>
  <c r="P79" i="12"/>
  <c r="W75" i="12"/>
  <c r="O75" i="12"/>
  <c r="W86" i="14"/>
  <c r="O86" i="14"/>
  <c r="O88" i="14"/>
  <c r="W88" i="14"/>
  <c r="E86" i="12"/>
  <c r="M86" i="12"/>
  <c r="O77" i="12"/>
  <c r="W77" i="12"/>
  <c r="W76" i="12"/>
  <c r="O76" i="12"/>
  <c r="F71" i="13"/>
  <c r="M79" i="13"/>
  <c r="M71" i="13" s="1"/>
  <c r="E79" i="13"/>
  <c r="E71" i="13" s="1"/>
  <c r="O77" i="13"/>
  <c r="O71" i="13" s="1"/>
  <c r="W77" i="13"/>
  <c r="W71" i="13" s="1"/>
  <c r="E78" i="14"/>
  <c r="M78" i="14"/>
  <c r="E76" i="14"/>
  <c r="M76" i="14"/>
  <c r="M77" i="14"/>
  <c r="E77" i="14"/>
  <c r="E83" i="14"/>
  <c r="M83" i="14"/>
  <c r="M74" i="14"/>
  <c r="E74" i="14"/>
  <c r="E85" i="14"/>
  <c r="M85" i="14"/>
  <c r="O80" i="14"/>
  <c r="W80" i="14"/>
  <c r="O89" i="14"/>
  <c r="W89" i="14"/>
  <c r="M81" i="12"/>
  <c r="E81" i="12"/>
  <c r="O74" i="12"/>
  <c r="W74" i="12"/>
  <c r="O83" i="12"/>
  <c r="W83" i="12"/>
  <c r="E74" i="12"/>
  <c r="M74" i="12"/>
  <c r="F77" i="12"/>
  <c r="BL327" i="2"/>
  <c r="CM10" i="2"/>
  <c r="L4" i="11"/>
  <c r="L63" i="11" s="1"/>
  <c r="L64" i="11" s="1"/>
  <c r="P71" i="14" l="1"/>
  <c r="W79" i="14"/>
  <c r="W71" i="14" s="1"/>
  <c r="O79" i="14"/>
  <c r="O71" i="14" s="1"/>
  <c r="O79" i="12"/>
  <c r="O71" i="12" s="1"/>
  <c r="W79" i="12"/>
  <c r="W71" i="12" s="1"/>
  <c r="P71" i="12"/>
  <c r="E79" i="14"/>
  <c r="E71" i="14" s="1"/>
  <c r="M79" i="14"/>
  <c r="M71" i="14" s="1"/>
  <c r="F71" i="14"/>
  <c r="E77" i="12"/>
  <c r="M77" i="12"/>
  <c r="F80" i="12"/>
  <c r="F66" i="11"/>
  <c r="E27" i="19"/>
  <c r="H66" i="11"/>
  <c r="E33" i="20"/>
  <c r="F87" i="12" l="1"/>
  <c r="F84" i="12"/>
  <c r="E80" i="12"/>
  <c r="M80" i="12"/>
  <c r="V15" i="20"/>
  <c r="T15" i="20" s="1"/>
  <c r="O15" i="20" s="1"/>
  <c r="V16" i="20"/>
  <c r="T16" i="20" s="1"/>
  <c r="O16" i="20" s="1"/>
  <c r="V5" i="20"/>
  <c r="T5" i="20" s="1"/>
  <c r="O5" i="20" s="1"/>
  <c r="V21" i="20"/>
  <c r="T21" i="20" s="1"/>
  <c r="O21" i="20" s="1"/>
  <c r="V8" i="20"/>
  <c r="T8" i="20" s="1"/>
  <c r="O8" i="20" s="1"/>
  <c r="V26" i="20"/>
  <c r="T26" i="20" s="1"/>
  <c r="O26" i="20" s="1"/>
  <c r="V22" i="20"/>
  <c r="T22" i="20" s="1"/>
  <c r="O22" i="20" s="1"/>
  <c r="V13" i="20"/>
  <c r="T13" i="20" s="1"/>
  <c r="O13" i="20" s="1"/>
  <c r="V18" i="20"/>
  <c r="T18" i="20" s="1"/>
  <c r="O18" i="20" s="1"/>
  <c r="V17" i="20"/>
  <c r="T17" i="20" s="1"/>
  <c r="O17" i="20" s="1"/>
  <c r="V14" i="20"/>
  <c r="T14" i="20" s="1"/>
  <c r="O14" i="20" s="1"/>
  <c r="V12" i="20"/>
  <c r="T12" i="20" s="1"/>
  <c r="O12" i="20" s="1"/>
  <c r="V27" i="20"/>
  <c r="T27" i="20" s="1"/>
  <c r="O27" i="20" s="1"/>
  <c r="V6" i="20"/>
  <c r="T6" i="20" s="1"/>
  <c r="O6" i="20" s="1"/>
  <c r="V23" i="20"/>
  <c r="T23" i="20" s="1"/>
  <c r="O23" i="20" s="1"/>
  <c r="V9" i="20"/>
  <c r="T9" i="20" s="1"/>
  <c r="O9" i="20" s="1"/>
  <c r="V11" i="20"/>
  <c r="T11" i="20" s="1"/>
  <c r="O11" i="20" s="1"/>
  <c r="V10" i="20"/>
  <c r="T10" i="20" s="1"/>
  <c r="O10" i="20" s="1"/>
  <c r="V20" i="20"/>
  <c r="T20" i="20" s="1"/>
  <c r="O20" i="20" s="1"/>
  <c r="V4" i="20"/>
  <c r="V24" i="20"/>
  <c r="T24" i="20" s="1"/>
  <c r="O24" i="20" s="1"/>
  <c r="V25" i="20"/>
  <c r="T25" i="20" s="1"/>
  <c r="O25" i="20" s="1"/>
  <c r="V7" i="20"/>
  <c r="T7" i="20" s="1"/>
  <c r="O7" i="20" s="1"/>
  <c r="V19" i="20"/>
  <c r="T19" i="20" s="1"/>
  <c r="O19" i="20" s="1"/>
  <c r="V5" i="19"/>
  <c r="T5" i="19" s="1"/>
  <c r="O5" i="19" s="1"/>
  <c r="V14" i="19"/>
  <c r="T14" i="19" s="1"/>
  <c r="O14" i="19" s="1"/>
  <c r="V13" i="19"/>
  <c r="T13" i="19" s="1"/>
  <c r="O13" i="19" s="1"/>
  <c r="V6" i="19"/>
  <c r="T6" i="19" s="1"/>
  <c r="O6" i="19" s="1"/>
  <c r="V9" i="19"/>
  <c r="T9" i="19" s="1"/>
  <c r="O9" i="19" s="1"/>
  <c r="V16" i="19"/>
  <c r="T16" i="19" s="1"/>
  <c r="O16" i="19" s="1"/>
  <c r="V8" i="19"/>
  <c r="T8" i="19" s="1"/>
  <c r="O8" i="19" s="1"/>
  <c r="V4" i="19"/>
  <c r="V11" i="19"/>
  <c r="T11" i="19" s="1"/>
  <c r="O11" i="19" s="1"/>
  <c r="V19" i="19"/>
  <c r="V10" i="19"/>
  <c r="T10" i="19" s="1"/>
  <c r="O10" i="19" s="1"/>
  <c r="V7" i="19"/>
  <c r="T7" i="19" s="1"/>
  <c r="O7" i="19" s="1"/>
  <c r="V17" i="19"/>
  <c r="T17" i="19" s="1"/>
  <c r="O17" i="19" s="1"/>
  <c r="V12" i="19"/>
  <c r="T12" i="19" s="1"/>
  <c r="O12" i="19" s="1"/>
  <c r="F71" i="12" l="1"/>
  <c r="E84" i="12"/>
  <c r="M84" i="12"/>
  <c r="E87" i="12"/>
  <c r="M87" i="12"/>
  <c r="N27" i="20"/>
  <c r="M27" i="20"/>
  <c r="N12" i="20"/>
  <c r="M12" i="20"/>
  <c r="N12" i="19"/>
  <c r="M12" i="19"/>
  <c r="M16" i="19"/>
  <c r="N16" i="19"/>
  <c r="M25" i="20"/>
  <c r="N25" i="20"/>
  <c r="N6" i="20"/>
  <c r="M6" i="20"/>
  <c r="N26" i="20"/>
  <c r="M26" i="20"/>
  <c r="N10" i="19"/>
  <c r="M10" i="19"/>
  <c r="M13" i="19"/>
  <c r="N13" i="19"/>
  <c r="M20" i="20"/>
  <c r="N20" i="20"/>
  <c r="N14" i="20"/>
  <c r="M14" i="20"/>
  <c r="N5" i="20"/>
  <c r="M5" i="20"/>
  <c r="N17" i="19"/>
  <c r="M17" i="19"/>
  <c r="V28" i="20"/>
  <c r="T4" i="20"/>
  <c r="T19" i="19"/>
  <c r="V18" i="19"/>
  <c r="M14" i="19"/>
  <c r="N14" i="19"/>
  <c r="N10" i="20"/>
  <c r="M10" i="20"/>
  <c r="M17" i="20"/>
  <c r="N17" i="20"/>
  <c r="N16" i="20"/>
  <c r="M16" i="20"/>
  <c r="M8" i="20"/>
  <c r="N8" i="20"/>
  <c r="M21" i="20"/>
  <c r="N21" i="20"/>
  <c r="M11" i="20"/>
  <c r="N11" i="20"/>
  <c r="N9" i="19"/>
  <c r="M9" i="19"/>
  <c r="M7" i="19"/>
  <c r="N7" i="19"/>
  <c r="M5" i="19"/>
  <c r="N5" i="19"/>
  <c r="M15" i="20"/>
  <c r="N15" i="20"/>
  <c r="V3" i="19"/>
  <c r="T4" i="19"/>
  <c r="N19" i="20"/>
  <c r="M19" i="20"/>
  <c r="M9" i="20"/>
  <c r="N9" i="20"/>
  <c r="M13" i="20"/>
  <c r="N13" i="20"/>
  <c r="N24" i="20"/>
  <c r="M24" i="20"/>
  <c r="M6" i="19"/>
  <c r="N6" i="19"/>
  <c r="N11" i="19"/>
  <c r="M11" i="19"/>
  <c r="N18" i="20"/>
  <c r="M18" i="20"/>
  <c r="M8" i="19"/>
  <c r="N8" i="19"/>
  <c r="M7" i="20"/>
  <c r="N7" i="20"/>
  <c r="N23" i="20"/>
  <c r="M23" i="20"/>
  <c r="N22" i="20"/>
  <c r="M22" i="20"/>
  <c r="E71" i="12" l="1"/>
  <c r="M71" i="12"/>
  <c r="L25" i="20"/>
  <c r="L10" i="19"/>
  <c r="L14" i="20"/>
  <c r="L20" i="20"/>
  <c r="L5" i="19"/>
  <c r="L11" i="19"/>
  <c r="L21" i="20"/>
  <c r="L7" i="20"/>
  <c r="L26" i="20"/>
  <c r="L14" i="19"/>
  <c r="L7" i="19"/>
  <c r="L16" i="20"/>
  <c r="L5" i="20"/>
  <c r="L8" i="19"/>
  <c r="L23" i="20"/>
  <c r="L9" i="20"/>
  <c r="L10" i="20"/>
  <c r="L17" i="19"/>
  <c r="L12" i="20"/>
  <c r="L6" i="19"/>
  <c r="L13" i="20"/>
  <c r="L16" i="19"/>
  <c r="L18" i="20"/>
  <c r="L24" i="20"/>
  <c r="L15" i="20"/>
  <c r="L9" i="19"/>
  <c r="L17" i="20"/>
  <c r="L13" i="19"/>
  <c r="L12" i="19"/>
  <c r="L6" i="20"/>
  <c r="L8" i="20"/>
  <c r="L19" i="20"/>
  <c r="L22" i="20"/>
  <c r="L11" i="20"/>
  <c r="L27" i="20"/>
  <c r="O4" i="20"/>
  <c r="T28" i="20"/>
  <c r="T18" i="19"/>
  <c r="O19" i="19"/>
  <c r="T3" i="19"/>
  <c r="O4" i="19"/>
  <c r="V20" i="19"/>
  <c r="T20" i="19" l="1"/>
  <c r="N4" i="19"/>
  <c r="N3" i="19" s="1"/>
  <c r="O3" i="19"/>
  <c r="M4" i="19"/>
  <c r="M3" i="19" s="1"/>
  <c r="O18" i="19"/>
  <c r="M19" i="19"/>
  <c r="M18" i="19" s="1"/>
  <c r="N19" i="19"/>
  <c r="N18" i="19" s="1"/>
  <c r="O28" i="20"/>
  <c r="N4" i="20"/>
  <c r="N28" i="20" s="1"/>
  <c r="M4" i="20"/>
  <c r="M28" i="20" s="1"/>
  <c r="M20" i="19" l="1"/>
  <c r="O20" i="19"/>
  <c r="L19" i="19"/>
  <c r="L18" i="19" s="1"/>
  <c r="N20" i="19"/>
  <c r="L4" i="20"/>
  <c r="L28" i="20" s="1"/>
  <c r="L4" i="19"/>
  <c r="L3" i="19" s="1"/>
  <c r="L20" i="19" l="1"/>
  <c r="AU39" i="2" l="1"/>
  <c r="AU38" i="2" s="1"/>
  <c r="AT39" i="2"/>
  <c r="AT38" i="2" s="1"/>
  <c r="AS39" i="2"/>
  <c r="AS38" i="2" s="1"/>
  <c r="AV39" i="2"/>
  <c r="AV38" i="2" s="1"/>
  <c r="AV327" i="2" l="1"/>
  <c r="BV38" i="2"/>
  <c r="BS38" i="2"/>
  <c r="AS327" i="2"/>
  <c r="BW38" i="2"/>
  <c r="BU38" i="2"/>
  <c r="AU327" i="2"/>
  <c r="BT38" i="2"/>
  <c r="AT327" i="2"/>
  <c r="AA39" i="2"/>
  <c r="O39" i="2"/>
  <c r="B24" i="1" l="1"/>
  <c r="B24" i="10"/>
  <c r="N39" i="2"/>
  <c r="N38" i="2" s="1"/>
  <c r="O38" i="2"/>
  <c r="Q39" i="2"/>
  <c r="Q38" i="2" s="1"/>
  <c r="Q327" i="2" s="1"/>
  <c r="E20" i="10" s="1"/>
  <c r="C80" i="10" l="1"/>
  <c r="E20" i="1"/>
  <c r="C79" i="1" s="1"/>
  <c r="O327" i="2"/>
  <c r="C20" i="10" s="1"/>
  <c r="AC38" i="2"/>
  <c r="AA38" i="2"/>
  <c r="N327" i="2"/>
  <c r="C20" i="1" l="1"/>
  <c r="F24" i="1" l="1"/>
  <c r="C76" i="1"/>
  <c r="C75" i="1"/>
  <c r="C77" i="1"/>
  <c r="C78" i="10"/>
  <c r="C77" i="10"/>
  <c r="C76" i="10"/>
  <c r="F24" i="10"/>
  <c r="L83" i="1" l="1"/>
  <c r="V83" i="1"/>
  <c r="C82" i="10"/>
  <c r="W77" i="10"/>
  <c r="C83" i="10"/>
  <c r="W76" i="10"/>
  <c r="L76" i="10"/>
  <c r="V77" i="1"/>
  <c r="L77" i="1"/>
  <c r="C80" i="1"/>
  <c r="V75" i="1"/>
  <c r="L75" i="1"/>
  <c r="L76" i="1"/>
  <c r="V76" i="1"/>
  <c r="C82" i="1"/>
  <c r="C81" i="1"/>
  <c r="Q83" i="1" l="1"/>
  <c r="X83" i="1"/>
  <c r="U83" i="1"/>
  <c r="S83" i="1"/>
  <c r="R83" i="1"/>
  <c r="I83" i="1"/>
  <c r="H83" i="1"/>
  <c r="G83" i="1"/>
  <c r="N83" i="1"/>
  <c r="K83" i="1"/>
  <c r="H75" i="1"/>
  <c r="K75" i="1"/>
  <c r="G75" i="1"/>
  <c r="I75" i="1"/>
  <c r="U77" i="1"/>
  <c r="Q77" i="1"/>
  <c r="R77" i="1"/>
  <c r="S77" i="1"/>
  <c r="Q76" i="1"/>
  <c r="R76" i="1"/>
  <c r="U76" i="1"/>
  <c r="S76" i="1"/>
  <c r="H76" i="1"/>
  <c r="G76" i="1"/>
  <c r="K76" i="1"/>
  <c r="I76" i="1"/>
  <c r="Q75" i="1"/>
  <c r="U75" i="1"/>
  <c r="R75" i="1"/>
  <c r="S75" i="1"/>
  <c r="H77" i="1"/>
  <c r="G77" i="1"/>
  <c r="K77" i="1"/>
  <c r="I77" i="1"/>
  <c r="T76" i="10"/>
  <c r="T77" i="10"/>
  <c r="I76" i="10"/>
  <c r="I73" i="10" s="1"/>
  <c r="X77" i="1"/>
  <c r="N77" i="1"/>
  <c r="H76" i="10"/>
  <c r="H73" i="10" s="1"/>
  <c r="G76" i="10"/>
  <c r="L73" i="10"/>
  <c r="N76" i="10"/>
  <c r="N73" i="10" s="1"/>
  <c r="M92" i="10" s="1"/>
  <c r="F22" i="11" s="1"/>
  <c r="K76" i="10"/>
  <c r="K73" i="10" s="1"/>
  <c r="Y76" i="10"/>
  <c r="R76" i="10"/>
  <c r="V76" i="10"/>
  <c r="S76" i="10"/>
  <c r="X75" i="1"/>
  <c r="L81" i="1"/>
  <c r="C89" i="1"/>
  <c r="C72" i="1" s="1"/>
  <c r="V81" i="1"/>
  <c r="V82" i="1"/>
  <c r="L82" i="1"/>
  <c r="N76" i="1"/>
  <c r="R77" i="10"/>
  <c r="V77" i="10"/>
  <c r="Y77" i="10"/>
  <c r="S77" i="10"/>
  <c r="X76" i="1"/>
  <c r="N75" i="1"/>
  <c r="L80" i="1"/>
  <c r="V80" i="1"/>
  <c r="W82" i="10"/>
  <c r="C90" i="10"/>
  <c r="C73" i="10" s="1"/>
  <c r="U74" i="10" l="1"/>
  <c r="Q74" i="10" s="1"/>
  <c r="U71" i="10"/>
  <c r="J71" i="10"/>
  <c r="J74" i="10"/>
  <c r="J90" i="10"/>
  <c r="F90" i="10" s="1"/>
  <c r="U90" i="10"/>
  <c r="Q90" i="10" s="1"/>
  <c r="U91" i="10"/>
  <c r="Q91" i="10" s="1"/>
  <c r="J91" i="10"/>
  <c r="F91" i="10" s="1"/>
  <c r="J78" i="10"/>
  <c r="F78" i="10" s="1"/>
  <c r="U83" i="10"/>
  <c r="Q83" i="10" s="1"/>
  <c r="U79" i="10"/>
  <c r="Q79" i="10" s="1"/>
  <c r="J79" i="10"/>
  <c r="F79" i="10" s="1"/>
  <c r="J88" i="10"/>
  <c r="F88" i="10" s="1"/>
  <c r="U78" i="10"/>
  <c r="Q78" i="10" s="1"/>
  <c r="U88" i="10"/>
  <c r="Q88" i="10" s="1"/>
  <c r="J77" i="10"/>
  <c r="F77" i="10" s="1"/>
  <c r="J82" i="10"/>
  <c r="F82" i="10" s="1"/>
  <c r="J83" i="10"/>
  <c r="F83" i="10" s="1"/>
  <c r="U89" i="10"/>
  <c r="Q89" i="10" s="1"/>
  <c r="J75" i="10"/>
  <c r="F75" i="10" s="1"/>
  <c r="J80" i="10"/>
  <c r="F80" i="10" s="1"/>
  <c r="J89" i="10"/>
  <c r="F89" i="10" s="1"/>
  <c r="U80" i="10"/>
  <c r="Q80" i="10" s="1"/>
  <c r="U75" i="10"/>
  <c r="Q75" i="10" s="1"/>
  <c r="C51" i="10"/>
  <c r="J85" i="10"/>
  <c r="F85" i="10" s="1"/>
  <c r="U81" i="10"/>
  <c r="Q81" i="10" s="1"/>
  <c r="J81" i="10"/>
  <c r="F81" i="10" s="1"/>
  <c r="U85" i="10"/>
  <c r="Q85" i="10" s="1"/>
  <c r="J86" i="10"/>
  <c r="F86" i="10" s="1"/>
  <c r="J87" i="10"/>
  <c r="F87" i="10" s="1"/>
  <c r="U86" i="10"/>
  <c r="Q86" i="10" s="1"/>
  <c r="U87" i="10"/>
  <c r="Q87" i="10" s="1"/>
  <c r="U82" i="10"/>
  <c r="U77" i="10"/>
  <c r="Q77" i="10" s="1"/>
  <c r="U76" i="10"/>
  <c r="Q76" i="10" s="1"/>
  <c r="J76" i="10"/>
  <c r="K82" i="1"/>
  <c r="H82" i="1"/>
  <c r="G82" i="1"/>
  <c r="I82" i="1"/>
  <c r="R80" i="1"/>
  <c r="Q80" i="1"/>
  <c r="U80" i="1"/>
  <c r="S80" i="1"/>
  <c r="H80" i="1"/>
  <c r="G80" i="1"/>
  <c r="K80" i="1"/>
  <c r="I80" i="1"/>
  <c r="R82" i="1"/>
  <c r="Q82" i="1"/>
  <c r="U82" i="1"/>
  <c r="S82" i="1"/>
  <c r="G81" i="1"/>
  <c r="K81" i="1"/>
  <c r="H81" i="1"/>
  <c r="I81" i="1"/>
  <c r="Q81" i="1"/>
  <c r="U81" i="1"/>
  <c r="R81" i="1"/>
  <c r="S81" i="1"/>
  <c r="W73" i="10"/>
  <c r="T82" i="10"/>
  <c r="T73" i="10" s="1"/>
  <c r="V72" i="1"/>
  <c r="N80" i="1"/>
  <c r="L72" i="1"/>
  <c r="N81" i="1"/>
  <c r="X80" i="1"/>
  <c r="N82" i="1"/>
  <c r="X82" i="1"/>
  <c r="X81" i="1"/>
  <c r="F76" i="10"/>
  <c r="G73" i="10"/>
  <c r="Y82" i="10"/>
  <c r="Y73" i="10" s="1"/>
  <c r="X92" i="10" s="1"/>
  <c r="H22" i="11" s="1"/>
  <c r="V82" i="10"/>
  <c r="V73" i="10" s="1"/>
  <c r="S82" i="10"/>
  <c r="S73" i="10" s="1"/>
  <c r="R82" i="10"/>
  <c r="E55" i="1" l="1"/>
  <c r="E55" i="10"/>
  <c r="S72" i="1"/>
  <c r="T70" i="1"/>
  <c r="T83" i="1" s="1"/>
  <c r="P83" i="1" s="1"/>
  <c r="J70" i="1"/>
  <c r="J83" i="1" s="1"/>
  <c r="F83" i="1" s="1"/>
  <c r="M83" i="1" s="1"/>
  <c r="C51" i="1"/>
  <c r="E75" i="10"/>
  <c r="F6" i="11"/>
  <c r="M75" i="10"/>
  <c r="E87" i="10"/>
  <c r="M87" i="10"/>
  <c r="F17" i="11"/>
  <c r="P75" i="10"/>
  <c r="H6" i="11"/>
  <c r="X75" i="10"/>
  <c r="E80" i="10"/>
  <c r="F11" i="11"/>
  <c r="M80" i="10"/>
  <c r="E86" i="10"/>
  <c r="F16" i="11"/>
  <c r="M86" i="10"/>
  <c r="H11" i="11"/>
  <c r="P80" i="10"/>
  <c r="X80" i="10"/>
  <c r="E89" i="10"/>
  <c r="F19" i="11"/>
  <c r="M89" i="10"/>
  <c r="E91" i="10"/>
  <c r="F21" i="11"/>
  <c r="M91" i="10"/>
  <c r="P81" i="10"/>
  <c r="X81" i="10"/>
  <c r="H12" i="11"/>
  <c r="P79" i="10"/>
  <c r="H10" i="11"/>
  <c r="X79" i="10"/>
  <c r="P87" i="10"/>
  <c r="X87" i="10"/>
  <c r="H17" i="11"/>
  <c r="P86" i="10"/>
  <c r="H16" i="11"/>
  <c r="X86" i="10"/>
  <c r="H20" i="11"/>
  <c r="P90" i="10"/>
  <c r="X90" i="10"/>
  <c r="E79" i="10"/>
  <c r="F10" i="11"/>
  <c r="M79" i="10"/>
  <c r="U73" i="10"/>
  <c r="P83" i="10"/>
  <c r="H14" i="11"/>
  <c r="X83" i="10"/>
  <c r="E78" i="10"/>
  <c r="F9" i="11"/>
  <c r="M78" i="10"/>
  <c r="P89" i="10"/>
  <c r="H19" i="11"/>
  <c r="X89" i="10"/>
  <c r="P91" i="10"/>
  <c r="H21" i="11"/>
  <c r="X91" i="10"/>
  <c r="E83" i="10"/>
  <c r="F14" i="11"/>
  <c r="M83" i="10"/>
  <c r="P85" i="10"/>
  <c r="X85" i="10"/>
  <c r="H15" i="11"/>
  <c r="E82" i="10"/>
  <c r="F13" i="11"/>
  <c r="M82" i="10"/>
  <c r="F20" i="11"/>
  <c r="E90" i="10"/>
  <c r="M90" i="10"/>
  <c r="E81" i="10"/>
  <c r="F12" i="11"/>
  <c r="M81" i="10"/>
  <c r="E77" i="10"/>
  <c r="F8" i="11"/>
  <c r="M77" i="10"/>
  <c r="F74" i="10"/>
  <c r="F73" i="10" s="1"/>
  <c r="J73" i="10"/>
  <c r="H18" i="11"/>
  <c r="P88" i="10"/>
  <c r="X88" i="10"/>
  <c r="E85" i="10"/>
  <c r="M85" i="10"/>
  <c r="F15" i="11"/>
  <c r="H9" i="11"/>
  <c r="P78" i="10"/>
  <c r="X78" i="10"/>
  <c r="E88" i="10"/>
  <c r="F18" i="11"/>
  <c r="M88" i="10"/>
  <c r="P74" i="10"/>
  <c r="H5" i="11"/>
  <c r="I72" i="1"/>
  <c r="G72" i="1"/>
  <c r="H72" i="1"/>
  <c r="K72" i="1"/>
  <c r="N72" i="1"/>
  <c r="N91" i="1" s="1"/>
  <c r="Q82" i="10"/>
  <c r="H13" i="11" s="1"/>
  <c r="U72" i="1"/>
  <c r="X72" i="1"/>
  <c r="W91" i="1" s="1"/>
  <c r="J22" i="11" s="1"/>
  <c r="R72" i="1"/>
  <c r="F7" i="11"/>
  <c r="E76" i="10"/>
  <c r="M76" i="10"/>
  <c r="X76" i="10"/>
  <c r="P76" i="10"/>
  <c r="H7" i="11"/>
  <c r="H8" i="11"/>
  <c r="X77" i="10"/>
  <c r="P77" i="10"/>
  <c r="R73" i="10"/>
  <c r="Q72" i="1"/>
  <c r="E83" i="1" l="1"/>
  <c r="W83" i="1"/>
  <c r="O83" i="1"/>
  <c r="J73" i="1"/>
  <c r="J90" i="1"/>
  <c r="F90" i="1" s="1"/>
  <c r="J89" i="1"/>
  <c r="F89" i="1" s="1"/>
  <c r="J74" i="1"/>
  <c r="F74" i="1" s="1"/>
  <c r="J79" i="1"/>
  <c r="F79" i="1" s="1"/>
  <c r="J88" i="1"/>
  <c r="F88" i="1" s="1"/>
  <c r="J86" i="1"/>
  <c r="F86" i="1" s="1"/>
  <c r="J84" i="1"/>
  <c r="F84" i="1" s="1"/>
  <c r="J85" i="1"/>
  <c r="F85" i="1" s="1"/>
  <c r="J87" i="1"/>
  <c r="F87" i="1" s="1"/>
  <c r="J78" i="1"/>
  <c r="F78" i="1" s="1"/>
  <c r="J76" i="1"/>
  <c r="F76" i="1" s="1"/>
  <c r="J75" i="1"/>
  <c r="F75" i="1" s="1"/>
  <c r="J77" i="1"/>
  <c r="F77" i="1" s="1"/>
  <c r="J82" i="1"/>
  <c r="F82" i="1" s="1"/>
  <c r="M82" i="1" s="1"/>
  <c r="J80" i="1"/>
  <c r="F80" i="1" s="1"/>
  <c r="M80" i="1" s="1"/>
  <c r="J81" i="1"/>
  <c r="F81" i="1" s="1"/>
  <c r="M81" i="1" s="1"/>
  <c r="T73" i="1"/>
  <c r="T90" i="1"/>
  <c r="P90" i="1" s="1"/>
  <c r="T89" i="1"/>
  <c r="P89" i="1" s="1"/>
  <c r="T88" i="1"/>
  <c r="P88" i="1" s="1"/>
  <c r="T74" i="1"/>
  <c r="P74" i="1" s="1"/>
  <c r="T79" i="1"/>
  <c r="P79" i="1" s="1"/>
  <c r="T86" i="1"/>
  <c r="P86" i="1" s="1"/>
  <c r="T87" i="1"/>
  <c r="P87" i="1" s="1"/>
  <c r="T85" i="1"/>
  <c r="P85" i="1" s="1"/>
  <c r="T84" i="1"/>
  <c r="P84" i="1" s="1"/>
  <c r="T78" i="1"/>
  <c r="P78" i="1" s="1"/>
  <c r="T77" i="1"/>
  <c r="P77" i="1" s="1"/>
  <c r="T76" i="1"/>
  <c r="P76" i="1" s="1"/>
  <c r="T75" i="1"/>
  <c r="P75" i="1" s="1"/>
  <c r="T81" i="1"/>
  <c r="P81" i="1" s="1"/>
  <c r="W81" i="1" s="1"/>
  <c r="T80" i="1"/>
  <c r="P80" i="1" s="1"/>
  <c r="O80" i="1" s="1"/>
  <c r="T82" i="1"/>
  <c r="P82" i="1" s="1"/>
  <c r="W82" i="1" s="1"/>
  <c r="E74" i="10"/>
  <c r="E73" i="10" s="1"/>
  <c r="F5" i="11"/>
  <c r="F4" i="11" s="1"/>
  <c r="F63" i="11" s="1"/>
  <c r="F64" i="11" s="1"/>
  <c r="M74" i="10"/>
  <c r="M73" i="10" s="1"/>
  <c r="Q73" i="10"/>
  <c r="P82" i="10"/>
  <c r="P73" i="10" s="1"/>
  <c r="X82" i="10"/>
  <c r="X73" i="10" s="1"/>
  <c r="H4" i="11"/>
  <c r="H63" i="11" s="1"/>
  <c r="H64" i="11" s="1"/>
  <c r="J12" i="11"/>
  <c r="W80" i="1"/>
  <c r="E81" i="1" l="1"/>
  <c r="E80" i="1"/>
  <c r="O81" i="1"/>
  <c r="J14" i="11"/>
  <c r="E82" i="1"/>
  <c r="O82" i="1"/>
  <c r="O86" i="1"/>
  <c r="W86" i="1"/>
  <c r="J17" i="11"/>
  <c r="M84" i="1"/>
  <c r="E84" i="1"/>
  <c r="W75" i="1"/>
  <c r="O75" i="1"/>
  <c r="J7" i="11"/>
  <c r="J11" i="11"/>
  <c r="O79" i="1"/>
  <c r="W79" i="1"/>
  <c r="E86" i="1"/>
  <c r="M86" i="1"/>
  <c r="O76" i="1"/>
  <c r="J8" i="11"/>
  <c r="W76" i="1"/>
  <c r="J6" i="11"/>
  <c r="O74" i="1"/>
  <c r="W74" i="1"/>
  <c r="E77" i="1"/>
  <c r="M77" i="1"/>
  <c r="E88" i="1"/>
  <c r="M88" i="1"/>
  <c r="W77" i="1"/>
  <c r="O77" i="1"/>
  <c r="J9" i="11"/>
  <c r="J19" i="11"/>
  <c r="O88" i="1"/>
  <c r="W88" i="1"/>
  <c r="M75" i="1"/>
  <c r="E75" i="1"/>
  <c r="E79" i="1"/>
  <c r="M79" i="1"/>
  <c r="O78" i="1"/>
  <c r="J10" i="11"/>
  <c r="W78" i="1"/>
  <c r="J20" i="11"/>
  <c r="O89" i="1"/>
  <c r="W89" i="1"/>
  <c r="E76" i="1"/>
  <c r="M76" i="1"/>
  <c r="E74" i="1"/>
  <c r="M74" i="1"/>
  <c r="O84" i="1"/>
  <c r="W84" i="1"/>
  <c r="J15" i="11"/>
  <c r="J21" i="11"/>
  <c r="O90" i="1"/>
  <c r="W90" i="1"/>
  <c r="M78" i="1"/>
  <c r="E78" i="1"/>
  <c r="E89" i="1"/>
  <c r="M89" i="1"/>
  <c r="O85" i="1"/>
  <c r="W85" i="1"/>
  <c r="J16" i="11"/>
  <c r="P73" i="1"/>
  <c r="T72" i="1"/>
  <c r="E87" i="1"/>
  <c r="M87" i="1"/>
  <c r="E90" i="1"/>
  <c r="M90" i="1"/>
  <c r="J13" i="11"/>
  <c r="O87" i="1"/>
  <c r="J18" i="11"/>
  <c r="W87" i="1"/>
  <c r="M85" i="1"/>
  <c r="E85" i="1"/>
  <c r="F73" i="1"/>
  <c r="J72" i="1"/>
  <c r="W72" i="1" l="1"/>
  <c r="M72" i="1"/>
  <c r="E73" i="1"/>
  <c r="E72" i="1" s="1"/>
  <c r="F72" i="1"/>
  <c r="J5" i="11"/>
  <c r="J4" i="11" s="1"/>
  <c r="J63" i="11" s="1"/>
  <c r="J64" i="11" s="1"/>
  <c r="O73" i="1"/>
  <c r="O72" i="1" s="1"/>
  <c r="P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Семен Иоффе</author>
  </authors>
  <commentList>
    <comment ref="BX153" authorId="0" shapeId="0" xr:uid="{00000000-0006-0000-0300-000001000000}">
      <text>
        <r>
          <rPr>
            <b/>
            <sz val="9"/>
            <color indexed="81"/>
            <rFont val="Tahoma"/>
            <family val="2"/>
            <charset val="204"/>
          </rPr>
          <t>Семен Иоффе:</t>
        </r>
        <r>
          <rPr>
            <sz val="9"/>
            <color indexed="81"/>
            <rFont val="Tahoma"/>
            <family val="2"/>
            <charset val="204"/>
          </rPr>
          <t xml:space="preserve">
нет плата трудозатрат по Трудовым ресурсам</t>
        </r>
      </text>
    </comment>
    <comment ref="BX165" authorId="0" shapeId="0" xr:uid="{00000000-0006-0000-0300-000002000000}">
      <text>
        <r>
          <rPr>
            <b/>
            <sz val="9"/>
            <color indexed="81"/>
            <rFont val="Tahoma"/>
            <family val="2"/>
            <charset val="204"/>
          </rPr>
          <t>Семен Иоффе:</t>
        </r>
        <r>
          <rPr>
            <sz val="9"/>
            <color indexed="81"/>
            <rFont val="Tahoma"/>
            <family val="2"/>
            <charset val="204"/>
          </rPr>
          <t xml:space="preserve">
нет плата трудозатрат по Трудовым ресурсам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Семен Иоффе</author>
  </authors>
  <commentList>
    <comment ref="D15" authorId="0" shapeId="0" xr:uid="{00000000-0006-0000-0700-000001000000}">
      <text>
        <r>
          <rPr>
            <b/>
            <sz val="9"/>
            <color indexed="81"/>
            <rFont val="Tahoma"/>
            <family val="2"/>
            <charset val="204"/>
          </rPr>
          <t>Семен Иоффе:</t>
        </r>
        <r>
          <rPr>
            <sz val="9"/>
            <color indexed="81"/>
            <rFont val="Tahoma"/>
            <family val="2"/>
            <charset val="204"/>
          </rPr>
          <t xml:space="preserve">
решили, что лучше включать и прописывать рамки (в т.ч. Возможность заключения ДС на почасовке)</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Семен Иоффе</author>
    <author>Андрей Стрижко</author>
  </authors>
  <commentList>
    <comment ref="W7" authorId="0" shapeId="0" xr:uid="{00000000-0006-0000-0900-000001000000}">
      <text>
        <r>
          <rPr>
            <b/>
            <sz val="9"/>
            <color indexed="81"/>
            <rFont val="Tahoma"/>
            <family val="2"/>
            <charset val="204"/>
          </rPr>
          <t>Семен Иоффе:</t>
        </r>
        <r>
          <rPr>
            <sz val="9"/>
            <color indexed="81"/>
            <rFont val="Tahoma"/>
            <family val="2"/>
            <charset val="204"/>
          </rPr>
          <t xml:space="preserve">
Добавил 1 день на настройку загрузки ДДС и ДР "в подарок"
</t>
        </r>
      </text>
    </comment>
    <comment ref="C9" authorId="1" shapeId="0" xr:uid="{00000000-0006-0000-0900-000002000000}">
      <text>
        <r>
          <rPr>
            <b/>
            <sz val="9"/>
            <color indexed="81"/>
            <rFont val="Tahoma"/>
            <family val="2"/>
            <charset val="204"/>
          </rPr>
          <t>Андрей Стрижко:</t>
        </r>
        <r>
          <rPr>
            <sz val="9"/>
            <color indexed="81"/>
            <rFont val="Tahoma"/>
            <family val="2"/>
            <charset val="204"/>
          </rPr>
          <t xml:space="preserve">
Перенес после обучения, чтобы Заказчик смог выполнить самостоятельно</t>
        </r>
      </text>
    </comment>
    <comment ref="E27" authorId="0" shapeId="0" xr:uid="{00000000-0006-0000-0900-000003000000}">
      <text>
        <r>
          <rPr>
            <b/>
            <sz val="9"/>
            <color indexed="81"/>
            <rFont val="Tahoma"/>
            <family val="2"/>
            <charset val="204"/>
          </rPr>
          <t>Семен Иоффе:</t>
        </r>
        <r>
          <rPr>
            <sz val="9"/>
            <color indexed="81"/>
            <rFont val="Tahoma"/>
            <family val="2"/>
            <charset val="204"/>
          </rPr>
          <t xml:space="preserve">
Формула для восстановления =ЕСЛИМН(D26="СПБ";ЕСЛИ(ИЛИ(C26="КОРП-проект";E26&gt;12);4200;3900);D26="МСК";ЕСЛИ(C26="КОРП-проект";4200;3500))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Семен Иоффе</author>
    <author>Андрей Стрижко</author>
    <author>Георгий Марковский</author>
  </authors>
  <commentList>
    <comment ref="W12" authorId="0" shapeId="0" xr:uid="{00000000-0006-0000-0A00-000001000000}">
      <text>
        <r>
          <rPr>
            <b/>
            <sz val="9"/>
            <color indexed="81"/>
            <rFont val="Tahoma"/>
            <family val="2"/>
            <charset val="204"/>
          </rPr>
          <t>Семен Иоффе:</t>
        </r>
        <r>
          <rPr>
            <sz val="9"/>
            <color indexed="81"/>
            <rFont val="Tahoma"/>
            <family val="2"/>
            <charset val="204"/>
          </rPr>
          <t xml:space="preserve">
Добавил 1 день на настройку загрузки ДДС и ДР "в подарок"
</t>
        </r>
      </text>
    </comment>
    <comment ref="C14" authorId="1" shapeId="0" xr:uid="{00000000-0006-0000-0A00-000002000000}">
      <text>
        <r>
          <rPr>
            <b/>
            <sz val="9"/>
            <color indexed="81"/>
            <rFont val="Tahoma"/>
            <family val="2"/>
            <charset val="204"/>
          </rPr>
          <t>Андрей Стрижко:</t>
        </r>
        <r>
          <rPr>
            <sz val="9"/>
            <color indexed="81"/>
            <rFont val="Tahoma"/>
            <family val="2"/>
            <charset val="204"/>
          </rPr>
          <t xml:space="preserve">
Перенес после обучения, чтобы Заказчик смог выполнить самостоятельно</t>
        </r>
      </text>
    </comment>
    <comment ref="W20" authorId="2" shapeId="0" xr:uid="{00000000-0006-0000-0A00-000003000000}">
      <text>
        <r>
          <rPr>
            <b/>
            <sz val="9"/>
            <color indexed="81"/>
            <rFont val="Tahoma"/>
            <family val="2"/>
            <charset val="204"/>
          </rPr>
          <t>8 д</t>
        </r>
        <r>
          <rPr>
            <sz val="9"/>
            <color indexed="81"/>
            <rFont val="Tahoma"/>
            <family val="2"/>
            <charset val="204"/>
          </rPr>
          <t xml:space="preserve">
</t>
        </r>
      </text>
    </comment>
    <comment ref="E25" authorId="0" shapeId="0" xr:uid="{00000000-0006-0000-0A00-000004000000}">
      <text>
        <r>
          <rPr>
            <b/>
            <sz val="9"/>
            <color indexed="81"/>
            <rFont val="Tahoma"/>
            <family val="2"/>
            <charset val="204"/>
          </rPr>
          <t>Семен Иоффе:</t>
        </r>
        <r>
          <rPr>
            <sz val="9"/>
            <color indexed="81"/>
            <rFont val="Tahoma"/>
            <family val="2"/>
            <charset val="204"/>
          </rPr>
          <t xml:space="preserve">
не правил, но я бы по возможности больше часов закладывал на случай если это будет в рамках одного договора, ограничил бы по длительности 2-мя месяцами и актирование помесячное как и прописано</t>
        </r>
      </text>
    </comment>
    <comment ref="E33" authorId="0" shapeId="0" xr:uid="{00000000-0006-0000-0A00-000005000000}">
      <text>
        <r>
          <rPr>
            <b/>
            <sz val="9"/>
            <color indexed="81"/>
            <rFont val="Tahoma"/>
            <family val="2"/>
            <charset val="204"/>
          </rPr>
          <t>Семен Иоффе:</t>
        </r>
        <r>
          <rPr>
            <sz val="9"/>
            <color indexed="81"/>
            <rFont val="Tahoma"/>
            <family val="2"/>
            <charset val="204"/>
          </rPr>
          <t xml:space="preserve">
Формула для восстановления =ЕСЛИМН(D30="СПБ";ЕСЛИ(ИЛИ(C30="КОРП-проект";E30&gt;12);4200;3900);D30="МСК";ЕСЛИ(C30="КОРП-проект";4200;3500))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Семен Иоффе</author>
  </authors>
  <commentList>
    <comment ref="E31" authorId="0" shapeId="0" xr:uid="{00000000-0006-0000-0800-000001000000}">
      <text>
        <r>
          <rPr>
            <b/>
            <sz val="9"/>
            <color indexed="81"/>
            <rFont val="Tahoma"/>
            <family val="2"/>
            <charset val="204"/>
          </rPr>
          <t>Семен Иоффе:</t>
        </r>
        <r>
          <rPr>
            <sz val="9"/>
            <color indexed="81"/>
            <rFont val="Tahoma"/>
            <family val="2"/>
            <charset val="204"/>
          </rPr>
          <t xml:space="preserve">
Обязательно, если ставку или тип проекта меняем вручную</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Семен Иоффе</author>
  </authors>
  <commentList>
    <comment ref="C30" authorId="0" shapeId="0" xr:uid="{00000000-0006-0000-1100-000001000000}">
      <text>
        <r>
          <rPr>
            <b/>
            <sz val="9"/>
            <color indexed="81"/>
            <rFont val="Tahoma"/>
            <family val="2"/>
            <charset val="204"/>
          </rPr>
          <t>Семен Иоффе:</t>
        </r>
        <r>
          <rPr>
            <sz val="9"/>
            <color indexed="81"/>
            <rFont val="Tahoma"/>
            <family val="2"/>
            <charset val="204"/>
          </rPr>
          <t xml:space="preserve">
Надо проработать. В качестве источника можем взять Туполев или Новатек?</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Семен Иоффе</author>
  </authors>
  <commentList>
    <comment ref="A1" authorId="0" shapeId="0" xr:uid="{00000000-0006-0000-1300-000001000000}">
      <text>
        <r>
          <rPr>
            <b/>
            <sz val="9"/>
            <color indexed="81"/>
            <rFont val="Tahoma"/>
            <family val="2"/>
            <charset val="204"/>
          </rPr>
          <t>Семен Иоффе:</t>
        </r>
        <r>
          <rPr>
            <sz val="9"/>
            <color indexed="81"/>
            <rFont val="Tahoma"/>
            <family val="2"/>
            <charset val="204"/>
          </rPr>
          <t xml:space="preserve">
Функциии только для ERP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<sst xmlns="http://schemas.openxmlformats.org/spreadsheetml/2006/main" count="11206" uniqueCount="2307">
  <si>
    <t>Название задачи</t>
  </si>
  <si>
    <t>Фаза 3. Проектирование ИС</t>
  </si>
  <si>
    <t>Фаза 1. Инициация</t>
  </si>
  <si>
    <t>Фаза 2 Формирование требований к ИС</t>
  </si>
  <si>
    <t>Орг. Объем</t>
  </si>
  <si>
    <t>Количество РП, РПО, Рук. Отделов</t>
  </si>
  <si>
    <t>Количество Исполнителей Работ</t>
  </si>
  <si>
    <t>Итого</t>
  </si>
  <si>
    <t>Функциональный объем</t>
  </si>
  <si>
    <t>Темплан и контрактация</t>
  </si>
  <si>
    <t>Производственная программа</t>
  </si>
  <si>
    <t>Формирование производственной программы</t>
  </si>
  <si>
    <t>План-фактный анализ по программе</t>
  </si>
  <si>
    <t>Тематический план</t>
  </si>
  <si>
    <t>Сводная загрузка</t>
  </si>
  <si>
    <t>Анализ загрузки подразделений и специальностей по задачам производственной программы</t>
  </si>
  <si>
    <t>Ручное выравнивание загрузки подразделений по задачам портфеля проектов</t>
  </si>
  <si>
    <t>Расчет цены контракта</t>
  </si>
  <si>
    <t>Планирование и мониторинг прохождения тендера</t>
  </si>
  <si>
    <t>Выдача поручений по разработке догововора</t>
  </si>
  <si>
    <t>Моделирвоание инвест. Портфеля. Ранжирование заявок на проекты.</t>
  </si>
  <si>
    <t>Формирование заявок на проект. Мониторинг состояния завок.</t>
  </si>
  <si>
    <t>Оценка соответствия заявленных проектов стратегическим целям компании</t>
  </si>
  <si>
    <t>Регистрация значений показателей ээфективности проектов (Внутренняя ставка доходности, срок окупаемости,индекс прибыльности, чистый денежный поток, чистая приведенная стоимость)</t>
  </si>
  <si>
    <t>Расчет итогового балла проектов по показателеям эффективности.</t>
  </si>
  <si>
    <t>Формирование бизнес плана по портфелю проектов.</t>
  </si>
  <si>
    <t>Мониторинг договорной компании</t>
  </si>
  <si>
    <t>Регистрация юридических условий договора и дополнительных соглашений</t>
  </si>
  <si>
    <t>Согласование и монитринг статусов договора</t>
  </si>
  <si>
    <t>Актуализация БДДС по данным договора</t>
  </si>
  <si>
    <t>Хранение файлов и отсканированных копий договора</t>
  </si>
  <si>
    <t xml:space="preserve"> Мониторинг фаз проектов портфеля (Gate)</t>
  </si>
  <si>
    <t>Мониторинг показателей портфеля проектов по методике ворот качества в панели руководителя</t>
  </si>
  <si>
    <t>Управление ЖЦ проектов (портфеля проектов) по методике ворот качества</t>
  </si>
  <si>
    <t>KPI портфеля проектов</t>
  </si>
  <si>
    <t>Мониторинг  KPI портфеля проектов</t>
  </si>
  <si>
    <t xml:space="preserve">Анализ плановых показателей трудоемкости, бюджетов и объемов работ запланирванных по портфелю и соттоветствующих плановых и фактических показателей проектов входящих в портфель   </t>
  </si>
  <si>
    <t>Управление работами и сроками</t>
  </si>
  <si>
    <t>Сформировать календарные планы проектов</t>
  </si>
  <si>
    <t>Регистрация паспорта проекта</t>
  </si>
  <si>
    <t>Декомпозиция проекта до этапов, определенных договором</t>
  </si>
  <si>
    <t>Декомпозиция этапов работ до 
подэтапов и задач. 
Определение сроков и длительности выполнения задач и подэтапов.</t>
  </si>
  <si>
    <t>Планирование ключевых и технологических событий («вех») проектов</t>
  </si>
  <si>
    <t>Расчет «критического пути» проекта</t>
  </si>
  <si>
    <t>Использование диаграмм Ганта</t>
  </si>
  <si>
    <t>Формирование сетевого график проектов</t>
  </si>
  <si>
    <t>Версионирование календарного плана проекта</t>
  </si>
  <si>
    <t>План-фактный анализ сроков проекта</t>
  </si>
  <si>
    <t>Анализ отклонений сроков текущего плана проекта от сроков версий плана проекта</t>
  </si>
  <si>
    <t>Учесть выполнение работ проектов</t>
  </si>
  <si>
    <t>Отражение выполнение работ по задачам проекта</t>
  </si>
  <si>
    <t>Прохождение технологических событий проекта</t>
  </si>
  <si>
    <t>Прохождение ключевых событий проекта</t>
  </si>
  <si>
    <t>План-фактный анализ выполнения работ проекта и прохождения клчевых событий и технологических операций</t>
  </si>
  <si>
    <t>Управлять ЖЦ проектов</t>
  </si>
  <si>
    <t>Управление статусами проектов</t>
  </si>
  <si>
    <t>Рассчитать KPI проектов</t>
  </si>
  <si>
    <t>Планирование KPI проектов, этапов проектов</t>
  </si>
  <si>
    <t xml:space="preserve">Мониторинг состояния показателей </t>
  </si>
  <si>
    <t>Управление трудоемкостью и прочими ресурсами</t>
  </si>
  <si>
    <t>Сформировать плановые трудозатраты проектов</t>
  </si>
  <si>
    <t>Планирование мощности ролей и подразделений</t>
  </si>
  <si>
    <t>Планирование норм стоимости (ставок) ролей (специальностей) подразделений с учетом уровня квалификации</t>
  </si>
  <si>
    <t>Планирование загрузки подразделений и специальностей по этапам проекта</t>
  </si>
  <si>
    <t>Планирование загрузки сотрудников по задачам проекта (без использования механизма заданий)</t>
  </si>
  <si>
    <t>Планирование загрузки сотрудников по задачам проекта (с использованием механизма заданий)</t>
  </si>
  <si>
    <t>Планирование оперативной загрузки сотрудников по графику в течении периода (день, неделя и т.д.)</t>
  </si>
  <si>
    <t>Сформировать прочие ресурсные планы проектов</t>
  </si>
  <si>
    <t>Планирование материальных ресурсов и оборудования</t>
  </si>
  <si>
    <t>Формирование заказа поставщику</t>
  </si>
  <si>
    <t xml:space="preserve">Планирование дополнительных затрат </t>
  </si>
  <si>
    <t>Учесть фактические трудозатраты по проектам</t>
  </si>
  <si>
    <t>Учет рабочего времени</t>
  </si>
  <si>
    <t>Анализ фактических трудозатрат</t>
  </si>
  <si>
    <t>План-фактный анализ трудозатрат</t>
  </si>
  <si>
    <t xml:space="preserve">Учесть фактический расход ресурсов
</t>
  </si>
  <si>
    <t>Учет фактического использования материальных ресурсов и оборудования</t>
  </si>
  <si>
    <t>Учет факта дополнительных затрат</t>
  </si>
  <si>
    <t>План-фактный анализ затрат материальных ресурсов</t>
  </si>
  <si>
    <t>План-фактный анализ дополнительных затрат</t>
  </si>
  <si>
    <t>S-кривые проектов</t>
  </si>
  <si>
    <t>Анализ  фактического %  готовности проектов, % готовности ожидаемой по сроку на текущую дату, % освоенных трудозатрат и % освоенного объема</t>
  </si>
  <si>
    <t>Анализ отклонений по срокам на S-кривых проектов</t>
  </si>
  <si>
    <t>Анализ отклонений по стоимости на S-кривых проектов</t>
  </si>
  <si>
    <t>KPI проектов по трудоемкости</t>
  </si>
  <si>
    <t xml:space="preserve">Мониторинг  KPI сотрудников по трудоемкости </t>
  </si>
  <si>
    <t>Проектное бюджетирование</t>
  </si>
  <si>
    <t>Сформировать планы объемов</t>
  </si>
  <si>
    <t>Планирование объемов доходов и расходов по проекту в стоимостном выражении на основании бюджета доходов и расходов по проектной задаче</t>
  </si>
  <si>
    <t>Планирование выпуска субпродуктов по срокам и стоимости по задачам и актируемым этапам</t>
  </si>
  <si>
    <t>Распределение плановых объемов выпуска по подразделениям, специальностям и с/п</t>
  </si>
  <si>
    <t>Планирование объемов доходов по проекту в натуральном выражении на основании плана выпуска</t>
  </si>
  <si>
    <t>Планирование объемов расходов по проекту в натуральном выражении на основании плана затрат материальных ресурсов</t>
  </si>
  <si>
    <t>Сформировать бюджеты проектов (прямые)</t>
  </si>
  <si>
    <t>Формирование БДР проекта вручную</t>
  </si>
  <si>
    <t>Формирование БДР проекта на основании плана выпуска и ресурсных планов</t>
  </si>
  <si>
    <t>Распределение БДР проекта по подразделениям</t>
  </si>
  <si>
    <t>Формирование плана выплата вручную</t>
  </si>
  <si>
    <t>Формирование плана поступлений на основании плана доходов</t>
  </si>
  <si>
    <t>Формирование плана выплат на основании плана расходов</t>
  </si>
  <si>
    <t>Учесть выполнение объемов</t>
  </si>
  <si>
    <t>Учет выполненных объемов работ по этапам проектов</t>
  </si>
  <si>
    <t>Учет расходных объемов</t>
  </si>
  <si>
    <t>План-фактный анализ объемов</t>
  </si>
  <si>
    <t>Учесть факт проектов по доходам и прямым затратам</t>
  </si>
  <si>
    <t>Отображение факта доходов и расходов в проектном бюджетировании вручную</t>
  </si>
  <si>
    <t>Отображение факта поступлений и выплат в проектном бюджетировании вручную</t>
  </si>
  <si>
    <t xml:space="preserve">Отображение   факта доходов и расходов в проектном бюджетировании автоматически по данным «1С: Бухгалтерия 8 ПРОФ» </t>
  </si>
  <si>
    <t xml:space="preserve">Отображение факта доходов и расходов по данным первичных документов в проектном бюджетировании     </t>
  </si>
  <si>
    <t xml:space="preserve">Отображение факта поступлений и выплата в проектном бюджетировании     </t>
  </si>
  <si>
    <t>Отображение  факта ФОТ на основании введенных табелей</t>
  </si>
  <si>
    <t>Отражение прямых затрат в проектном учете по подразделениям и этапам проектов (на основании первичных документов)</t>
  </si>
  <si>
    <t>Сбор данных о хоз.операциях проекта</t>
  </si>
  <si>
    <t>План-фактный анализ БДР проекта</t>
  </si>
  <si>
    <t>План-фактный анализ БДДС проекта</t>
  </si>
  <si>
    <t>Экономика проектов</t>
  </si>
  <si>
    <t>Динамика экономики проектов</t>
  </si>
  <si>
    <t>Баланс проекта</t>
  </si>
  <si>
    <t>Освоенные объемы EVA</t>
  </si>
  <si>
    <t>KPI проектов по экономике</t>
  </si>
  <si>
    <t xml:space="preserve">Мониторинг KPI по экономике проектов (ФОТ  EV CPI SPI  TCPI  % Маржи) </t>
  </si>
  <si>
    <t>Управление подразделениями</t>
  </si>
  <si>
    <t>План работ подразделений</t>
  </si>
  <si>
    <t>Формирование сводной загрузки подразделения в производственной программе.</t>
  </si>
  <si>
    <t xml:space="preserve">Формирование плана работ подразделений по задачам проектов. </t>
  </si>
  <si>
    <t>Выдача заданий на планирование работ руководителям структурных подразделений.</t>
  </si>
  <si>
    <t xml:space="preserve">Детализация плана работ подразделений до специальностей руководителем структурного подразделения.  </t>
  </si>
  <si>
    <t>Выравнивание и актуализация плановой загрузки ролей подразделений (прогноз трудозатрат по ролям)</t>
  </si>
  <si>
    <t>Выполнени работ подразделений</t>
  </si>
  <si>
    <t xml:space="preserve">План-фактный анализ зарузки подразделений по уровням планирования </t>
  </si>
  <si>
    <t>Актуализация статусов выполнения проектных работ руководительем подразделения.</t>
  </si>
  <si>
    <t>Выравнивание загрузки трудовых ресурсов (планирование трудозатрат по ТР)</t>
  </si>
  <si>
    <t>Прогноз загрузки производства</t>
  </si>
  <si>
    <t xml:space="preserve">Прогнозирование загрузки производственных подразделений владельцами портфеля проектов (МВП) с учетом перспективных проектов, включенных в производственную программу </t>
  </si>
  <si>
    <t>Прогнозирование загагрузки производственных подразделений руководителями подразделений (МВЗ)</t>
  </si>
  <si>
    <t>Планирование загрузки подразделений с учетом численности сотрудников подразделений</t>
  </si>
  <si>
    <t>Экономика</t>
  </si>
  <si>
    <t>Анализ экономики произвоственных подразделений с учетом проектов производственной программы по котором выполняются работы.</t>
  </si>
  <si>
    <t>Анализ экономики произвоственных подразделений с учетом перспективных проектов.</t>
  </si>
  <si>
    <t>Формирование потребности в дофинансировании работ подразделений за счет средсв компании или перспективных  проектов.</t>
  </si>
  <si>
    <t>Управление ТМЦ</t>
  </si>
  <si>
    <t>План закупок</t>
  </si>
  <si>
    <t>Формирование заявок на внутренне потребление по проектам</t>
  </si>
  <si>
    <t>Формирование плана закупок на основании заявок на внутренне потребление</t>
  </si>
  <si>
    <t>Формирование плана закупок вручную</t>
  </si>
  <si>
    <t>Формирование заказов поставщикам на основании плана закупок.</t>
  </si>
  <si>
    <t xml:space="preserve"> План производства</t>
  </si>
  <si>
    <t>Формирование плана производства вручную</t>
  </si>
  <si>
    <t>Формирование заказов на производство на основании плана выпуска</t>
  </si>
  <si>
    <t>План реализации</t>
  </si>
  <si>
    <t>Формирование плана продаж вручную</t>
  </si>
  <si>
    <t>Формирование плана продаж по заказам покупателей</t>
  </si>
  <si>
    <t xml:space="preserve"> Движение ТМЦ</t>
  </si>
  <si>
    <t xml:space="preserve">Поступление ТМЦ </t>
  </si>
  <si>
    <t xml:space="preserve">Внутренние перемещения ТМЦ </t>
  </si>
  <si>
    <t xml:space="preserve">Реализация ТМЦ </t>
  </si>
  <si>
    <t>Возврат ТМЦ</t>
  </si>
  <si>
    <t>Остатки ТМЦ</t>
  </si>
  <si>
    <t>Формирование ведомости остатоков ТМЦ с детализаций до склада</t>
  </si>
  <si>
    <t>Учет комплектаци\разукомплектации ТМЦ</t>
  </si>
  <si>
    <t>Учет ТМЦ переданных  на обработку</t>
  </si>
  <si>
    <t>Учет собственного и давальческого сырья, материалов, полуфабрикатов и готовой продукции</t>
  </si>
  <si>
    <t xml:space="preserve">Управление резервами запасов </t>
  </si>
  <si>
    <t>Управление экономикой</t>
  </si>
  <si>
    <t>Бизнес-план на период</t>
  </si>
  <si>
    <t>Формирование плана прямых расходов компании  с детализаций до периода планирования на основании данных проектного бюджетирования</t>
  </si>
  <si>
    <t xml:space="preserve">Формирование плана  расходов на привлечение перосонала   с детализаций до периода планирования </t>
  </si>
  <si>
    <t>Формирование плана ОПР и ОХР  с детализаций до периода планирования вручную</t>
  </si>
  <si>
    <t xml:space="preserve">Формирование и расчет бюджета налогов  с детализацией до периода планирования </t>
  </si>
  <si>
    <t xml:space="preserve">Формирование и утверждение годового бизнес-плана с детализацией до периода планирования </t>
  </si>
  <si>
    <t>Ввод корректировок  годового бизнес-плана в течении года, с детализаций до периода планирования с учетом фактических данных</t>
  </si>
  <si>
    <t>Формирование и утверждение годовых лимитов выплатат на основании бизнес-плана (с учетом ставки НДС)</t>
  </si>
  <si>
    <t>Казначейство</t>
  </si>
  <si>
    <t>Формирование завок на расходование ДС</t>
  </si>
  <si>
    <t>Формирование плановых поступленй ДС</t>
  </si>
  <si>
    <t>Формирование платежного календаря</t>
  </si>
  <si>
    <t xml:space="preserve">Контроль исполнения лимитов </t>
  </si>
  <si>
    <t xml:space="preserve"> Заработная плата по проектам</t>
  </si>
  <si>
    <t>Согласование и утверждение  фактических трудозатрат проектов</t>
  </si>
  <si>
    <t>Распределение заработной платы пропорционально фактическим трудозатратм проектов</t>
  </si>
  <si>
    <t>ОПР, ОХР по проектам и подразделениям</t>
  </si>
  <si>
    <t>Распределение ОПР по проектам пропорционально фактическим трудозатратам производственных подразделений</t>
  </si>
  <si>
    <t>Распределение ОХР по проектам пропорционально фактическим трудозатратам производственных  подразделений</t>
  </si>
  <si>
    <t>Финансовый результат проектной организации</t>
  </si>
  <si>
    <t xml:space="preserve">Планирование финансового результата компании, на основании данных годового бизнес-плана </t>
  </si>
  <si>
    <t xml:space="preserve">Расчет финансового результата компании по фактическим данным </t>
  </si>
  <si>
    <t>Анализ отклонение запланированных значенеий финансового результата от фактического</t>
  </si>
  <si>
    <t>Управление подрядчиками</t>
  </si>
  <si>
    <t>Статусы договора</t>
  </si>
  <si>
    <t>Регистрация договоров с субподрядчиками по срокам и стоимости. Управление статусом договора с субподрядчиком.</t>
  </si>
  <si>
    <t>Установка взаимосвязи этапов договора с субподрядчиком с проектными работами.</t>
  </si>
  <si>
    <t>Привлечения подрядчиков</t>
  </si>
  <si>
    <t>Оценка подрядчиков по видам выполняемых работ (видам операций) по следующим показателям: стоимость дня работ, % вероятности срыва работ, % на управление.</t>
  </si>
  <si>
    <t>Моделирование эффективности проекта (по исполнителям)</t>
  </si>
  <si>
    <t>Документооборот</t>
  </si>
  <si>
    <t>Бизнес-процессы по ОРД</t>
  </si>
  <si>
    <t>Выдача и контроль выполнения задач сотрудникам</t>
  </si>
  <si>
    <t xml:space="preserve">Анализсостояния задач и контроль исполнительской дисциплины </t>
  </si>
  <si>
    <t>Автоматический запуск процессов обработки ОРД на основании значений реквизитов документов по преднастроенной условной адресации.</t>
  </si>
  <si>
    <t>Автоматический запуск процессов обработки ОРД на основании значений реквизитов документов (по преднастроенной условной адресации) и ролевой адресации.</t>
  </si>
  <si>
    <t>Планирование и ведение мероприятий</t>
  </si>
  <si>
    <t>Планирование отсутствий, механизм земещения</t>
  </si>
  <si>
    <t>Оповещения об изменениях</t>
  </si>
  <si>
    <t xml:space="preserve">Учет внутренних документов (за исключением договоров) по видам </t>
  </si>
  <si>
    <t>Учет входящих документов по видам</t>
  </si>
  <si>
    <t>Учет исходящих документов по видам</t>
  </si>
  <si>
    <t xml:space="preserve">Управление статусами документов.Анализ согласования и утверждения документов. </t>
  </si>
  <si>
    <t>Регистрация документов</t>
  </si>
  <si>
    <t>Формирование документов по шаблону</t>
  </si>
  <si>
    <t>Версионированин документов (файлов)</t>
  </si>
  <si>
    <t>Ведение архива и номенклатуры дел</t>
  </si>
  <si>
    <t>Контроль места хранения оригинала документа</t>
  </si>
  <si>
    <t>Учет выдачи копий документов</t>
  </si>
  <si>
    <t>Хранение файлов и документов по проектам (Рабочие и организационно-распорядительные документы)</t>
  </si>
  <si>
    <t>Хранение файлов и документов по проектам (Договоры, вх, исх коррекпонденция)</t>
  </si>
  <si>
    <t>Выдача заданий о подготовке проекта договора в ДО.</t>
  </si>
  <si>
    <t>Регистрация карточки договора в системе электронного документооборота. Загрузка  подготовленного проекта договора в карточку договора. Установка связи между карточкой договора в ДО и PM.</t>
  </si>
  <si>
    <t>Согласование и утверждение договора в ДО, с отслеживанием статусования в PM.</t>
  </si>
  <si>
    <t>Хранение файлов и документов по проектам (Проектно-сметная документация)</t>
  </si>
  <si>
    <t>Коэффициент реализации функционала</t>
  </si>
  <si>
    <t>Базовый/Проф/Экспертный функционал</t>
  </si>
  <si>
    <t>ГРУППА</t>
  </si>
  <si>
    <t>Базовый</t>
  </si>
  <si>
    <t>ПРОФ</t>
  </si>
  <si>
    <t>Оптимизация темтического плана</t>
  </si>
  <si>
    <t>Экспертный</t>
  </si>
  <si>
    <t>Технологическе графики проекта</t>
  </si>
  <si>
    <t>Шаблоны проектов</t>
  </si>
  <si>
    <t>Нормирование трудозатрат</t>
  </si>
  <si>
    <t>Структура цены контракта</t>
  </si>
  <si>
    <t>KPI Подразделений</t>
  </si>
  <si>
    <t>Выравнивание загрузки производства</t>
  </si>
  <si>
    <t>KPI по ТМЦ (Логистика)</t>
  </si>
  <si>
    <t>Оптимизация заморозки средств в ТМЦ</t>
  </si>
  <si>
    <t>KPI организации</t>
  </si>
  <si>
    <t>Система мотивации</t>
  </si>
  <si>
    <t>Корпоративная отчетность (В рамках внедряемых функциональных блоков)</t>
  </si>
  <si>
    <t>Финансовый поток (привлечение, размещение)</t>
  </si>
  <si>
    <t>Оптимизация субподряда</t>
  </si>
  <si>
    <t>KPI подрядчика</t>
  </si>
  <si>
    <t>Оценка подрядчика</t>
  </si>
  <si>
    <t>Конкурсные и договорные процедуры</t>
  </si>
  <si>
    <t>Да</t>
  </si>
  <si>
    <t>Нет</t>
  </si>
  <si>
    <t>Вкл. "Попугаев" В эталонный проект</t>
  </si>
  <si>
    <t>Тип проекта по численности Заказчика</t>
  </si>
  <si>
    <t>ДА</t>
  </si>
  <si>
    <t>Тип функционала</t>
  </si>
  <si>
    <t>Ставка</t>
  </si>
  <si>
    <t>Резерв РПО</t>
  </si>
  <si>
    <t>Стоимость 1 дня командировки 1-го специалиста</t>
  </si>
  <si>
    <t>Прочие функциональные блоки</t>
  </si>
  <si>
    <t>Интеграции</t>
  </si>
  <si>
    <t>Итого оценка "ОТ"</t>
  </si>
  <si>
    <t>ИТОГО Функциональный объем</t>
  </si>
  <si>
    <t>НЕТ</t>
  </si>
  <si>
    <t>Базовый объем на реализацию функциональной единицы (в часах)</t>
  </si>
  <si>
    <t>Коэффициент реализации Интеграций и подготовки БД к запуску</t>
  </si>
  <si>
    <t>в т.ч. В городе присутствия</t>
  </si>
  <si>
    <t>в т.ч. В регионах</t>
  </si>
  <si>
    <t>Заработная плата и управление персоналом</t>
  </si>
  <si>
    <t>Учет по МСФО</t>
  </si>
  <si>
    <t>Управление оборудованием и активами</t>
  </si>
  <si>
    <t>CRM</t>
  </si>
  <si>
    <t>Управление Кап-строем</t>
  </si>
  <si>
    <t>Управление рисками</t>
  </si>
  <si>
    <t>BIM</t>
  </si>
  <si>
    <t>Планирование и диспетчеризация производства</t>
  </si>
  <si>
    <t>Консолидация отчетности холдинга</t>
  </si>
  <si>
    <t>Налоговый учет</t>
  </si>
  <si>
    <t>Бухгалтерский учет</t>
  </si>
  <si>
    <t>Фаза 5.1. Подготовка к Запуску в ОЭ: Рабочая Документация</t>
  </si>
  <si>
    <t>Фаза 5.1. Подготовка к Запуску в ОЭ: Настройка БД</t>
  </si>
  <si>
    <t>Фаза 5.1. Подготовка к Запуску в ОЭ: Миграция данных</t>
  </si>
  <si>
    <t>Сценариев нагрузочного тестирования</t>
  </si>
  <si>
    <t>Фаза 8 Завершение проекта: передача на сервис</t>
  </si>
  <si>
    <t>Фаза 8.1. Завершение проекта: Разработка документации по соответсвию требованиям ИБ</t>
  </si>
  <si>
    <t>Фаза 4.1 Разработка ИС</t>
  </si>
  <si>
    <t>Фаза 4.2. Интеграции</t>
  </si>
  <si>
    <t>Фаза 4.3. Нагрузочное тестирование</t>
  </si>
  <si>
    <t>Объем проектирования на функциональную единицу</t>
  </si>
  <si>
    <t>Объем сбора требований на функциональную единицу</t>
  </si>
  <si>
    <t>Фаза 0.2. Методическая проработка</t>
  </si>
  <si>
    <t>Фаза 0.1. Продажа (Предпроект)</t>
  </si>
  <si>
    <t>Базовый объем реализации ПП на функциональную единицу (ч.)</t>
  </si>
  <si>
    <t>Требуется разработка НМД</t>
  </si>
  <si>
    <t>Учет по ПБУ 2/2008</t>
  </si>
  <si>
    <t>Объем методической проработки на Фукнциональную единицу (ч.)</t>
  </si>
  <si>
    <t>Вес функционала
Story Points</t>
  </si>
  <si>
    <t>Стоимость реализации Фазы 1-4.1  Эталонного проекта МСК</t>
  </si>
  <si>
    <t>Стоимость "Попугая" Фазы 1-4.1  в Рублях МСК</t>
  </si>
  <si>
    <t>Стоимость "Попугая" Фазы 1-4.1   в часах</t>
  </si>
  <si>
    <t>РП</t>
  </si>
  <si>
    <t>ФА</t>
  </si>
  <si>
    <t>ТА</t>
  </si>
  <si>
    <t>Аналитик</t>
  </si>
  <si>
    <t>Разработчик</t>
  </si>
  <si>
    <t>Консультант</t>
  </si>
  <si>
    <t>Команда
FTE</t>
  </si>
  <si>
    <t>-</t>
  </si>
  <si>
    <t>Не требуется</t>
  </si>
  <si>
    <t>Используется типовая</t>
  </si>
  <si>
    <t>Предоставляется Заказчиком</t>
  </si>
  <si>
    <t>Требуется НМД эталлон</t>
  </si>
  <si>
    <t>Точность оценки</t>
  </si>
  <si>
    <t>Трудоемкость для Заказчика 
Смета в ч.</t>
  </si>
  <si>
    <r>
      <rPr>
        <b/>
        <sz val="11"/>
        <color theme="1"/>
        <rFont val="Calibri"/>
        <family val="2"/>
        <charset val="204"/>
        <scheme val="minor"/>
      </rPr>
      <t>2.1. Колонка "ДА"/"НЕТ" по принципу Функциональной спецификации</t>
    </r>
    <r>
      <rPr>
        <sz val="11"/>
        <color theme="1"/>
        <rFont val="Calibri"/>
        <family val="2"/>
        <charset val="204"/>
        <scheme val="minor"/>
      </rPr>
      <t xml:space="preserve">
На уровне записей устанавливается вручную. 
</t>
    </r>
    <r>
      <rPr>
        <b/>
        <sz val="11"/>
        <color rgb="FFFF0000"/>
        <rFont val="Calibri"/>
        <family val="2"/>
        <charset val="204"/>
        <scheme val="minor"/>
      </rPr>
      <t>Группа определяется по формуле</t>
    </r>
  </si>
  <si>
    <r>
      <rPr>
        <b/>
        <sz val="11"/>
        <color theme="1"/>
        <rFont val="Calibri"/>
        <family val="2"/>
        <charset val="204"/>
        <scheme val="minor"/>
      </rPr>
      <t>2.2. Необходимость методической проработки в рамках проекта</t>
    </r>
    <r>
      <rPr>
        <sz val="11"/>
        <color theme="1"/>
        <rFont val="Calibri"/>
        <family val="2"/>
        <charset val="204"/>
        <scheme val="minor"/>
      </rPr>
      <t xml:space="preserve">:
Первоначально определяется по формуле (Требуется или предоставляется Заказчиком). </t>
    </r>
    <r>
      <rPr>
        <b/>
        <sz val="11"/>
        <color theme="1"/>
        <rFont val="Calibri"/>
        <family val="2"/>
        <charset val="204"/>
        <scheme val="minor"/>
      </rPr>
      <t>Если в рамках проекта требуется методическая проработка, то значение меняется вручную на "Необходимо разработать"</t>
    </r>
  </si>
  <si>
    <r>
      <rPr>
        <b/>
        <sz val="11"/>
        <color theme="1"/>
        <rFont val="Calibri"/>
        <family val="2"/>
        <charset val="204"/>
        <scheme val="minor"/>
      </rPr>
      <t>4. Прочие параметры расчета:</t>
    </r>
    <r>
      <rPr>
        <sz val="11"/>
        <color theme="1"/>
        <rFont val="Calibri"/>
        <family val="2"/>
        <charset val="204"/>
        <scheme val="minor"/>
      </rPr>
      <t xml:space="preserve">
Заполняются только желтые ячейки: 
</t>
    </r>
  </si>
  <si>
    <r>
      <rPr>
        <b/>
        <sz val="11"/>
        <color theme="1"/>
        <rFont val="Calibri"/>
        <family val="2"/>
        <charset val="204"/>
        <scheme val="minor"/>
      </rPr>
      <t>4.1. Ставка:</t>
    </r>
    <r>
      <rPr>
        <sz val="11"/>
        <color theme="1"/>
        <rFont val="Calibri"/>
        <family val="2"/>
        <charset val="204"/>
        <scheme val="minor"/>
      </rPr>
      <t xml:space="preserve"> СПБ/МСК</t>
    </r>
  </si>
  <si>
    <r>
      <rPr>
        <b/>
        <sz val="11"/>
        <color theme="1"/>
        <rFont val="Calibri"/>
        <family val="2"/>
        <charset val="204"/>
        <scheme val="minor"/>
      </rPr>
      <t xml:space="preserve">4.2. Стоимость 1 дня командировки 1-го специалиста:
</t>
    </r>
    <r>
      <rPr>
        <sz val="11"/>
        <color theme="1"/>
        <rFont val="Calibri"/>
        <family val="2"/>
        <charset val="204"/>
        <scheme val="minor"/>
      </rPr>
      <t>Расчитана как стоимость 5 дневной командировки / 5 дней
Используется для расчета в фазах: 0.2;1;2;5.2; 6;7</t>
    </r>
  </si>
  <si>
    <r>
      <rPr>
        <b/>
        <sz val="11"/>
        <color theme="1"/>
        <rFont val="Calibri"/>
        <family val="2"/>
        <charset val="204"/>
        <scheme val="minor"/>
      </rPr>
      <t>4.3. Риски (Резерв РПО).</t>
    </r>
    <r>
      <rPr>
        <sz val="11"/>
        <color theme="1"/>
        <rFont val="Calibri"/>
        <family val="2"/>
        <charset val="204"/>
        <scheme val="minor"/>
      </rPr>
      <t xml:space="preserve">
По умолчанию 20%, </t>
    </r>
    <r>
      <rPr>
        <b/>
        <sz val="11"/>
        <color rgb="FFFF0000"/>
        <rFont val="Calibri"/>
        <family val="2"/>
        <charset val="204"/>
        <scheme val="minor"/>
      </rPr>
      <t xml:space="preserve">При необходимости РПО может скорректировать
</t>
    </r>
    <r>
      <rPr>
        <sz val="11"/>
        <rFont val="Calibri"/>
        <family val="2"/>
        <charset val="204"/>
        <scheme val="minor"/>
      </rPr>
      <t>Влияет на расчет суммы по каждой фазе</t>
    </r>
  </si>
  <si>
    <r>
      <rPr>
        <b/>
        <sz val="11"/>
        <color theme="1"/>
        <rFont val="Calibri"/>
        <family val="2"/>
        <charset val="204"/>
        <scheme val="minor"/>
      </rPr>
      <t>4.4. Точность Оценки</t>
    </r>
    <r>
      <rPr>
        <sz val="11"/>
        <color theme="1"/>
        <rFont val="Calibri"/>
        <family val="2"/>
        <charset val="204"/>
        <scheme val="minor"/>
      </rPr>
      <t>: Заполняется на усмотрение РП как "Разбег оценки" в зависимости от степени проработки конкретного проекта
Влияет на расчет суммы "ДО" как "Сумма ОТ" + Указанный %</t>
    </r>
  </si>
  <si>
    <t>до 200</t>
  </si>
  <si>
    <t>201-500</t>
  </si>
  <si>
    <t>501-1000</t>
  </si>
  <si>
    <t>1001+</t>
  </si>
  <si>
    <t>Тип Заказчика по Численности</t>
  </si>
  <si>
    <r>
      <rPr>
        <b/>
        <sz val="11"/>
        <color theme="1"/>
        <rFont val="Calibri"/>
        <family val="2"/>
        <charset val="204"/>
        <scheme val="minor"/>
      </rPr>
      <t xml:space="preserve">5. Тип Заказчика по численности.
</t>
    </r>
    <r>
      <rPr>
        <sz val="11"/>
        <color theme="1"/>
        <rFont val="Calibri"/>
        <family val="2"/>
        <charset val="204"/>
        <scheme val="minor"/>
      </rPr>
      <t xml:space="preserve">Определяется по формуле:
   - до 200 сотрудников затрагиваемых автоматизацией
   - 201-500 сотрудников затрагиваемых автоматизацией
   - 501-1000 сотрудников затрагиваемых автоматизацией
  - 1000+ сотрудников затрагиваемых автоматизацией
В зависимости от Типа Заказчика подставляются коэффициент сложности разработки и Интеграций
</t>
    </r>
    <r>
      <rPr>
        <b/>
        <sz val="11"/>
        <color theme="1"/>
        <rFont val="Calibri"/>
        <family val="2"/>
        <charset val="204"/>
        <scheme val="minor"/>
      </rPr>
      <t xml:space="preserve">Коэффициенты могут быть окорректированы </t>
    </r>
    <r>
      <rPr>
        <b/>
        <sz val="11"/>
        <color rgb="FFFF0000"/>
        <rFont val="Calibri"/>
        <family val="2"/>
        <charset val="204"/>
        <scheme val="minor"/>
      </rPr>
      <t>только РП</t>
    </r>
    <r>
      <rPr>
        <b/>
        <sz val="11"/>
        <color theme="1"/>
        <rFont val="Calibri"/>
        <family val="2"/>
        <charset val="204"/>
        <scheme val="minor"/>
      </rPr>
      <t xml:space="preserve"> в процессе оценки</t>
    </r>
  </si>
  <si>
    <t>в т.ч. Пользователей</t>
  </si>
  <si>
    <t>в т.ч. Численность Рабочей Группы  Заказчика (Ключевые пользователи к обучению)</t>
  </si>
  <si>
    <r>
      <rPr>
        <b/>
        <sz val="11"/>
        <color theme="1"/>
        <rFont val="Calibri"/>
        <family val="2"/>
        <charset val="204"/>
        <scheme val="minor"/>
      </rPr>
      <t>1. Орг объем:</t>
    </r>
    <r>
      <rPr>
        <sz val="11"/>
        <color theme="1"/>
        <rFont val="Calibri"/>
        <family val="2"/>
        <charset val="204"/>
        <scheme val="minor"/>
      </rPr>
      <t xml:space="preserve"> Количество пользователей и сотрудников организации всего
Заполняются</t>
    </r>
    <r>
      <rPr>
        <b/>
        <sz val="11"/>
        <color rgb="FFFF0000"/>
        <rFont val="Calibri"/>
        <family val="2"/>
        <charset val="204"/>
        <scheme val="minor"/>
      </rPr>
      <t xml:space="preserve"> ТОЛЬКО ячейки выделенные желтым цветом</t>
    </r>
    <r>
      <rPr>
        <sz val="11"/>
        <color theme="1"/>
        <rFont val="Calibri"/>
        <family val="2"/>
        <charset val="204"/>
        <scheme val="minor"/>
      </rPr>
      <t>.
Используется для расчета фаз 5.2,6,7</t>
    </r>
  </si>
  <si>
    <t>Оценка "От"</t>
  </si>
  <si>
    <t>Оценка Базовая</t>
  </si>
  <si>
    <t>Этап вкл в КП</t>
  </si>
  <si>
    <t>Оценка "До" (в КП)</t>
  </si>
  <si>
    <t>Проф</t>
  </si>
  <si>
    <t>Планирование и мониторинг процесса продажи как проекта</t>
  </si>
  <si>
    <t>Формирование заявок на проект. Мониторинг состояния заявок.</t>
  </si>
  <si>
    <t>Оценка соответствия портфеля инвестиционных проектов стратегическим целям компании</t>
  </si>
  <si>
    <t>Расчет итогового балла проектов</t>
  </si>
  <si>
    <t>Формирование портфеля инвестиционных проектов (проекта с компонентой "Портфель проектов")</t>
  </si>
  <si>
    <t>Установка статуса договора в карточке договора вручную</t>
  </si>
  <si>
    <t>Хранение файлов договоров и дополнительных соглашений</t>
  </si>
  <si>
    <t>Контроль исполнения проектов портфеля по методике ворот качества</t>
  </si>
  <si>
    <t>Мониторинг  KPI портфеля проектов (проекта с компонентой "Портфель проектов")</t>
  </si>
  <si>
    <t>План-фактный анализ  по портфелю</t>
  </si>
  <si>
    <t>Выделение НДС из плана и факта БДР проекта</t>
  </si>
  <si>
    <t xml:space="preserve">Освоенные объемы EVA </t>
  </si>
  <si>
    <t>Мультивалютный учет в проектах</t>
  </si>
  <si>
    <t>Проектные договоры</t>
  </si>
  <si>
    <t>Регистрация юридических условий договора и дополнительных соглашений. Настройка связи между этапами договора и этапами проекта (проектов)</t>
  </si>
  <si>
    <t>Автоматическое заполнение БДР и БДДС проекта на основании регистрации юридических условий договора</t>
  </si>
  <si>
    <t xml:space="preserve">Мониторинг KPI по экономике проектов (ФОТ,  EV, CPI, SPI,  TCPI,  % Маржи) </t>
  </si>
  <si>
    <t>Формирование сводной загрузки подразделения на основании данных по проектов.</t>
  </si>
  <si>
    <t>Актуализация плановой загрузки ролей подразделений (прогноз трудозатрат по ролям) по фактическим данным.</t>
  </si>
  <si>
    <t xml:space="preserve">Анализ выполнимости с отбором по ролям подразделений </t>
  </si>
  <si>
    <t>Отчет план-фактный анализ БДР подразделений</t>
  </si>
  <si>
    <t>Начисление и отражение внутригрупповых оборотов между подразделениями в управленческом учете</t>
  </si>
  <si>
    <t>Формирование заявок на внутреннее потребление по проектам</t>
  </si>
  <si>
    <t>Формирование заказов поставщикам на основании плана закупок</t>
  </si>
  <si>
    <t>Формирование плана производства на основании заказов клиентов</t>
  </si>
  <si>
    <t>Формирование заказов на производство на основании плана производства</t>
  </si>
  <si>
    <t>План-фактный анализ обеспечения плана продаж заказами покупателей</t>
  </si>
  <si>
    <t xml:space="preserve">Поступление ТМЦ на склад (с учетом финансовых документов или ордерным способом) </t>
  </si>
  <si>
    <t>Внутреннеe перемещение ТМЦ между складами и подразделениями</t>
  </si>
  <si>
    <t xml:space="preserve">Реализация ТМЦ со склада  (с учетом финансовых документов или ордерным способом) </t>
  </si>
  <si>
    <t>Возврат ТМЦ поставщику</t>
  </si>
  <si>
    <t>Операции внутреннего потребления ТМЦ: 
a) списание на расходы 
b)передача в эксплуатацию</t>
  </si>
  <si>
    <t>Операции сборки (разборки) товаров</t>
  </si>
  <si>
    <t>Передача ТМЦ переработчику</t>
  </si>
  <si>
    <t>Прием ТМЦ в переработку</t>
  </si>
  <si>
    <t>Передача ТМЦ по договору комиссии</t>
  </si>
  <si>
    <t>Серийный учет товаров</t>
  </si>
  <si>
    <t>Проведение инвентаризации товаров на складе</t>
  </si>
  <si>
    <t>Формирование топологии склада</t>
  </si>
  <si>
    <t>Разделение областей хранения ТМЦ</t>
  </si>
  <si>
    <t>Учет товаров переданных  на обработку</t>
  </si>
  <si>
    <t>Управление запасами и неснижаемым остатком</t>
  </si>
  <si>
    <t xml:space="preserve">Формирование плана прямых расходов по проектам  с детализаций до периода планирования (заполнение по данным плана проектов) </t>
  </si>
  <si>
    <t>Формирование плана  расходов на привлечение перосонала   с детализаций до периода планирования (расчет и заполнение  по данным плана проектов и штатному расписанию)</t>
  </si>
  <si>
    <t>Формирование плана ОПР и ОХР  с детализаций до периода планирования (вручную или по данным служебного проекта)</t>
  </si>
  <si>
    <t>Формирование и расчет бюджета налогов  с детализацией до периода планирования (заполнение по данным основных бюджтов с ручной корректировкой)</t>
  </si>
  <si>
    <t>Формирование годового бюджета движения денежных средств на основание бизнес-плана</t>
  </si>
  <si>
    <t>Корректировка погноза исполнения годового бизнес-плана и бюджета движения денежных средств в течении года, с детализаций до периода планирования и с учетом фактических данных</t>
  </si>
  <si>
    <t>Загрузка начисленной заработной платы по шаблону из MS Excel в 1С:ERP+PM</t>
  </si>
  <si>
    <t>Распределение ОПР и  ОХР в регламентированном и управленческом учете:
a) УУ совпадает с БУ
b) Только УУ
c) Только БУ
d) УУ отличается от БУ</t>
  </si>
  <si>
    <r>
      <t xml:space="preserve">Распределение ОПР и ОХР </t>
    </r>
    <r>
      <rPr>
        <b/>
        <sz val="11"/>
        <rFont val="Calibri"/>
        <family val="2"/>
        <charset val="204"/>
        <scheme val="minor"/>
      </rPr>
      <t xml:space="preserve"> по проектам</t>
    </r>
    <r>
      <rPr>
        <sz val="11"/>
        <rFont val="Calibri"/>
        <family val="2"/>
        <charset val="204"/>
        <scheme val="minor"/>
      </rPr>
      <t xml:space="preserve">  по базе распределения:
а) Пропорционально сумме прямых расходов
b) Пропорционально сумме расходов по выбранным статьям затрат
с) По коэффициентам распределения
d) По плановым объемам
e) По фактическим объемам
f) По фактическим трудозатратам    </t>
    </r>
  </si>
  <si>
    <r>
      <t xml:space="preserve">Распределение ОПР и ОХР  </t>
    </r>
    <r>
      <rPr>
        <b/>
        <sz val="11"/>
        <rFont val="Calibri"/>
        <family val="2"/>
        <charset val="204"/>
        <scheme val="minor"/>
      </rPr>
      <t>по  подразделениям</t>
    </r>
    <r>
      <rPr>
        <sz val="11"/>
        <rFont val="Calibri"/>
        <family val="2"/>
        <charset val="204"/>
        <scheme val="minor"/>
      </rPr>
      <t xml:space="preserve"> по базе распределения:
а) Не распределять на подразделения
b) Пропорционально сумме прямых расходов
c) Пропорционально сумме расходов по выбранным статьям затрат
d) По коэффициентам распределения
e) По плановым объемам
f) По фактическим объемам
g) По фактическим трудозатратам </t>
    </r>
  </si>
  <si>
    <t>Списание ОХР на финансовый результат по методу "Директ-костинг"</t>
  </si>
  <si>
    <t>Управление взаиморасчетами с контрагентами</t>
  </si>
  <si>
    <t>Ведение субподрядного договора как проекта с установкой взаимосвязи этапов договора и проектными задачами доходных проектов.</t>
  </si>
  <si>
    <t>Настройка автоматической синхронизации реквизитов внутренних документов системы 1С:Документооборт и объектов интерфейса 1С:PM (проект, проектная задача, акт, договор)</t>
  </si>
  <si>
    <t xml:space="preserve">Учет внутренних документов по видам </t>
  </si>
  <si>
    <t>Контроль по сумме договора</t>
  </si>
  <si>
    <t>Версионирование документов (файлов)</t>
  </si>
  <si>
    <t xml:space="preserve">Учет входящих документов по видам </t>
  </si>
  <si>
    <t xml:space="preserve">Анализ состояния задач и контроль исполнительской дисциплины </t>
  </si>
  <si>
    <t>Управление статусами документов на основании состояния запущенных по нему бизнес-процессов</t>
  </si>
  <si>
    <t>Интеграция с системой документооборота (в рамкам проектного решения - "Проектный документооборот")</t>
  </si>
  <si>
    <t>Расчет процента готовности проектной документации и ее разделов на основании статусов документов проектной документации</t>
  </si>
  <si>
    <t>Создание проекта из Шаблона</t>
  </si>
  <si>
    <t>Разработка и формирование шаблонов проектов (требует методологической проработки)</t>
  </si>
  <si>
    <t>KPI Подразделений (не показатели проектов)</t>
  </si>
  <si>
    <t>KPI организации (не показатели проектов)</t>
  </si>
  <si>
    <t>№ п.п</t>
  </si>
  <si>
    <t>1.1.</t>
  </si>
  <si>
    <t>1.2.</t>
  </si>
  <si>
    <t>1.3.</t>
  </si>
  <si>
    <t>1.4.</t>
  </si>
  <si>
    <t>1.5.</t>
  </si>
  <si>
    <t>1.6.</t>
  </si>
  <si>
    <t>1.7.</t>
  </si>
  <si>
    <t>1.8.</t>
  </si>
  <si>
    <t>1.</t>
  </si>
  <si>
    <t>2.</t>
  </si>
  <si>
    <t>2.1.</t>
  </si>
  <si>
    <t>2.2.</t>
  </si>
  <si>
    <t>2.3.</t>
  </si>
  <si>
    <t>2.4.</t>
  </si>
  <si>
    <t>2.5.</t>
  </si>
  <si>
    <t>2.6.</t>
  </si>
  <si>
    <t>2.7.</t>
  </si>
  <si>
    <t>2.8.</t>
  </si>
  <si>
    <t>3.</t>
  </si>
  <si>
    <t>3.1.</t>
  </si>
  <si>
    <t>3.2.</t>
  </si>
  <si>
    <t>3.3.</t>
  </si>
  <si>
    <t>3.4.</t>
  </si>
  <si>
    <t>3.5.</t>
  </si>
  <si>
    <t>3.6.</t>
  </si>
  <si>
    <t>4.</t>
  </si>
  <si>
    <t>4.1.</t>
  </si>
  <si>
    <t>4.2.</t>
  </si>
  <si>
    <t>4.3.</t>
  </si>
  <si>
    <t>4.4.</t>
  </si>
  <si>
    <t>4.5.</t>
  </si>
  <si>
    <t>4.6.</t>
  </si>
  <si>
    <t>4.7.</t>
  </si>
  <si>
    <t>4.8.</t>
  </si>
  <si>
    <t>5.</t>
  </si>
  <si>
    <t>5.1.</t>
  </si>
  <si>
    <t>5.2.</t>
  </si>
  <si>
    <t>5.3.</t>
  </si>
  <si>
    <t>5.4.</t>
  </si>
  <si>
    <t>5.5.</t>
  </si>
  <si>
    <t>5.6.</t>
  </si>
  <si>
    <t>6.</t>
  </si>
  <si>
    <t>6.1.</t>
  </si>
  <si>
    <t>6.2.</t>
  </si>
  <si>
    <t>6.3.</t>
  </si>
  <si>
    <t>6.4.</t>
  </si>
  <si>
    <t>6.5.</t>
  </si>
  <si>
    <t>6.6.</t>
  </si>
  <si>
    <t>6.7.</t>
  </si>
  <si>
    <t>7.</t>
  </si>
  <si>
    <t>7.1.</t>
  </si>
  <si>
    <t>7.2.</t>
  </si>
  <si>
    <t>7.3.</t>
  </si>
  <si>
    <t>7.4.</t>
  </si>
  <si>
    <t>7.5.</t>
  </si>
  <si>
    <t>7.6.</t>
  </si>
  <si>
    <t>7.7.</t>
  </si>
  <si>
    <t>7.8.</t>
  </si>
  <si>
    <t>7.9.</t>
  </si>
  <si>
    <t>8.</t>
  </si>
  <si>
    <t>8.1.</t>
  </si>
  <si>
    <t>8.2.</t>
  </si>
  <si>
    <t>8.3.</t>
  </si>
  <si>
    <t>8.4.</t>
  </si>
  <si>
    <t>8.5.</t>
  </si>
  <si>
    <t>8.6.</t>
  </si>
  <si>
    <t>9.</t>
  </si>
  <si>
    <t>9.1.</t>
  </si>
  <si>
    <t>9.2.</t>
  </si>
  <si>
    <t>9.3.</t>
  </si>
  <si>
    <t>9.4.</t>
  </si>
  <si>
    <t>9.5.</t>
  </si>
  <si>
    <t>10.</t>
  </si>
  <si>
    <t>10.1.</t>
  </si>
  <si>
    <t>10.2.</t>
  </si>
  <si>
    <t>10.3.</t>
  </si>
  <si>
    <t>10.4.</t>
  </si>
  <si>
    <t>10.5.</t>
  </si>
  <si>
    <t>10.6.</t>
  </si>
  <si>
    <t>10.7.</t>
  </si>
  <si>
    <t>10.8.</t>
  </si>
  <si>
    <t>10.9.</t>
  </si>
  <si>
    <t>10.10.</t>
  </si>
  <si>
    <t>10.11.</t>
  </si>
  <si>
    <t>10.12.</t>
  </si>
  <si>
    <t>10.13.</t>
  </si>
  <si>
    <t>10.14.</t>
  </si>
  <si>
    <t>Управление субподрядными договорами</t>
  </si>
  <si>
    <r>
      <t xml:space="preserve">2. Заполнение функционального объема </t>
    </r>
    <r>
      <rPr>
        <b/>
        <sz val="11"/>
        <color rgb="FFFF0000"/>
        <rFont val="Calibri"/>
        <family val="2"/>
        <charset val="204"/>
        <scheme val="minor"/>
      </rPr>
      <t>(строго на закладке "ФС для Заполнения")</t>
    </r>
  </si>
  <si>
    <r>
      <rPr>
        <b/>
        <sz val="11"/>
        <color theme="1"/>
        <rFont val="Calibri"/>
        <family val="2"/>
        <charset val="204"/>
        <scheme val="minor"/>
      </rPr>
      <t xml:space="preserve">2.3.Объем нагрузочного тестирования: </t>
    </r>
    <r>
      <rPr>
        <sz val="11"/>
        <color theme="1"/>
        <rFont val="Calibri"/>
        <family val="2"/>
        <charset val="204"/>
        <scheme val="minor"/>
      </rPr>
      <t xml:space="preserve">
Определяется количество сценариев автоматически
Рассчитывается по формуле если функционал отмечен как "Да"
</t>
    </r>
  </si>
  <si>
    <t>10.15.</t>
  </si>
  <si>
    <t>10.16.</t>
  </si>
  <si>
    <t>10.17.</t>
  </si>
  <si>
    <t>10.18.</t>
  </si>
  <si>
    <t>10.19.</t>
  </si>
  <si>
    <t>10.20.</t>
  </si>
  <si>
    <t>10.21.</t>
  </si>
  <si>
    <t>10.22.</t>
  </si>
  <si>
    <t>10.23.</t>
  </si>
  <si>
    <t>10.24.</t>
  </si>
  <si>
    <t>10.25.</t>
  </si>
  <si>
    <t>10.26.</t>
  </si>
  <si>
    <t>10.27.</t>
  </si>
  <si>
    <t>10.28.</t>
  </si>
  <si>
    <t>1 очередь</t>
  </si>
  <si>
    <t>Да/Нет</t>
  </si>
  <si>
    <t>2 очередь</t>
  </si>
  <si>
    <t>3 очередь</t>
  </si>
  <si>
    <t>Развитие</t>
  </si>
  <si>
    <t>11.</t>
  </si>
  <si>
    <t>11.1.</t>
  </si>
  <si>
    <t>11.2.</t>
  </si>
  <si>
    <t>11.3.</t>
  </si>
  <si>
    <t>11.4.</t>
  </si>
  <si>
    <t>11.5.</t>
  </si>
  <si>
    <t>11.6.</t>
  </si>
  <si>
    <t>11.7.</t>
  </si>
  <si>
    <t>11.8.</t>
  </si>
  <si>
    <t>11.9.</t>
  </si>
  <si>
    <t>11.10.</t>
  </si>
  <si>
    <t>11.12.</t>
  </si>
  <si>
    <t>11.13.</t>
  </si>
  <si>
    <t>11.11.</t>
  </si>
  <si>
    <t>11.14.</t>
  </si>
  <si>
    <t>Story Points Итого</t>
  </si>
  <si>
    <t>Др. вендор</t>
  </si>
  <si>
    <t>1С:УПП 1.3.</t>
  </si>
  <si>
    <t>Oracle Primavera</t>
  </si>
  <si>
    <t>1С:____</t>
  </si>
  <si>
    <t>Lotus Notes (или СЭД других вендоров)</t>
  </si>
  <si>
    <t>SAP (или ERP система другого вендора)</t>
  </si>
  <si>
    <t>ОПЭ Часов на пользователя РП, РПО, Рук. Отделов</t>
  </si>
  <si>
    <t>ОПЭ Часов на пользователя Исполнитель работ</t>
  </si>
  <si>
    <t>ДО 200</t>
  </si>
  <si>
    <t>Комплексный ПРОФ проект</t>
  </si>
  <si>
    <t>Комплексный Заказной проект проект</t>
  </si>
  <si>
    <t>Заказной+ консалтинг</t>
  </si>
  <si>
    <t>Story Points</t>
  </si>
  <si>
    <t>Акционеры хотят фин.эк. прозрачности (отчеты в сроки через ФД или ПЭО)</t>
  </si>
  <si>
    <t>Системный директор /системные ТОПы – комплексная бизнес-система</t>
  </si>
  <si>
    <t>Гос.контракты (военные контракты) конструкторов/труд.производства</t>
  </si>
  <si>
    <t>Формирование моделей и физических объектов по моделям в сроки
Было: Директор по производству: Результаты (Продукт проекта) в сроки</t>
  </si>
  <si>
    <t>Управление сроками, ресурсами и лимитами корпоративных проектов от уровня холдинга до КБ и завода</t>
  </si>
  <si>
    <t>Управление корпоративными проектами развития и инвест.проектами</t>
  </si>
  <si>
    <t>Руководитель структурного подразделения: сроки, ресурсы, финансы</t>
  </si>
  <si>
    <t>Структурирование проектной деятельности</t>
  </si>
  <si>
    <t>Моделирование численности (вкл. Формирование тем. плана)</t>
  </si>
  <si>
    <t>Систематизация продаж проектов (вкл. формирование стоимости контракта)</t>
  </si>
  <si>
    <t>Операционное управление проектом (пока не наш рынок)</t>
  </si>
  <si>
    <t>Технический переход с УПО 1.3</t>
  </si>
  <si>
    <t>ИТ-проект как Большая мечта</t>
  </si>
  <si>
    <t>Импортозамещение</t>
  </si>
  <si>
    <t>Планирование сроков, загрузки и диспетчеризация работ подразделений</t>
  </si>
  <si>
    <t>По функциональности</t>
  </si>
  <si>
    <t>По позиционированию</t>
  </si>
  <si>
    <r>
      <t>Синхронизации НСИ(</t>
    </r>
    <r>
      <rPr>
        <sz val="12"/>
        <color rgb="FFFF0000"/>
        <rFont val="Calibri"/>
        <family val="2"/>
        <charset val="204"/>
        <scheme val="minor"/>
      </rPr>
      <t>расшифровать</t>
    </r>
    <r>
      <rPr>
        <sz val="12"/>
        <rFont val="Calibri"/>
        <family val="2"/>
        <charset val="204"/>
        <scheme val="minor"/>
      </rPr>
      <t xml:space="preserve">) средствами типового обмена 1С:ERP и 1С:Документооборот 8  </t>
    </r>
  </si>
  <si>
    <t>Анализ тематического плана</t>
  </si>
  <si>
    <t>Хранение файлов и отсканированных копий договора без использования 1С: Документооборот 8</t>
  </si>
  <si>
    <t>План-фактный анализ сроков проекта (в ТЗ в другом разделе "выполнение работ проекта" из этого раздела переносим?)</t>
  </si>
  <si>
    <t>Распределение плановых объемов выпуска по подразделениям, специальностям и с/п (нет описания в ТЗ включить?)</t>
  </si>
  <si>
    <t>Формирование плана закупок вручную (разбить на два пункта? Объединен с предшествующим пунктом формирование плана закупок на основании заявок и вручную)</t>
  </si>
  <si>
    <t>Формирование и утверждение ежемесячных лимитов выплат по статьям движения денежных средств вручную (Добавлено, Уточнить)</t>
  </si>
  <si>
    <t>Сохранение проекта в Шаблон</t>
  </si>
  <si>
    <t>Мониторинг договорной кампании</t>
  </si>
  <si>
    <t>Панель шаблона проекта</t>
  </si>
  <si>
    <t xml:space="preserve">Работа с шаблонами в проектах </t>
  </si>
  <si>
    <t>Базовый функционал + экономика оптимально (РСП, то, что готово)</t>
  </si>
  <si>
    <t>Кейс-проект</t>
  </si>
  <si>
    <t>Распределение ОПР ОХР по проектам пропорционаьно заработной плате или прямым затратам</t>
  </si>
  <si>
    <t>Шаблоны. Не править</t>
  </si>
  <si>
    <t>Моделирование инвест. портфеля. Ранжирование заявок на проекты.</t>
  </si>
  <si>
    <t>Регистрация значений показателей эффективности проектов (Внутренняя ставка доходности, срок окупаемости, индекс прибыльности, чистый денежный поток, чистая приведенная стоимость)</t>
  </si>
  <si>
    <t>Декомпозиция этапов работ до подэтапов и задач. 
Определение сроков и длительности выполнения задач и подэтапов.</t>
  </si>
  <si>
    <t>План-фактный анализ выполнения работ проекта и прохождения ключевых событий и технологических операций</t>
  </si>
  <si>
    <t>Мониторинг  KPI сотрудников по трудоемкости  (% трудозатрат по количеству и стоимости (предварительного и окончательного уровней), трудозатраты план (предварительного и окончательного уровней), трудозатраты факт)</t>
  </si>
  <si>
    <t>Формирование плана поступлений вручную</t>
  </si>
  <si>
    <t>Формирование плана выплат вручную</t>
  </si>
  <si>
    <t xml:space="preserve">Декомпозиция плана проекта в части работ подразделения руководителем структурного подразделения.  </t>
  </si>
  <si>
    <t>Актуализация статусов выполнения проектных работ руководителем подразделения.</t>
  </si>
  <si>
    <t>Формирование плана закупок на основании заявок на внутреннее потребление</t>
  </si>
  <si>
    <t>Этапность/Виды работ</t>
  </si>
  <si>
    <t>Совместный запуск</t>
  </si>
  <si>
    <t>Кейс -проект</t>
  </si>
  <si>
    <t>КОРП-проект</t>
  </si>
  <si>
    <t>Проф-проект</t>
  </si>
  <si>
    <t>1. Установочная встреча 
2. Согласование содержания проекта</t>
  </si>
  <si>
    <t>1. Необходимо описание бизнес-процессов As-IS и To-Be, 
2. реинжиниринг Бизнес-процессов, 
3. формирование концепции реализации системы, 
4. и других специфических документов</t>
  </si>
  <si>
    <t xml:space="preserve">1. Проводится полноценное моделирование, с проработкой выявленных требований и специфики Заказчика
2. По выявленным фукнциональным разрабвам формируется краткая концепция реализации, оцениваются доработки.
3. Учитываются только доработки, в рамках проекта (В пределах заложенного в оценку объема часов на разработку, либо в рамках функцуиональных требвоаний, либо в рамках новых договоренностей с ЗАказчиком о допродаже доп. объема разработки)
</t>
  </si>
  <si>
    <t>1. В рамках моделирования демонстрируется базовый сценарий на данных Заказчика.
2. Сценарий не меняется и не адаптируется, только исключаются не актуальные для Заказчику куски.
3. Выявленные функциональные разрывы не прорабатываются "А как это будет работать", просто записываются.</t>
  </si>
  <si>
    <t>1. выполняются согласованные в рамках проекта доработки.
2. Документирование. Только Частные технические задания (ЧТЗ) на доработки по формату Исполнителя
3. Доработки сдаются по отдельности по мере готовности.</t>
  </si>
  <si>
    <r>
      <rPr>
        <b/>
        <sz val="11"/>
        <color theme="1"/>
        <rFont val="Calibri"/>
        <family val="2"/>
        <charset val="204"/>
        <scheme val="minor"/>
      </rPr>
      <t>В дополнение к ПРОФ-проекту</t>
    </r>
    <r>
      <rPr>
        <sz val="11"/>
        <color theme="1"/>
        <rFont val="Calibri"/>
        <family val="2"/>
        <charset val="204"/>
        <scheme val="minor"/>
      </rPr>
      <t xml:space="preserve">
1. Необходима разработка Программы и методики испытаний и проведение сквозных приемо-сдаточных испытаний.
2. Необходима актуализация разработанной ранее документации по фактической реализации
3. Необходима разработка и темтирование на ресурсах Заказчика
4. Параллельно с проектом ведется разработка и внедрение силами 3-х лиц, либо самостоятельно силами Заказчика в рамках одной конфигурации</t>
    </r>
  </si>
  <si>
    <t>По умоллчанию не включено
При необходимости РП может принять решение и оценить проект с интеграциями без изменения технологии</t>
  </si>
  <si>
    <t>Фаза 5.3. Обучение Конечных пользователей</t>
  </si>
  <si>
    <t>1. Обучение в группе По сквозном сценарию без специфики Заказчика</t>
  </si>
  <si>
    <t>1. Обучение в группах по ролям По сквозном сценарию по результатам моделирования с учетом специфики Заказчика</t>
  </si>
  <si>
    <r>
      <rPr>
        <b/>
        <sz val="11"/>
        <color theme="1"/>
        <rFont val="Calibri"/>
        <family val="2"/>
        <charset val="204"/>
        <scheme val="minor"/>
      </rPr>
      <t>Желательно отдельным договором</t>
    </r>
    <r>
      <rPr>
        <sz val="11"/>
        <color theme="1"/>
        <rFont val="Calibri"/>
        <family val="2"/>
        <charset val="204"/>
        <scheme val="minor"/>
      </rPr>
      <t xml:space="preserve">
1. Заказчик не готов предоставить методические материалы (или аналоги) по запросы РП. Например положение о Документобороте, учетную политику, Бюджетную модель
2. Заказчик не готов предоставить формы отчетности, но они есть и жесткие. </t>
    </r>
  </si>
  <si>
    <t>Типовые инструкции по Кейс-проекту</t>
  </si>
  <si>
    <t>1. Доработка Инструкции под Сценарий и данные пользлвателей
2. Если требуется Инструкция Администратора</t>
  </si>
  <si>
    <t>Консультации Специалистов по внедрению Заказчика по стандартному сценарию. Работа с конеыными пользвоателями не предполагается</t>
  </si>
  <si>
    <t>Консультации конечных пользователей в рамках стандартного сценария.</t>
  </si>
  <si>
    <t>Консультации конечных пользователей по сценарию Заказчика</t>
  </si>
  <si>
    <t>Наименование требования</t>
  </si>
  <si>
    <t>Результат реализации требования в системе</t>
  </si>
  <si>
    <r>
      <t xml:space="preserve">Отображение факта доходов и расходов по данным первичных документов в проектном бюджетировании    </t>
    </r>
    <r>
      <rPr>
        <sz val="8"/>
        <color rgb="FF000000"/>
        <rFont val="Times New Roman"/>
        <family val="1"/>
        <charset val="204"/>
      </rPr>
      <t> </t>
    </r>
  </si>
  <si>
    <r>
      <t>1.</t>
    </r>
    <r>
      <rPr>
        <sz val="7"/>
        <color theme="1"/>
        <rFont val="Times New Roman"/>
        <family val="1"/>
        <charset val="204"/>
      </rPr>
      <t xml:space="preserve">       </t>
    </r>
    <r>
      <rPr>
        <sz val="10"/>
        <color rgb="FF000000"/>
        <rFont val="Times New Roman"/>
        <family val="1"/>
        <charset val="204"/>
      </rPr>
      <t xml:space="preserve">Акт выполненных работ </t>
    </r>
  </si>
  <si>
    <t xml:space="preserve">Документ отражается в проектном бюджетировании по следующим видам хозяйственных операций: </t>
  </si>
  <si>
    <r>
      <t>a)</t>
    </r>
    <r>
      <rPr>
        <sz val="7"/>
        <color theme="1"/>
        <rFont val="Times New Roman"/>
        <family val="1"/>
        <charset val="204"/>
      </rPr>
      <t xml:space="preserve">       </t>
    </r>
    <r>
      <rPr>
        <sz val="10"/>
        <color rgb="FF000000"/>
        <rFont val="Times New Roman"/>
        <family val="1"/>
        <charset val="204"/>
      </rPr>
      <t>Реализация клиенту</t>
    </r>
  </si>
  <si>
    <t xml:space="preserve">Факт по остальным хозяйственным операциям отражается в системе вручную вводом документа «Регистрация доходов и расходов» </t>
  </si>
  <si>
    <r>
      <t>2.</t>
    </r>
    <r>
      <rPr>
        <sz val="7"/>
        <color theme="1"/>
        <rFont val="Times New Roman"/>
        <family val="1"/>
        <charset val="204"/>
      </rPr>
      <t xml:space="preserve">       </t>
    </r>
    <r>
      <rPr>
        <sz val="10"/>
        <color rgb="FF000000"/>
        <rFont val="Times New Roman"/>
        <family val="1"/>
        <charset val="204"/>
      </rPr>
      <t>Реализация товаров и услуг</t>
    </r>
  </si>
  <si>
    <t>Документ отражается в проектном бюджетировании по следующим видам хозяйственных операций</t>
  </si>
  <si>
    <r>
      <t>a)</t>
    </r>
    <r>
      <rPr>
        <sz val="7"/>
        <color theme="1"/>
        <rFont val="Times New Roman"/>
        <family val="1"/>
        <charset val="204"/>
      </rPr>
      <t xml:space="preserve">       </t>
    </r>
    <r>
      <rPr>
        <sz val="10"/>
        <color rgb="FF000000"/>
        <rFont val="Times New Roman"/>
        <family val="1"/>
        <charset val="204"/>
      </rPr>
      <t>Реализация</t>
    </r>
  </si>
  <si>
    <r>
      <t>3.</t>
    </r>
    <r>
      <rPr>
        <sz val="7"/>
        <color theme="1"/>
        <rFont val="Times New Roman"/>
        <family val="1"/>
        <charset val="204"/>
      </rPr>
      <t xml:space="preserve">       </t>
    </r>
    <r>
      <rPr>
        <sz val="10"/>
        <color rgb="FF000000"/>
        <rFont val="Times New Roman"/>
        <family val="1"/>
        <charset val="204"/>
      </rPr>
      <t xml:space="preserve">Приобретение товаров и услуг </t>
    </r>
  </si>
  <si>
    <t>Документ отражается в проектном бюджетировании по следующим видам хозяйственных операций:</t>
  </si>
  <si>
    <r>
      <t>a)</t>
    </r>
    <r>
      <rPr>
        <sz val="7"/>
        <color theme="1"/>
        <rFont val="Times New Roman"/>
        <family val="1"/>
        <charset val="204"/>
      </rPr>
      <t xml:space="preserve">       </t>
    </r>
    <r>
      <rPr>
        <sz val="10"/>
        <color rgb="FF000000"/>
        <rFont val="Times New Roman"/>
        <family val="1"/>
        <charset val="204"/>
      </rPr>
      <t>Закупка у поставщика</t>
    </r>
  </si>
  <si>
    <r>
      <t xml:space="preserve">                                                                          </t>
    </r>
    <r>
      <rPr>
        <sz val="10"/>
        <color theme="1"/>
        <rFont val="Times New Roman"/>
        <family val="1"/>
        <charset val="204"/>
      </rPr>
      <t>i.</t>
    </r>
    <r>
      <rPr>
        <sz val="7"/>
        <color theme="1"/>
        <rFont val="Times New Roman"/>
        <family val="1"/>
        <charset val="204"/>
      </rPr>
      <t xml:space="preserve">      </t>
    </r>
    <r>
      <rPr>
        <sz val="10"/>
        <color rgb="FF000000"/>
        <rFont val="Times New Roman"/>
        <family val="1"/>
        <charset val="204"/>
      </rPr>
      <t>В части Услуг (на статью, указанную в документе поступления)</t>
    </r>
  </si>
  <si>
    <r>
      <t xml:space="preserve">                                                                        </t>
    </r>
    <r>
      <rPr>
        <sz val="10"/>
        <color theme="1"/>
        <rFont val="Times New Roman"/>
        <family val="1"/>
        <charset val="204"/>
      </rPr>
      <t>ii.</t>
    </r>
    <r>
      <rPr>
        <sz val="7"/>
        <color theme="1"/>
        <rFont val="Times New Roman"/>
        <family val="1"/>
        <charset val="204"/>
      </rPr>
      <t xml:space="preserve">      </t>
    </r>
    <r>
      <rPr>
        <sz val="10"/>
        <color rgb="FF000000"/>
        <rFont val="Times New Roman"/>
        <family val="1"/>
        <charset val="204"/>
      </rPr>
      <t>В части ТМЦ (на статью, указанную в настройках параметров подсистемы PM)</t>
    </r>
  </si>
  <si>
    <t>Отображение факта поступлений и выплата в проектном бюджетировании при проведении первичных документов </t>
  </si>
  <si>
    <r>
      <t>1.</t>
    </r>
    <r>
      <rPr>
        <sz val="7"/>
        <color theme="1"/>
        <rFont val="Times New Roman"/>
        <family val="1"/>
        <charset val="204"/>
      </rPr>
      <t xml:space="preserve">       </t>
    </r>
    <r>
      <rPr>
        <sz val="10"/>
        <color rgb="FF000000"/>
        <rFont val="Times New Roman"/>
        <family val="1"/>
        <charset val="204"/>
      </rPr>
      <t>Поступление безналичных денежных средств</t>
    </r>
  </si>
  <si>
    <r>
      <t>a)</t>
    </r>
    <r>
      <rPr>
        <sz val="7"/>
        <color theme="1"/>
        <rFont val="Times New Roman"/>
        <family val="1"/>
        <charset val="204"/>
      </rPr>
      <t xml:space="preserve">       </t>
    </r>
    <r>
      <rPr>
        <sz val="10"/>
        <color rgb="FF000000"/>
        <rFont val="Times New Roman"/>
        <family val="1"/>
        <charset val="204"/>
      </rPr>
      <t>Поступление оплаты от клиента</t>
    </r>
  </si>
  <si>
    <r>
      <t>b)</t>
    </r>
    <r>
      <rPr>
        <sz val="7"/>
        <color theme="1"/>
        <rFont val="Times New Roman"/>
        <family val="1"/>
        <charset val="204"/>
      </rPr>
      <t xml:space="preserve">       </t>
    </r>
    <r>
      <rPr>
        <sz val="10"/>
        <color rgb="FF000000"/>
        <rFont val="Times New Roman"/>
        <family val="1"/>
        <charset val="204"/>
      </rPr>
      <t>Прочее поступление</t>
    </r>
  </si>
  <si>
    <r>
      <t>c)</t>
    </r>
    <r>
      <rPr>
        <sz val="7"/>
        <color theme="1"/>
        <rFont val="Times New Roman"/>
        <family val="1"/>
        <charset val="204"/>
      </rPr>
      <t xml:space="preserve">       </t>
    </r>
    <r>
      <rPr>
        <sz val="10"/>
        <color rgb="FF000000"/>
        <rFont val="Times New Roman"/>
        <family val="1"/>
        <charset val="204"/>
      </rPr>
      <t>Возврат от поставщика</t>
    </r>
  </si>
  <si>
    <t>Факт по остальным хозяйственным операциям отражается в системе вручную вводом документа «Регистрация фактических движений денежных средств».</t>
  </si>
  <si>
    <r>
      <t>2.</t>
    </r>
    <r>
      <rPr>
        <sz val="7"/>
        <color theme="1"/>
        <rFont val="Times New Roman"/>
        <family val="1"/>
        <charset val="204"/>
      </rPr>
      <t xml:space="preserve">       </t>
    </r>
    <r>
      <rPr>
        <sz val="10"/>
        <color rgb="FF000000"/>
        <rFont val="Times New Roman"/>
        <family val="1"/>
        <charset val="204"/>
      </rPr>
      <t>Списание безналичных денежных средств</t>
    </r>
  </si>
  <si>
    <r>
      <t>a)</t>
    </r>
    <r>
      <rPr>
        <sz val="7"/>
        <color theme="1"/>
        <rFont val="Times New Roman"/>
        <family val="1"/>
        <charset val="204"/>
      </rPr>
      <t xml:space="preserve">       </t>
    </r>
    <r>
      <rPr>
        <sz val="10"/>
        <color rgb="FF000000"/>
        <rFont val="Times New Roman"/>
        <family val="1"/>
        <charset val="204"/>
      </rPr>
      <t>Оплата поставщику</t>
    </r>
  </si>
  <si>
    <r>
      <t>b)</t>
    </r>
    <r>
      <rPr>
        <sz val="7"/>
        <color theme="1"/>
        <rFont val="Times New Roman"/>
        <family val="1"/>
        <charset val="204"/>
      </rPr>
      <t xml:space="preserve">       </t>
    </r>
    <r>
      <rPr>
        <sz val="10"/>
        <color rgb="FF000000"/>
        <rFont val="Times New Roman"/>
        <family val="1"/>
        <charset val="204"/>
      </rPr>
      <t>Перечисление налогов и взносов</t>
    </r>
  </si>
  <si>
    <r>
      <t>c)</t>
    </r>
    <r>
      <rPr>
        <sz val="7"/>
        <color theme="1"/>
        <rFont val="Times New Roman"/>
        <family val="1"/>
        <charset val="204"/>
      </rPr>
      <t xml:space="preserve">       </t>
    </r>
    <r>
      <rPr>
        <sz val="10"/>
        <color rgb="FF000000"/>
        <rFont val="Times New Roman"/>
        <family val="1"/>
        <charset val="204"/>
      </rPr>
      <t>Таможенный платеж</t>
    </r>
  </si>
  <si>
    <r>
      <t>d)</t>
    </r>
    <r>
      <rPr>
        <sz val="7"/>
        <color theme="1"/>
        <rFont val="Times New Roman"/>
        <family val="1"/>
        <charset val="204"/>
      </rPr>
      <t xml:space="preserve">       </t>
    </r>
    <r>
      <rPr>
        <sz val="10"/>
        <color rgb="FF000000"/>
        <rFont val="Times New Roman"/>
        <family val="1"/>
        <charset val="204"/>
      </rPr>
      <t>Прочий расход</t>
    </r>
  </si>
  <si>
    <r>
      <t>e)</t>
    </r>
    <r>
      <rPr>
        <sz val="7"/>
        <color theme="1"/>
        <rFont val="Times New Roman"/>
        <family val="1"/>
        <charset val="204"/>
      </rPr>
      <t xml:space="preserve">       </t>
    </r>
    <r>
      <rPr>
        <sz val="10"/>
        <color rgb="FF000000"/>
        <rFont val="Times New Roman"/>
        <family val="1"/>
        <charset val="204"/>
      </rPr>
      <t>Возврат оплаты клиенту</t>
    </r>
  </si>
  <si>
    <r>
      <t>3.</t>
    </r>
    <r>
      <rPr>
        <sz val="7"/>
        <color theme="1"/>
        <rFont val="Times New Roman"/>
        <family val="1"/>
        <charset val="204"/>
      </rPr>
      <t xml:space="preserve">       </t>
    </r>
    <r>
      <rPr>
        <sz val="10"/>
        <color rgb="FF000000"/>
        <rFont val="Times New Roman"/>
        <family val="1"/>
        <charset val="204"/>
      </rPr>
      <t>Приходный кассовый ордер</t>
    </r>
  </si>
  <si>
    <r>
      <t>4.</t>
    </r>
    <r>
      <rPr>
        <sz val="7"/>
        <color theme="1"/>
        <rFont val="Times New Roman"/>
        <family val="1"/>
        <charset val="204"/>
      </rPr>
      <t xml:space="preserve">       </t>
    </r>
    <r>
      <rPr>
        <sz val="10"/>
        <color rgb="FF000000"/>
        <rFont val="Times New Roman"/>
        <family val="1"/>
        <charset val="204"/>
      </rPr>
      <t>Расходный кассовый ордер</t>
    </r>
  </si>
  <si>
    <r>
      <t>b)</t>
    </r>
    <r>
      <rPr>
        <sz val="7"/>
        <color theme="1"/>
        <rFont val="Times New Roman"/>
        <family val="1"/>
        <charset val="204"/>
      </rPr>
      <t xml:space="preserve">       </t>
    </r>
    <r>
      <rPr>
        <sz val="10"/>
        <color rgb="FF000000"/>
        <rFont val="Times New Roman"/>
        <family val="1"/>
        <charset val="204"/>
      </rPr>
      <t>Прочий расход</t>
    </r>
  </si>
  <si>
    <r>
      <t>c)</t>
    </r>
    <r>
      <rPr>
        <sz val="7"/>
        <color theme="1"/>
        <rFont val="Times New Roman"/>
        <family val="1"/>
        <charset val="204"/>
      </rPr>
      <t xml:space="preserve">       </t>
    </r>
    <r>
      <rPr>
        <sz val="10"/>
        <color rgb="FF000000"/>
        <rFont val="Times New Roman"/>
        <family val="1"/>
        <charset val="204"/>
      </rPr>
      <t>Возврат оплаты клиенту</t>
    </r>
  </si>
  <si>
    <t>Отображение факта доходов и расходов в проектном бюджетировании автоматически по данным «1С: Бухгалтерия 8 ПРОФ (ред. 3.0)»</t>
  </si>
  <si>
    <r>
      <t>1.</t>
    </r>
    <r>
      <rPr>
        <sz val="7"/>
        <color theme="1"/>
        <rFont val="Times New Roman"/>
        <family val="1"/>
        <charset val="204"/>
      </rPr>
      <t xml:space="preserve">       </t>
    </r>
    <r>
      <rPr>
        <sz val="10"/>
        <color rgb="FF000000"/>
        <rFont val="Times New Roman"/>
        <family val="1"/>
        <charset val="204"/>
      </rPr>
      <t xml:space="preserve">Загрузка доходов по актируемым этапам проектов (номенклатурным группам). В систему загружаются сведения о выручке по номенклатурным группам по счету 90.01 с детализацией до контрагента (аналитика счета 62) и договора. Загрузка данных происходит с детализацией до первичного документа, с учетом даты первичного документа и ссылкой на документ регистрации.  Актируемые этапы сопоставляются с номенклатурными группами один к одному. Данные загружаются в рублях. Загрузка валют не предусмотрена. </t>
    </r>
  </si>
  <si>
    <r>
      <t>2.</t>
    </r>
    <r>
      <rPr>
        <sz val="7"/>
        <color theme="1"/>
        <rFont val="Times New Roman"/>
        <family val="1"/>
        <charset val="204"/>
      </rPr>
      <t xml:space="preserve">       </t>
    </r>
    <r>
      <rPr>
        <sz val="10"/>
        <color rgb="FF000000"/>
        <rFont val="Times New Roman"/>
        <family val="1"/>
        <charset val="204"/>
      </rPr>
      <t>Загрузка прямых и распределенных в бухгалтерии расходов по актируемым этапам (номенклатурным группам). В систему загружаются сведения о затратах по счету 20, с детализацией до актируемого этапа (номенклатурной группы). Загрузка данных происходит с детализацией до первичного документа, с учетом даты первичного документа и ссылкой на документ регистрации.  Актируемые этапы сопоставляются с номенклатурными группами один к одному. Данные загружаются в рублях. Загрузка валют не предусмотрена.</t>
    </r>
  </si>
  <si>
    <r>
      <t>3.</t>
    </r>
    <r>
      <rPr>
        <sz val="7"/>
        <color theme="1"/>
        <rFont val="Times New Roman"/>
        <family val="1"/>
        <charset val="204"/>
      </rPr>
      <t xml:space="preserve">       </t>
    </r>
    <r>
      <rPr>
        <sz val="10"/>
        <color rgb="FF000000"/>
        <rFont val="Times New Roman"/>
        <family val="1"/>
        <charset val="204"/>
      </rPr>
      <t xml:space="preserve">Загрузка движения денежных средств по актируемым этапам с детализацией до контрагента, договора, статьи движения денежных средств. По умолчанию выгружаются обороты счетов 50,51. Загрузка данных происходит с детализацией до первичного документа, с учетом даты первичного документа и ссылкой на документ регистрации. Если в проектном бюджетировании необходимо по служебному проекту отражать выплаты заработной платы, налогов, взносов и прочих платежей, то в настройках отражения оборотов по счету корреспонденту (70,76, 68,69,91) можно указать проектную задачу служебного проекта. Данные загружаются в систему с детализацией до контрагента, договора контрагента и актируемого этапа указанного в договоре контрагента </t>
    </r>
  </si>
  <si>
    <t>Отображение факта доходов и расходов по данным первичных документов в проектном бюджетировании     </t>
  </si>
  <si>
    <r>
      <t>1.</t>
    </r>
    <r>
      <rPr>
        <sz val="7"/>
        <color theme="1"/>
        <rFont val="Times New Roman"/>
        <family val="1"/>
        <charset val="204"/>
      </rPr>
      <t xml:space="preserve">       </t>
    </r>
    <r>
      <rPr>
        <sz val="10"/>
        <color rgb="FF000000"/>
        <rFont val="Times New Roman"/>
        <family val="1"/>
        <charset val="204"/>
      </rPr>
      <t>Реализация услуг и прочих активов</t>
    </r>
  </si>
  <si>
    <r>
      <t>2.</t>
    </r>
    <r>
      <rPr>
        <sz val="7"/>
        <color theme="1"/>
        <rFont val="Times New Roman"/>
        <family val="1"/>
        <charset val="204"/>
      </rPr>
      <t xml:space="preserve">       </t>
    </r>
    <r>
      <rPr>
        <sz val="10"/>
        <color rgb="FF000000"/>
        <rFont val="Times New Roman"/>
        <family val="1"/>
        <charset val="204"/>
      </rPr>
      <t>Корректировка реализации</t>
    </r>
  </si>
  <si>
    <r>
      <t>a)</t>
    </r>
    <r>
      <rPr>
        <sz val="7"/>
        <color theme="1"/>
        <rFont val="Times New Roman"/>
        <family val="1"/>
        <charset val="204"/>
      </rPr>
      <t xml:space="preserve">       </t>
    </r>
    <r>
      <rPr>
        <sz val="10"/>
        <color rgb="FF000000"/>
        <rFont val="Times New Roman"/>
        <family val="1"/>
        <charset val="204"/>
      </rPr>
      <t xml:space="preserve">Корректировка по согласованию сторон </t>
    </r>
  </si>
  <si>
    <r>
      <t>b)</t>
    </r>
    <r>
      <rPr>
        <sz val="7"/>
        <color theme="1"/>
        <rFont val="Times New Roman"/>
        <family val="1"/>
        <charset val="204"/>
      </rPr>
      <t xml:space="preserve">       </t>
    </r>
    <r>
      <rPr>
        <sz val="10"/>
        <color rgb="FF000000"/>
        <rFont val="Times New Roman"/>
        <family val="1"/>
        <charset val="204"/>
      </rPr>
      <t>Реализация перепоставленного товара</t>
    </r>
  </si>
  <si>
    <r>
      <t>c)</t>
    </r>
    <r>
      <rPr>
        <sz val="7"/>
        <color theme="1"/>
        <rFont val="Times New Roman"/>
        <family val="1"/>
        <charset val="204"/>
      </rPr>
      <t xml:space="preserve">       </t>
    </r>
    <r>
      <rPr>
        <sz val="10"/>
        <color rgb="FF000000"/>
        <rFont val="Times New Roman"/>
        <family val="1"/>
        <charset val="204"/>
      </rPr>
      <t>Возврат недопоставленного товара</t>
    </r>
  </si>
  <si>
    <r>
      <t>3.</t>
    </r>
    <r>
      <rPr>
        <sz val="7"/>
        <color theme="1"/>
        <rFont val="Times New Roman"/>
        <family val="1"/>
        <charset val="204"/>
      </rPr>
      <t xml:space="preserve">       </t>
    </r>
    <r>
      <rPr>
        <sz val="10"/>
        <color rgb="FF000000"/>
        <rFont val="Times New Roman"/>
        <family val="1"/>
        <charset val="204"/>
      </rPr>
      <t>Приобретение услуг и прочих активов</t>
    </r>
  </si>
  <si>
    <r>
      <t>4.</t>
    </r>
    <r>
      <rPr>
        <sz val="7"/>
        <color theme="1"/>
        <rFont val="Times New Roman"/>
        <family val="1"/>
        <charset val="204"/>
      </rPr>
      <t xml:space="preserve">       </t>
    </r>
    <r>
      <rPr>
        <sz val="10"/>
        <color rgb="FF000000"/>
        <rFont val="Times New Roman"/>
        <family val="1"/>
        <charset val="204"/>
      </rPr>
      <t xml:space="preserve">Приобретение товаров и услуг </t>
    </r>
  </si>
  <si>
    <r>
      <t xml:space="preserve">                                            </t>
    </r>
    <r>
      <rPr>
        <sz val="10"/>
        <color theme="1"/>
        <rFont val="Times New Roman"/>
        <family val="1"/>
        <charset val="204"/>
      </rPr>
      <t>i.</t>
    </r>
    <r>
      <rPr>
        <sz val="7"/>
        <color theme="1"/>
        <rFont val="Times New Roman"/>
        <family val="1"/>
        <charset val="204"/>
      </rPr>
      <t xml:space="preserve">            </t>
    </r>
    <r>
      <rPr>
        <sz val="10"/>
        <color rgb="FF000000"/>
        <rFont val="Times New Roman"/>
        <family val="1"/>
        <charset val="204"/>
      </rPr>
      <t>В части ТМЦ</t>
    </r>
  </si>
  <si>
    <r>
      <t xml:space="preserve">                                          </t>
    </r>
    <r>
      <rPr>
        <sz val="10"/>
        <color theme="1"/>
        <rFont val="Times New Roman"/>
        <family val="1"/>
        <charset val="204"/>
      </rPr>
      <t>ii.</t>
    </r>
    <r>
      <rPr>
        <sz val="7"/>
        <color theme="1"/>
        <rFont val="Times New Roman"/>
        <family val="1"/>
        <charset val="204"/>
      </rPr>
      <t xml:space="preserve">            </t>
    </r>
    <r>
      <rPr>
        <sz val="10"/>
        <color rgb="FF000000"/>
        <rFont val="Times New Roman"/>
        <family val="1"/>
        <charset val="204"/>
      </rPr>
      <t>Закупка через подотчетное лицо</t>
    </r>
  </si>
  <si>
    <r>
      <t xml:space="preserve">                                         </t>
    </r>
    <r>
      <rPr>
        <sz val="10"/>
        <color theme="1"/>
        <rFont val="Times New Roman"/>
        <family val="1"/>
        <charset val="204"/>
      </rPr>
      <t>iii.</t>
    </r>
    <r>
      <rPr>
        <sz val="7"/>
        <color theme="1"/>
        <rFont val="Times New Roman"/>
        <family val="1"/>
        <charset val="204"/>
      </rPr>
      <t xml:space="preserve">            </t>
    </r>
    <r>
      <rPr>
        <sz val="10"/>
        <color rgb="FF000000"/>
        <rFont val="Times New Roman"/>
        <family val="1"/>
        <charset val="204"/>
      </rPr>
      <t>Импорт</t>
    </r>
  </si>
  <si>
    <r>
      <t xml:space="preserve">                                         </t>
    </r>
    <r>
      <rPr>
        <sz val="10"/>
        <color theme="1"/>
        <rFont val="Times New Roman"/>
        <family val="1"/>
        <charset val="204"/>
      </rPr>
      <t>iv.</t>
    </r>
    <r>
      <rPr>
        <sz val="7"/>
        <color theme="1"/>
        <rFont val="Times New Roman"/>
        <family val="1"/>
        <charset val="204"/>
      </rPr>
      <t xml:space="preserve">            </t>
    </r>
    <r>
      <rPr>
        <sz val="10"/>
        <color rgb="FF000000"/>
        <rFont val="Times New Roman"/>
        <family val="1"/>
        <charset val="204"/>
      </rPr>
      <t>Ввоз из ЕАЭС</t>
    </r>
  </si>
  <si>
    <r>
      <t>5.</t>
    </r>
    <r>
      <rPr>
        <sz val="7"/>
        <color theme="1"/>
        <rFont val="Times New Roman"/>
        <family val="1"/>
        <charset val="204"/>
      </rPr>
      <t xml:space="preserve">       </t>
    </r>
    <r>
      <rPr>
        <sz val="10"/>
        <color rgb="FF000000"/>
        <rFont val="Times New Roman"/>
        <family val="1"/>
        <charset val="204"/>
      </rPr>
      <t>Авансовый отчет</t>
    </r>
  </si>
  <si>
    <t xml:space="preserve"> Документ отражается в проектном бюджетировании по следующим видам хозяйственных операций:</t>
  </si>
  <si>
    <r>
      <t>a)</t>
    </r>
    <r>
      <rPr>
        <sz val="7"/>
        <color theme="1"/>
        <rFont val="Times New Roman"/>
        <family val="1"/>
        <charset val="204"/>
      </rPr>
      <t xml:space="preserve">       </t>
    </r>
    <r>
      <rPr>
        <sz val="10"/>
        <color rgb="FF000000"/>
        <rFont val="Times New Roman"/>
        <family val="1"/>
        <charset val="204"/>
      </rPr>
      <t>Прочие расходы подотчетного лица</t>
    </r>
  </si>
  <si>
    <r>
      <t>6.</t>
    </r>
    <r>
      <rPr>
        <sz val="7"/>
        <color theme="1"/>
        <rFont val="Times New Roman"/>
        <family val="1"/>
        <charset val="204"/>
      </rPr>
      <t xml:space="preserve">       </t>
    </r>
    <r>
      <rPr>
        <sz val="10"/>
        <color rgb="FF000000"/>
        <rFont val="Times New Roman"/>
        <family val="1"/>
        <charset val="204"/>
      </rPr>
      <t>Отражение зарплаты в финансовом учете</t>
    </r>
  </si>
  <si>
    <r>
      <t>a)</t>
    </r>
    <r>
      <rPr>
        <sz val="7"/>
        <color theme="1"/>
        <rFont val="Times New Roman"/>
        <family val="1"/>
        <charset val="204"/>
      </rPr>
      <t xml:space="preserve">       </t>
    </r>
    <r>
      <rPr>
        <sz val="10"/>
        <color rgb="FF000000"/>
        <rFont val="Times New Roman"/>
        <family val="1"/>
        <charset val="204"/>
      </rPr>
      <t>Отражение заработной платы</t>
    </r>
  </si>
  <si>
    <r>
      <t>7.</t>
    </r>
    <r>
      <rPr>
        <sz val="7"/>
        <color theme="1"/>
        <rFont val="Times New Roman"/>
        <family val="1"/>
        <charset val="204"/>
      </rPr>
      <t xml:space="preserve">       </t>
    </r>
    <r>
      <rPr>
        <sz val="10"/>
        <color rgb="FF000000"/>
        <rFont val="Times New Roman"/>
        <family val="1"/>
        <charset val="204"/>
      </rPr>
      <t>Отражение прочих доходов и расходов</t>
    </r>
  </si>
  <si>
    <r>
      <t>a)</t>
    </r>
    <r>
      <rPr>
        <sz val="7"/>
        <color theme="1"/>
        <rFont val="Times New Roman"/>
        <family val="1"/>
        <charset val="204"/>
      </rPr>
      <t xml:space="preserve">       </t>
    </r>
    <r>
      <rPr>
        <sz val="10"/>
        <color rgb="FF000000"/>
        <rFont val="Times New Roman"/>
        <family val="1"/>
        <charset val="204"/>
      </rPr>
      <t>Реклассификация расходов</t>
    </r>
  </si>
  <si>
    <t xml:space="preserve">Трансляция факта выплат в проектное бюджетирование из первичных документов </t>
  </si>
  <si>
    <r>
      <t>1.</t>
    </r>
    <r>
      <rPr>
        <sz val="7"/>
        <color theme="1"/>
        <rFont val="Times New Roman"/>
        <family val="1"/>
        <charset val="204"/>
      </rPr>
      <t xml:space="preserve">       </t>
    </r>
    <r>
      <rPr>
        <sz val="10"/>
        <color rgb="FF000000"/>
        <rFont val="Times New Roman"/>
        <family val="1"/>
        <charset val="204"/>
      </rPr>
      <t>Отражение факта выплат, зарегистрированных документом «Списание безналичных денежных средств»</t>
    </r>
  </si>
  <si>
    <t>Фактические выплаты транслируются в проектное бюджетировании по следующим видам хозяйственных операций:</t>
  </si>
  <si>
    <r>
      <t>a)</t>
    </r>
    <r>
      <rPr>
        <sz val="7"/>
        <color theme="1"/>
        <rFont val="Times New Roman"/>
        <family val="1"/>
        <charset val="204"/>
      </rPr>
      <t xml:space="preserve">       </t>
    </r>
    <r>
      <rPr>
        <sz val="10"/>
        <color rgb="FF000000"/>
        <rFont val="Times New Roman"/>
        <family val="1"/>
        <charset val="204"/>
      </rPr>
      <t xml:space="preserve">Оплата поставщику (в случае неиспользования механизма отражения факта движения денежных средств первичными документами) </t>
    </r>
  </si>
  <si>
    <r>
      <t>b)</t>
    </r>
    <r>
      <rPr>
        <sz val="7"/>
        <color theme="1"/>
        <rFont val="Times New Roman"/>
        <family val="1"/>
        <charset val="204"/>
      </rPr>
      <t xml:space="preserve">       </t>
    </r>
    <r>
      <rPr>
        <sz val="10"/>
        <color rgb="FF000000"/>
        <rFont val="Times New Roman"/>
        <family val="1"/>
        <charset val="204"/>
      </rPr>
      <t>Оплата по кредитам и займам полученным (с детализацией до договора)</t>
    </r>
  </si>
  <si>
    <r>
      <t>c)</t>
    </r>
    <r>
      <rPr>
        <sz val="7"/>
        <color theme="1"/>
        <rFont val="Times New Roman"/>
        <family val="1"/>
        <charset val="204"/>
      </rPr>
      <t xml:space="preserve">       </t>
    </r>
    <r>
      <rPr>
        <sz val="10"/>
        <color rgb="FF000000"/>
        <rFont val="Times New Roman"/>
        <family val="1"/>
        <charset val="204"/>
      </rPr>
      <t>Перечисление на депозиты (с детализацией до договора)</t>
    </r>
  </si>
  <si>
    <r>
      <t>d)</t>
    </r>
    <r>
      <rPr>
        <sz val="7"/>
        <color theme="1"/>
        <rFont val="Times New Roman"/>
        <family val="1"/>
        <charset val="204"/>
      </rPr>
      <t xml:space="preserve">       </t>
    </r>
    <r>
      <rPr>
        <sz val="10"/>
        <color rgb="FF000000"/>
        <rFont val="Times New Roman"/>
        <family val="1"/>
        <charset val="204"/>
      </rPr>
      <t>Выдача займа контрагенту (с детализацией до договора)</t>
    </r>
  </si>
  <si>
    <r>
      <t>e)</t>
    </r>
    <r>
      <rPr>
        <sz val="7"/>
        <color theme="1"/>
        <rFont val="Times New Roman"/>
        <family val="1"/>
        <charset val="204"/>
      </rPr>
      <t xml:space="preserve">       </t>
    </r>
    <r>
      <rPr>
        <sz val="10"/>
        <color rgb="FF000000"/>
        <rFont val="Times New Roman"/>
        <family val="1"/>
        <charset val="204"/>
      </rPr>
      <t>Прочий расход</t>
    </r>
  </si>
  <si>
    <r>
      <t>f)</t>
    </r>
    <r>
      <rPr>
        <sz val="7"/>
        <color theme="1"/>
        <rFont val="Times New Roman"/>
        <family val="1"/>
        <charset val="204"/>
      </rPr>
      <t xml:space="preserve">       </t>
    </r>
    <r>
      <rPr>
        <sz val="11"/>
        <color rgb="FF000000"/>
        <rFont val="Times New Roman"/>
        <family val="1"/>
        <charset val="204"/>
      </rPr>
      <t>Возврат оплаты клиенту</t>
    </r>
  </si>
  <si>
    <t>2. Отражение факта выплат, зарегистрированных документом «Расходный кассовый ордер»</t>
  </si>
  <si>
    <r>
      <t>a)</t>
    </r>
    <r>
      <rPr>
        <sz val="7"/>
        <color theme="1"/>
        <rFont val="Times New Roman"/>
        <family val="1"/>
        <charset val="204"/>
      </rPr>
      <t xml:space="preserve">       </t>
    </r>
    <r>
      <rPr>
        <sz val="10"/>
        <color rgb="FF000000"/>
        <rFont val="Times New Roman"/>
        <family val="1"/>
        <charset val="204"/>
      </rPr>
      <t>Оплата поставщику (в случае неиспользования механизма отражения факта движения денежных средств первичными документами)</t>
    </r>
  </si>
  <si>
    <r>
      <t>f)</t>
    </r>
    <r>
      <rPr>
        <sz val="7"/>
        <color theme="1"/>
        <rFont val="Times New Roman"/>
        <family val="1"/>
        <charset val="204"/>
      </rPr>
      <t xml:space="preserve">        </t>
    </r>
    <r>
      <rPr>
        <sz val="10"/>
        <color rgb="FF000000"/>
        <rFont val="Times New Roman"/>
        <family val="1"/>
        <charset val="204"/>
      </rPr>
      <t>Возврат оплаты клиенту</t>
    </r>
  </si>
  <si>
    <t>Отображение  факта ФОТ на основании введенных табелей.</t>
  </si>
  <si>
    <t>Отражение затрат на привлечение специалистов к выполнению работ на основании данных о стоимости фактических трудозатрат, рассчитанных по актуальной ставке роли (исполнителя) и фактически списанного количества часов.</t>
  </si>
  <si>
    <r>
      <t>4.4. Расшифровка</t>
    </r>
    <r>
      <rPr>
        <b/>
        <i/>
        <sz val="7"/>
        <color rgb="FF000000"/>
        <rFont val="Times New Roman"/>
        <family val="1"/>
        <charset val="204"/>
      </rPr>
      <t xml:space="preserve">       </t>
    </r>
    <r>
      <rPr>
        <b/>
        <i/>
        <sz val="12"/>
        <color rgb="FF000000"/>
        <rFont val="Times New Roman"/>
        <family val="1"/>
        <charset val="204"/>
      </rPr>
      <t>Учет факта бюджетов проектов.</t>
    </r>
  </si>
  <si>
    <r>
      <t>4.5. возможно в рамках Кейс</t>
    </r>
    <r>
      <rPr>
        <b/>
        <i/>
        <sz val="7"/>
        <color rgb="FF000000"/>
        <rFont val="Times New Roman"/>
        <family val="1"/>
        <charset val="204"/>
      </rPr>
      <t xml:space="preserve">     </t>
    </r>
    <r>
      <rPr>
        <b/>
        <i/>
        <sz val="12"/>
        <color rgb="FF000000"/>
        <rFont val="Times New Roman"/>
        <family val="1"/>
        <charset val="204"/>
      </rPr>
      <t>Экономика проектов</t>
    </r>
    <r>
      <rPr>
        <sz val="8"/>
        <rFont val="Times New Roman"/>
        <family val="1"/>
        <charset val="204"/>
      </rPr>
      <t> </t>
    </r>
    <r>
      <rPr>
        <b/>
        <i/>
        <sz val="12"/>
        <color rgb="FF000000"/>
        <rFont val="Times New Roman"/>
        <family val="1"/>
        <charset val="204"/>
      </rPr>
      <t xml:space="preserve"> (ПРОФ функции)</t>
    </r>
  </si>
  <si>
    <r>
      <t xml:space="preserve">1. Установочная встреча 
2. Согласование содержания проекта
3. По требования Заказчика возможно формирваоние расширенного устава, содержащего подробный план проекта, план коммуникаций и т.д.
</t>
    </r>
    <r>
      <rPr>
        <sz val="11"/>
        <color rgb="FFFF0000"/>
        <rFont val="Calibri"/>
        <family val="2"/>
        <charset val="204"/>
        <scheme val="minor"/>
      </rPr>
      <t>4. Предполагается, что все формы отчетности не предоставленные при оценке могут быть адаптированы Заказчиком под возможности типовой ИС</t>
    </r>
  </si>
  <si>
    <r>
      <rPr>
        <b/>
        <sz val="11"/>
        <color theme="1"/>
        <rFont val="Calibri"/>
        <family val="2"/>
        <charset val="204"/>
        <scheme val="minor"/>
      </rPr>
      <t>В дополнение в ПРОФ-проекту необходима разработка</t>
    </r>
    <r>
      <rPr>
        <sz val="11"/>
        <color theme="1"/>
        <rFont val="Calibri"/>
        <family val="2"/>
        <charset val="204"/>
        <scheme val="minor"/>
      </rPr>
      <t>:
1. Расширенный Устав, 
2. подробный план график работ, 
3. и другая документация, либо специфические требования к содержанию и оформлению документации (в т.ч. 34 ГОСТ) по требованию Заказчика
4. Предполагается внедрение (В т.ч. Совместное со спец-ми Заказчика или партнерами) нескольких специфических для нас Функциональнывх областей (Например Производство, Склад, МСФО, CRM и т.д.)
5. Внедрение не предполагается в рамках 1-й очереди контура PM</t>
    </r>
  </si>
  <si>
    <r>
      <t xml:space="preserve">1. Проводится серия </t>
    </r>
    <r>
      <rPr>
        <b/>
        <sz val="11"/>
        <color theme="1"/>
        <rFont val="Calibri"/>
        <family val="2"/>
        <charset val="204"/>
        <scheme val="minor"/>
      </rPr>
      <t>интервью</t>
    </r>
    <r>
      <rPr>
        <sz val="11"/>
        <color theme="1"/>
        <rFont val="Calibri"/>
        <family val="2"/>
        <charset val="204"/>
        <scheme val="minor"/>
      </rPr>
      <t>, 
2. по результатам которых разрабатывается документ "</t>
    </r>
    <r>
      <rPr>
        <b/>
        <sz val="11"/>
        <color theme="1"/>
        <rFont val="Calibri"/>
        <family val="2"/>
        <charset val="204"/>
        <scheme val="minor"/>
      </rPr>
      <t>Функциональные требования"</t>
    </r>
    <r>
      <rPr>
        <sz val="11"/>
        <color theme="1"/>
        <rFont val="Calibri"/>
        <family val="2"/>
        <charset val="204"/>
        <scheme val="minor"/>
      </rPr>
      <t xml:space="preserve">
3. Описание Бизнес-процессов силами Исполнителя </t>
    </r>
    <r>
      <rPr>
        <b/>
        <sz val="11"/>
        <color rgb="FFFF0000"/>
        <rFont val="Calibri"/>
        <family val="2"/>
        <charset val="204"/>
        <scheme val="minor"/>
      </rPr>
      <t xml:space="preserve">не подразумевается. </t>
    </r>
    <r>
      <rPr>
        <sz val="11"/>
        <color theme="1"/>
        <rFont val="Calibri"/>
        <family val="2"/>
        <charset val="204"/>
        <scheme val="minor"/>
      </rPr>
      <t xml:space="preserve">
4. Заказчик самостоятельно "подстраивает" свои бизнес-процессы под возможности разрабатываемой системы</t>
    </r>
  </si>
  <si>
    <r>
      <t xml:space="preserve">
</t>
    </r>
    <r>
      <rPr>
        <b/>
        <sz val="11"/>
        <color theme="1"/>
        <rFont val="Calibri"/>
        <family val="2"/>
        <charset val="204"/>
        <scheme val="minor"/>
      </rPr>
      <t xml:space="preserve">В дополнение в ПРОФ-проекту
</t>
    </r>
    <r>
      <rPr>
        <sz val="11"/>
        <color theme="1"/>
        <rFont val="Calibri"/>
        <family val="2"/>
        <charset val="204"/>
        <scheme val="minor"/>
      </rPr>
      <t>1. Необходима разработка Технического проекта, либо специфические требования к содержанию и оформлению документации (в т.ч. 34 ГОСТ) по требованию Заказчика</t>
    </r>
  </si>
  <si>
    <r>
      <t xml:space="preserve">Интеграции относят проект к КОРП если:
1. Заявлены интеграции с ИС сторонних вендоров
2. Заявлены интеграции через Шину данных
3. </t>
    </r>
    <r>
      <rPr>
        <b/>
        <sz val="11"/>
        <color rgb="FFFF0000"/>
        <rFont val="Calibri"/>
        <family val="2"/>
        <charset val="204"/>
        <scheme val="minor"/>
      </rPr>
      <t>Если Заказчик не готов предоставить конфигурацию до оценки</t>
    </r>
    <r>
      <rPr>
        <sz val="11"/>
        <color theme="1"/>
        <rFont val="Calibri"/>
        <family val="2"/>
        <charset val="204"/>
        <scheme val="minor"/>
      </rPr>
      <t xml:space="preserve">
3. Наша ИС должна быть центральной, аггрегирующей информацию из разных ИС разных вендоров
4. Если параллельно ведется проектирование, разработка или внедрение смежных ИС
5. Если Заказчик диктует способы реализации обменов
</t>
    </r>
    <r>
      <rPr>
        <b/>
        <sz val="11"/>
        <color rgb="FFFF0000"/>
        <rFont val="Calibri"/>
        <family val="2"/>
        <charset val="204"/>
        <scheme val="minor"/>
      </rPr>
      <t xml:space="preserve">6. Важное ограничение. </t>
    </r>
    <r>
      <rPr>
        <sz val="11"/>
        <rFont val="Calibri"/>
        <family val="2"/>
        <charset val="204"/>
        <scheme val="minor"/>
      </rPr>
      <t>При интеграции со смежными системами Силами Исполнителя реализуется только выгрузка и загрузка на стороне 1С.</t>
    </r>
    <r>
      <rPr>
        <b/>
        <sz val="11"/>
        <color rgb="FFFF0000"/>
        <rFont val="Calibri"/>
        <family val="2"/>
        <charset val="204"/>
        <scheme val="minor"/>
      </rPr>
      <t xml:space="preserve"> Выгрузка и загрузка данных на стороне ИС сторонних вендоров, и не типовых концигураций 1С по умолчанию реализуется силами Заказчика.</t>
    </r>
  </si>
  <si>
    <t>1С:Взаимодействия</t>
  </si>
  <si>
    <r>
      <t xml:space="preserve">1. Интеграция с типовые (на поддерке вендора) решениями на базе 1С (В т.ч. доработанные конфигурации).
2. Все смежные системы должны быть в промышленной эксплуатации
3. Делаются именно обмены данными между базами (не Шина данных)
4. Способ реализации обмена (Инструментарий, транспорт данных и т.д.) на усмотрение исполнителя
5. Важное ограничение. </t>
    </r>
    <r>
      <rPr>
        <b/>
        <sz val="11"/>
        <color rgb="FFFF0000"/>
        <rFont val="Calibri"/>
        <family val="2"/>
        <charset val="204"/>
        <scheme val="minor"/>
      </rPr>
      <t>При интеграции со смежными системами 1С Силами Исполнителя</t>
    </r>
    <r>
      <rPr>
        <sz val="11"/>
        <color theme="1"/>
        <rFont val="Calibri"/>
        <family val="2"/>
        <charset val="204"/>
        <scheme val="minor"/>
      </rPr>
      <t xml:space="preserve"> реализуется только выгрузка и загрузка на нашей стороне. </t>
    </r>
    <r>
      <rPr>
        <b/>
        <sz val="11"/>
        <color rgb="FFFF0000"/>
        <rFont val="Calibri"/>
        <family val="2"/>
        <charset val="204"/>
        <scheme val="minor"/>
      </rPr>
      <t>Выгрузка и загрузка данных на стороне ИС не типовых концигураций 1С по умолчанию реализуется силами Заказчика.</t>
    </r>
  </si>
  <si>
    <r>
      <rPr>
        <b/>
        <sz val="11"/>
        <color theme="1"/>
        <rFont val="Calibri"/>
        <family val="2"/>
        <charset val="204"/>
        <scheme val="minor"/>
      </rPr>
      <t xml:space="preserve">В дополнение к Кейс:
</t>
    </r>
    <r>
      <rPr>
        <sz val="11"/>
        <color theme="1"/>
        <rFont val="Calibri"/>
        <family val="2"/>
        <charset val="204"/>
        <scheme val="minor"/>
      </rPr>
      <t>1. Настройка в части контуров ERP
2. Настройка нетиповых прав доступа.
3. Настройка разработанных интеграций</t>
    </r>
  </si>
  <si>
    <r>
      <t xml:space="preserve">1. Настройка прав достура с RLS ( другие разрезы кроме Проекта в PM)
</t>
    </r>
    <r>
      <rPr>
        <b/>
        <sz val="11"/>
        <color rgb="FFFF0000"/>
        <rFont val="Calibri"/>
        <family val="2"/>
        <charset val="204"/>
        <scheme val="minor"/>
      </rPr>
      <t>2. Необходимо дополнительно обсудить что такого не дает сделать наш функционал RLS по преоктам хотя бы в рамках ПРОФ технологии</t>
    </r>
  </si>
  <si>
    <r>
      <t xml:space="preserve">1. Только контур PM
2. Делаются только:
2.1.  настройки параметров учета проектного контура
2.2. Настройки начального рабочего стола, Избранное </t>
    </r>
    <r>
      <rPr>
        <b/>
        <sz val="11"/>
        <color rgb="FFFF0000"/>
        <rFont val="Calibri"/>
        <family val="2"/>
        <charset val="204"/>
        <scheme val="minor"/>
      </rPr>
      <t>(Может быть выполнено Внедренцами ЗАказчика после их обучения)</t>
    </r>
    <r>
      <rPr>
        <sz val="11"/>
        <color theme="1"/>
        <rFont val="Calibri"/>
        <family val="2"/>
        <charset val="204"/>
        <scheme val="minor"/>
      </rPr>
      <t>, 
2.3. стандартный пакет отчетности согласно базового сценария</t>
    </r>
    <r>
      <rPr>
        <b/>
        <sz val="11"/>
        <color rgb="FFFF0000"/>
        <rFont val="Calibri"/>
        <family val="2"/>
        <charset val="204"/>
        <scheme val="minor"/>
      </rPr>
      <t xml:space="preserve"> (ВОзможно тоже, со временем можно удет передать Заказчику.)</t>
    </r>
    <r>
      <rPr>
        <sz val="11"/>
        <color theme="1"/>
        <rFont val="Calibri"/>
        <family val="2"/>
        <charset val="204"/>
        <scheme val="minor"/>
      </rPr>
      <t xml:space="preserve">
2.4. Настройка прав доступа только в части назначения стандартных профилей прав доступа по заполненной Заказчиком матрице.</t>
    </r>
    <r>
      <rPr>
        <b/>
        <sz val="11"/>
        <color theme="1"/>
        <rFont val="Calibri"/>
        <family val="2"/>
        <charset val="204"/>
        <scheme val="minor"/>
      </rPr>
      <t xml:space="preserve"> </t>
    </r>
    <r>
      <rPr>
        <b/>
        <sz val="11"/>
        <color rgb="FFFF0000"/>
        <rFont val="Calibri"/>
        <family val="2"/>
        <charset val="204"/>
        <scheme val="minor"/>
      </rPr>
      <t xml:space="preserve">(Может быть выполнено Внедренцами ЗАказчика после их обучения)
</t>
    </r>
    <r>
      <rPr>
        <sz val="11"/>
        <rFont val="Calibri"/>
        <family val="2"/>
        <charset val="204"/>
        <scheme val="minor"/>
      </rPr>
      <t>2.5. Загрузка НСИ проектного контура из Excel (Подготавливает Заказчик по формату Исполнителя)</t>
    </r>
  </si>
  <si>
    <t>1. Только контур PM
2. Делаются только:
2.1.  настройки параметров учета проектного контура
2.2. Настройки начального рабочего стола, Избранное, стандартный пакет отчетности согласно базового сценария
2.3. Настройка прав доступа только в части назначения стандартных профилей прав доступа по заполненной Заказчиком матрице
2.4. Загрузка НСИ проектного контура из Excel по формату Исполнителя
2.5. Загрузка НСИ проектного контура из Excel (Подготавливает Заказчик по формату Исполнителя)</t>
  </si>
  <si>
    <t>1. Требуются Дополнительная рабочая документация либо специфические требования к содержанию и оформлению документации (в т.ч. 34 ГОСТ) по требованию Заказчика</t>
  </si>
  <si>
    <t>1. Переносятся исторические данные по договоренности с Заказчиком, только типовые (на поддерке вендора) решениями на базе 1С (В т.ч. доработанные конфигурации), либо через файлы, подготовленные и выверенные Заказчиком</t>
  </si>
  <si>
    <t>1. Требуется перенос данных из смежных систем сторонних вендоров, либо не типовых решений 1С</t>
  </si>
  <si>
    <t>Фаза 4.2. Интеграции (Регулярный обмен данных)</t>
  </si>
  <si>
    <t>Фаза 5.1. Подготовка к Запуску в ОЭ: Миграция данных (Разовая загрузка исторических данных)</t>
  </si>
  <si>
    <t>Фаза 5.2. Обучение Администраторов и Специалистов по внедрению Заказчика</t>
  </si>
  <si>
    <r>
      <t xml:space="preserve">1. Обучение в группах по ролям По сквозном сценарию без специфики Заказчика </t>
    </r>
    <r>
      <rPr>
        <sz val="11"/>
        <color rgb="FFFF0000"/>
        <rFont val="Calibri"/>
        <family val="2"/>
        <charset val="204"/>
        <scheme val="minor"/>
      </rPr>
      <t>На данных Закзачика из модельной базы</t>
    </r>
  </si>
  <si>
    <r>
      <t>1. Обучение в группе По сквозном сценарию без специфики Заказчика.</t>
    </r>
    <r>
      <rPr>
        <sz val="11"/>
        <color rgb="FFFF0000"/>
        <rFont val="Calibri"/>
        <family val="2"/>
        <charset val="204"/>
        <scheme val="minor"/>
      </rPr>
      <t xml:space="preserve"> На данных Закзачика из модельной базы</t>
    </r>
  </si>
  <si>
    <t>При необходимости может быть заменена на альтернативные способы обучения (Вебинары, видео-инструкции, индивидуальное обучение ключевых пользоватлеей и т.д.)</t>
  </si>
  <si>
    <r>
      <t xml:space="preserve">Фаза 6. Ввод в ОЭ </t>
    </r>
    <r>
      <rPr>
        <b/>
        <sz val="11"/>
        <color rgb="FFFF0000"/>
        <rFont val="Calibri"/>
        <family val="2"/>
        <charset val="204"/>
        <scheme val="minor"/>
      </rPr>
      <t>(или ОПЭ)</t>
    </r>
  </si>
  <si>
    <r>
      <t xml:space="preserve">Фаза 7 Поддержка в ходе ОЭ </t>
    </r>
    <r>
      <rPr>
        <b/>
        <sz val="11"/>
        <color rgb="FFFF0000"/>
        <rFont val="Calibri"/>
        <family val="2"/>
        <charset val="204"/>
        <scheme val="minor"/>
      </rPr>
      <t>(или ОПЭ)</t>
    </r>
  </si>
  <si>
    <t>Заявлены особенности:
1. Участие СБ в приемке системы
2. Другие мероприятия по приемке ИС (ПСИ, Предварительные испытания, Стабилизация и т.д.)
3. НИ в коем случае не соглашаться на отчетный документ "Акт ввода ИС в ПЭ" заменять на "Акт готовности к вводы в ПЭ"</t>
  </si>
  <si>
    <r>
      <t>3. НИ в коем случае не соглашаться на отчетный документ "Акт ввода ИС в ПЭ" заменять на "Акт готовности к вводы в ПЭ"</t>
    </r>
    <r>
      <rPr>
        <b/>
        <sz val="11"/>
        <color theme="1"/>
        <rFont val="Calibri"/>
        <family val="2"/>
        <charset val="204"/>
        <scheme val="minor"/>
      </rPr>
      <t xml:space="preserve">
К обсуждению</t>
    </r>
    <r>
      <rPr>
        <sz val="11"/>
        <color theme="1"/>
        <rFont val="Calibri"/>
        <family val="2"/>
        <charset val="204"/>
        <scheme val="minor"/>
      </rPr>
      <t xml:space="preserve">. Мне кажется, лучше это не включать в рамки проекта, и стараться выносить в отдельный договор (Или ДС) на почасовке.
</t>
    </r>
  </si>
  <si>
    <t>НМД</t>
  </si>
  <si>
    <t>Нагрузочное</t>
  </si>
  <si>
    <t>Комментарий</t>
  </si>
  <si>
    <t>Очередь 1</t>
  </si>
  <si>
    <t>Очередь 2</t>
  </si>
  <si>
    <t>Очередь 3</t>
  </si>
  <si>
    <t>Фаза 6. Ввод в ОЭ</t>
  </si>
  <si>
    <t>Фаза 7 Поддержка в ходе ОЭ</t>
  </si>
  <si>
    <t>Фаза 1. Инициация Фаза 2 Формирование требований к ИС</t>
  </si>
  <si>
    <t>Часов на подготовку к обучению</t>
  </si>
  <si>
    <t>Часов на подготовку БД</t>
  </si>
  <si>
    <t>Инсталяция</t>
  </si>
  <si>
    <t>Загрузка НСИ</t>
  </si>
  <si>
    <t>Настройка прав доступа</t>
  </si>
  <si>
    <t>Настройка рабочих мест</t>
  </si>
  <si>
    <t>Часов на подготовку РД</t>
  </si>
  <si>
    <t>Этап вкл в Совместный запуск</t>
  </si>
  <si>
    <t>Этап вкл в Кейс-проект</t>
  </si>
  <si>
    <t>Ввод в ОПЭ Часов</t>
  </si>
  <si>
    <t>ОПЭ Часов</t>
  </si>
  <si>
    <t>Кейс</t>
  </si>
  <si>
    <t>Совместный Запуск</t>
  </si>
  <si>
    <t xml:space="preserve">1 Очередь </t>
  </si>
  <si>
    <t xml:space="preserve">2 Очередь </t>
  </si>
  <si>
    <t xml:space="preserve">3 Очередь </t>
  </si>
  <si>
    <t>Итого оценка</t>
  </si>
  <si>
    <t>Часов на подготовку БД База</t>
  </si>
  <si>
    <t>Часов на подготовку РД База</t>
  </si>
  <si>
    <t>ПРОФ/КОРП</t>
  </si>
  <si>
    <t>Работы</t>
  </si>
  <si>
    <t>Описание бизнес-процессов "As-Is"</t>
  </si>
  <si>
    <t>Описание бизнес-процессов "To Be"</t>
  </si>
  <si>
    <t>Разработка положения по бюджетирвоанию</t>
  </si>
  <si>
    <t>Разработка регламента проектного управления</t>
  </si>
  <si>
    <t>Разработка методики….</t>
  </si>
  <si>
    <t>Разработка устава проекта</t>
  </si>
  <si>
    <t>Gap анализ функциональных требований</t>
  </si>
  <si>
    <t>Прототипирование</t>
  </si>
  <si>
    <t>Формирование концепции реализации Системы</t>
  </si>
  <si>
    <t>Разработка Технического задания на внедрение</t>
  </si>
  <si>
    <t>Подготовка данных для моделирования</t>
  </si>
  <si>
    <t>Моделирование на типовой системе на данных предоставленных Заказчиком</t>
  </si>
  <si>
    <t>Разработка контрольного примера</t>
  </si>
  <si>
    <t>Подготовка Демо-стенда</t>
  </si>
  <si>
    <t>Обследование используемых информационных систем</t>
  </si>
  <si>
    <t>Разработка отчета о проектировании информационной системы</t>
  </si>
  <si>
    <t>Сборка конфигурации с проектными решениями/Доп. Модулями</t>
  </si>
  <si>
    <t>Разработка технического проекта</t>
  </si>
  <si>
    <t>Написание частных технических заданий на доработки</t>
  </si>
  <si>
    <t>Написание частных технических заданий на Интеграции</t>
  </si>
  <si>
    <t>Разработка запросов на изменение смежных систем</t>
  </si>
  <si>
    <t>Доработка Типового ПП по ЧТЗ</t>
  </si>
  <si>
    <t>Разработка механизмов интеграции со смежными системами</t>
  </si>
  <si>
    <t>Разработка механизмов миграции начальных данных</t>
  </si>
  <si>
    <t>Разработка уникальных форм отчетности</t>
  </si>
  <si>
    <t>Разработка программы и методики испытаний</t>
  </si>
  <si>
    <t>Проведение предварительных испытаний по выполненным доработкам</t>
  </si>
  <si>
    <t>Проведение приемо-сдаточных испытаний</t>
  </si>
  <si>
    <t>Актуализация проектной документации по результатам разработки</t>
  </si>
  <si>
    <t>Разработка матрицы прав доступа</t>
  </si>
  <si>
    <t>Тестовый обмен между интегрированными системами</t>
  </si>
  <si>
    <t>Подготовка эталонной информационной базы</t>
  </si>
  <si>
    <t>Разработка и согласование сценариев нагрузочного тестирования с выделением ключевых операций</t>
  </si>
  <si>
    <t>Создание тестовых обработок</t>
  </si>
  <si>
    <t>Проведение нагрузочного тестирования на Эталонном (либо целевом) оборудовании</t>
  </si>
  <si>
    <t>Обработка результатов нагрузочного тестирования на Эталонном (либо целевом) оборудовании</t>
  </si>
  <si>
    <t>Настройка сбора замеров производительности APDEX</t>
  </si>
  <si>
    <t>Формирование рекомендация по настройке/организации инфраструктуры</t>
  </si>
  <si>
    <t>Формирование рекомендаций по оптимизации окда</t>
  </si>
  <si>
    <t>Оптимизация кода</t>
  </si>
  <si>
    <t>Инсталляция системы и настройка параметров учета</t>
  </si>
  <si>
    <t>Загрузка предоставленной Нормативно-справочной информации</t>
  </si>
  <si>
    <t>Загрузка начальных данных по проектам</t>
  </si>
  <si>
    <t>Загрузка начальных данных по Заработной плате</t>
  </si>
  <si>
    <t>Загрузка начальных остатков по БУ</t>
  </si>
  <si>
    <t>Загрузка начальных данных по Складу</t>
  </si>
  <si>
    <t>Загрузка начальных данных по Подсистеме______________</t>
  </si>
  <si>
    <t>Настройка прав доступа для 4-х бизнес-ролей пользователей</t>
  </si>
  <si>
    <t>Настройка интерфейса "Рабочий стол" и "Избранное" в "Программе" для 4-х бизнес-ролей пользователей</t>
  </si>
  <si>
    <t>Разработка Инструкции пользователей по ролям</t>
  </si>
  <si>
    <t>Дополнительное оформление описания работы пользователей</t>
  </si>
  <si>
    <t>Запись обучающих видео-роликов</t>
  </si>
  <si>
    <t>Подготовка программы, материалов для слушателей</t>
  </si>
  <si>
    <t>Обучение Администраторов и Специалистов по внедрению Заказчика</t>
  </si>
  <si>
    <t>Обучение конечных пользователей</t>
  </si>
  <si>
    <t>Консультации пользователей по подготовке к вводу в опытную эксплуатацию</t>
  </si>
  <si>
    <t>Консультации пользователей по работе в системе в ходе ввода в опытную опытную эксплуатацию</t>
  </si>
  <si>
    <t>Консультации пользователей по работе в системе в ходе опытной эксплуатации</t>
  </si>
  <si>
    <t>Требует привлечения субподряда к оценке</t>
  </si>
  <si>
    <t>Разработка прочей документации</t>
  </si>
  <si>
    <t>Результаты</t>
  </si>
  <si>
    <t>Формирование реестра процессов верхнего уровня</t>
  </si>
  <si>
    <t>1. Схемы описания бизнес-процессов до уровня процедур в стандартной нотации описания бизнес-процессов.
2. Расшифровка схем бизнес-процессов в табличном виде (Входы, выходы, краткое содержание процесса, исполнители и ответсвенные по процессам)</t>
  </si>
  <si>
    <t>Разработка плана перехода от процессов AS-IS к TO-BE</t>
  </si>
  <si>
    <t>?</t>
  </si>
  <si>
    <t>1. Модель бюджетных форм в формате MS Excel
2. Документ "Положение по бюджетированию" в формате MS Word, содержащий:
   а. перечень и правила формирвоания бюджетных форм до уровня статей бюджетов; 
   б. Описание бюджетного процесса</t>
  </si>
  <si>
    <t>1. Карта проводок
2. Учетная политика по УУ</t>
  </si>
  <si>
    <t>Разработка учетной политики по УУ</t>
  </si>
  <si>
    <t>Проведение установочной встречи</t>
  </si>
  <si>
    <t>1. Протокол установочной встречи
2. Содержание проекта</t>
  </si>
  <si>
    <t>1. Устав проекта</t>
  </si>
  <si>
    <t>Формирование функциональных требований в привязке к автоматизируемым процессам</t>
  </si>
  <si>
    <t>1. Документ "Функциональные требвоания" в формате MS Word, либо MS Excel</t>
  </si>
  <si>
    <t>1. Таблица в формате MS Excel, содержащая меппинг функциональных требований к ИС на объекты типового ПП, с указанием степени реализации (Реализовано полностью/Требует доработки/Не реализован/Не реализуемо)</t>
  </si>
  <si>
    <t>1. Документ "Отчет об обследовании используемых информационных систем", содержащий:
    а. Перечень используемых ИС
    б. Краткое описание назначения ИС, состояния готовности ИС и автоматизированных бизнес-процессов.
    в. Концептуальная схема, описывающая планируемые потоки обмена данными Разрабатываемой ИС с импользуемыми на момент обследования, и требования пользователей к их реализации</t>
  </si>
  <si>
    <t>1. Документ "Концепция реализации ИС" по формату, согласованному с Заказчиком</t>
  </si>
  <si>
    <t>1. Документ "Техническое задание на разработку и внедрение ИС"</t>
  </si>
  <si>
    <t>1. Тестовые данные для формирования сквозного примера работы в ИС в фогласованном формате</t>
  </si>
  <si>
    <t>1. Поставка конфигурации ПП с включенным в нее дополнительным модулем (Проектным решением) в формате *.cf; *.cfu</t>
  </si>
  <si>
    <t>1. Прототипы не типовых экранных форм (В конфигурации демо-базы без реализованного функционала обработки данных, либо в графическом формате)</t>
  </si>
  <si>
    <t>1. Демо база на базе типового ПП с внесенными тестовыми данными предоставленными заказчиком.
2. Описание сценария действий пользователя в согласованном формате
3. Реестр выявленных доработок</t>
  </si>
  <si>
    <t>1. Демо база на базе типового ПП с внесенным контрольным примером</t>
  </si>
  <si>
    <t>1. Документ "Отчет о проектировании ИС" содержащий:
   а. описание согласованного сценария действий пользователей в виде схем и текстового описания по шагам сценария
   б. Реестр выявленных доработок в привязке к шагам сценария 
   в. Схему потоков данных со смежными ИС уточненную по результатам проектирвоания
   г. Описание источников и способов миграции данных
   в. Перечень необходимых для разработки и внедрения ИС методических материалов</t>
  </si>
  <si>
    <t>Таблица в формате MS Excel с описанием необходимых для разработки и настройки профилей прав доступа, и указанием требований к доступу к информации (Просмотр, чтение, запись) в разрезе шагов сценария</t>
  </si>
  <si>
    <t>1. Набор ЧТЗ, содержащих:
   а. Перечень реализуемых пользовательских требвоаний, и требований к доработкам
   б. Краткий сценарий действий пользователя по шагам с указанием используемых объектов ИС
   в. Описание концепции необходимых доработок
   г. Описание требуемых модицикаций конфигурации в разрезе объектов метаданных.</t>
  </si>
  <si>
    <t>1. Набор Запросов на изменение смежных систем (ЗНИ) содержащих:
   а. Перечень реализуемых пользовательских требвоаний, и требований к доработкам
   б. Краткий сценарий действий пользователя по шагам с указанием используемых объектов ИС</t>
  </si>
  <si>
    <t xml:space="preserve">Пакет документов "Технический проект" в составе:
1. Сценарий???? (Описание используемых типовых возможностйей системы)
2. Набор ЧТЗ (Проектных решений на доработки)
3. Пояснительная записка
4. Что еще  и какие тандартные требования?
</t>
  </si>
  <si>
    <t>1. Доработанная конфигурация ПП в формате *.cf;*,cfu</t>
  </si>
  <si>
    <t xml:space="preserve">1. Разрабоанные механизмы миграции в формате:
   а. Доработанная конфигурация ИС *.cf;*,cfu
   б. Внешние обработки
   в. Прочие механизмы </t>
  </si>
  <si>
    <t>1. Проведено сквозное тестирование по всем выполненным доработкам</t>
  </si>
  <si>
    <t>1. Сценарий действий пользователей
2. Пакет ЧТЗ
3. Прочая документаци по запросу</t>
  </si>
  <si>
    <t>Документ "Программа и методика Испытаний"</t>
  </si>
  <si>
    <t>Настройка тестового контура ИС для проведения приемо-сдаточных испытаний</t>
  </si>
  <si>
    <t>1. База данных в тестовом контуре Заказчика с выполненными настройками, перенесенными данными, готовая для проведения ПСИ</t>
  </si>
  <si>
    <t>1. Протокол проведения ПСИ</t>
  </si>
  <si>
    <t>1. Набор ЧТЗ, содержащих:
   а. Перечень объектов пользовательского интерфейса (Документы, справочники) к обмену с указанием базы источника и кратким описание принципов обмена
   б. Перечень требуемых  модицикаций смежных ИС.</t>
  </si>
  <si>
    <t xml:space="preserve">1. Разрабоанные механизмы Интеграций в формате:
   а. Правила обмена в универсальном формате
   б. Механизмы транспорта данных (Web-сервисы или другие)
   в. Внешние обработки по чтению и записи данный в случае с обменом с ИС на базе ПП других вендоров
   в. Прочие механизмы </t>
  </si>
  <si>
    <t>1. База данных, развернутая в тестовом конутре с настроенными механизмами обмена.</t>
  </si>
  <si>
    <t>1. База данных развернутая на тестируемом оборудовании Заказчика</t>
  </si>
  <si>
    <t>1. Документ "Сценарии нагрузочного тестирования со списком ключевых операций"</t>
  </si>
  <si>
    <t>1. Пакет тестовых обработок для использования … тест-центр (Надо сформулировать корректно</t>
  </si>
  <si>
    <t>1. Документ "Протокол нагрузочного тестирования"
2. Какой-то журнал для анализа результатов тестирования????</t>
  </si>
  <si>
    <t>1. База данных развернутая в продуктивном контуре Заказчика с настроенными параметрами учета в соответствии со сценарием действий пользвоателя</t>
  </si>
  <si>
    <t>1. База данных развернутая в продуктивном контуре Заказчика с загруженной в нее Нормативно-справочной информацией, предоставленной Заказчиком</t>
  </si>
  <si>
    <t>1. База данных развернутая в продуктивном контуре Заказчика с настроенными профилями доступа пользователя в соответсвии с перечнем бизнес-ролей, согласованном в Сценарии действий пользователей</t>
  </si>
  <si>
    <t>1. База данных развернутая в продуктивном контуре Заказчика с настроенными интерфейсами пользователей в соответствии с  необходимыми действиями, бихнес-ролей Заказчикасогласно Сценарию действий пользователей</t>
  </si>
  <si>
    <t>1. Пакет документов "Инструкции пользователей" в  соответсвии с перечнем бизнес-ролей, согласованном в Сценарии действий пользователей</t>
  </si>
  <si>
    <t>Разработка Инструкции Администратора ИС</t>
  </si>
  <si>
    <t>1. Документ "Инструкция Администратора ИС" описывающий настройки, ИС в соответсвии со Сценарием действий пользователей, а также порядок ведения НСИ</t>
  </si>
  <si>
    <t>1. Пакет видеороликов с видео-инструкциями по прохождению сценария действий пользователей</t>
  </si>
  <si>
    <t>1. Документ "Инструкция пользователей" в  соответсвии с перечнем бизнес-ролей, и базовым Сценарием действий пользователей</t>
  </si>
  <si>
    <t>Содержание проекта</t>
  </si>
  <si>
    <t>Название проекта</t>
  </si>
  <si>
    <t>Кол-во пользователей</t>
  </si>
  <si>
    <t>Краткое описание профиля</t>
  </si>
  <si>
    <t>Администратор</t>
  </si>
  <si>
    <t>Администратор НСИ проектного офиса</t>
  </si>
  <si>
    <t>Назначается пользователю, если ему необходимо выполнять административные функции в рамках проектного контура (ввод нормативно-справочной информации)</t>
  </si>
  <si>
    <t>Руководители проектного офиса</t>
  </si>
  <si>
    <t>Назначается пользователю, который является руководителем проектного офиса, с правом утверждения проектов, правами руководителя проектов и/или подразделений (с доступом к финансовой информации) и правами ввода нормативно-справочной информации;</t>
  </si>
  <si>
    <t>Руководитель проектов и/или подразделений (с доступом к финансовой информации)</t>
  </si>
  <si>
    <t>Назначается пользователю, который является руководителем, администратором проектов или начальником подразделения с правом ввода структуры проекта, планирования трудозатрат, назначением исполнителей, планирования и учету фактических объемов, доходов, расходов и ДДС</t>
  </si>
  <si>
    <t>Руководитель проектов и/или подразделений (без доступа к финансовой информации)</t>
  </si>
  <si>
    <t>Назначается пользователю, который является руководителем, администратором проектов или начальником подразделения с правом ввода структуры проекта, планирования трудозатрат, назначения исполнителей, регистрации выполненного объема и фактических затрат материальных ресурсов</t>
  </si>
  <si>
    <t>Исполнители работ</t>
  </si>
  <si>
    <t>Дает пользователю право работать с проектными заданиями, вводить информацию в систему по работам на проектах (документ «Распределение рабочего времени за неделю», «Табель учета рабочего времени») и получать отчетность по плановым и фактическим трудозатратам по проектным задачам, по которым пользователь является исполнителем;</t>
  </si>
  <si>
    <t>Экономист проектного офиса</t>
  </si>
  <si>
    <t>Назначается пользователю, который является администратором проектов или начальником подразделения с правом ввода фактических объемов, доходов, расходов и ДДС и формирования производственной программы из имеющихся проектов.</t>
  </si>
  <si>
    <t>Очередь для оценки</t>
  </si>
  <si>
    <t>ФИО, Должность</t>
  </si>
  <si>
    <t>Внедрение 1С:ERP+PM в ПАО "_____________"</t>
  </si>
  <si>
    <t>Ожидаемый Заказчиком срок внедрения по очередям</t>
  </si>
  <si>
    <t>Профиль предназначен для: 
•	настройки параметров работы и обслуживания информационной системы,
•	настройки прав доступа других пользователей,
•	удаления помеченных объектов,
•	в редких случаях для внесения изменений в конфигурацию.
Рекомендуется не использовать для «обычной» работы в информационной системе.</t>
  </si>
  <si>
    <t>Бизнес-роль (должность)</t>
  </si>
  <si>
    <t>Описать ожидаемые полномочия роли</t>
  </si>
  <si>
    <t>Свои варианты (вписать):</t>
  </si>
  <si>
    <t>Выбор из списка (выбрать):</t>
  </si>
  <si>
    <t>Бизнес-потребность</t>
  </si>
  <si>
    <t>Очередь 1: январь 2022-декабрь 2022
Очередь 2: январь 2023-октябрь 2023
Очередь 3: январь 2024-август 2024</t>
  </si>
  <si>
    <t>Очередь 1 "Запуск календарного планирования"
Очередь 2 "____________________________"
Очередь 3 "____________________________"</t>
  </si>
  <si>
    <t>Текстовые комментарии</t>
  </si>
  <si>
    <t>Дата заполнения и согласования Содержания проекта</t>
  </si>
  <si>
    <t>Предпосылки</t>
  </si>
  <si>
    <t>Отсутствие информации о текущем состоянии работ по проектам</t>
  </si>
  <si>
    <r>
      <t xml:space="preserve">Руководитель проекта </t>
    </r>
    <r>
      <rPr>
        <i/>
        <sz val="11"/>
        <color theme="1"/>
        <rFont val="Calibri"/>
        <family val="2"/>
        <charset val="204"/>
        <scheme val="minor"/>
      </rPr>
      <t>со стороны Заказчика</t>
    </r>
  </si>
  <si>
    <r>
      <t xml:space="preserve">Куратор проекта </t>
    </r>
    <r>
      <rPr>
        <i/>
        <sz val="11"/>
        <color theme="1"/>
        <rFont val="Calibri"/>
        <family val="2"/>
        <charset val="204"/>
        <scheme val="minor"/>
      </rPr>
      <t>со стороны Заказчика</t>
    </r>
  </si>
  <si>
    <t>Увеличившаяся трудоемкость/невозможность управления проектами в связи с возросшим числом проектов</t>
  </si>
  <si>
    <r>
      <t>Предпосылки</t>
    </r>
    <r>
      <rPr>
        <b/>
        <sz val="9"/>
        <color theme="1"/>
        <rFont val="Calibri"/>
        <family val="2"/>
        <charset val="204"/>
        <scheme val="minor"/>
      </rPr>
      <t xml:space="preserve"> (что сейчас не так - указываются факторы, которые мешают достигнуть бизнес-потребностей, а также история и проблематика, приведшие к идее старта проекта)</t>
    </r>
  </si>
  <si>
    <r>
      <t>Бизнес потребность</t>
    </r>
    <r>
      <rPr>
        <b/>
        <sz val="9"/>
        <color theme="1"/>
        <rFont val="Calibri"/>
        <family val="2"/>
        <charset val="204"/>
        <scheme val="minor"/>
      </rPr>
      <t xml:space="preserve"> (для чего реализуется проект, желательно, с конкретными измеримыми показателями)</t>
    </r>
  </si>
  <si>
    <t>Центральный офис</t>
  </si>
  <si>
    <t>Удаленные офисы без необходимости командировок (перечислить)</t>
  </si>
  <si>
    <t>Удаленные офисы с необходимостью командировок (перечислить)</t>
  </si>
  <si>
    <t>В каком офисе</t>
  </si>
  <si>
    <t>Типовой/Не типовой профиль</t>
  </si>
  <si>
    <t>Матрица пользователей</t>
  </si>
  <si>
    <t>Ожидаемый или предельный бюджет проекта</t>
  </si>
  <si>
    <t>Комментарий к оценке бюджета</t>
  </si>
  <si>
    <t>Оцениваем следующие варианты внедрений: …............</t>
  </si>
  <si>
    <t>____________,00 рублей</t>
  </si>
  <si>
    <r>
      <t>Организационный объем проекта</t>
    </r>
    <r>
      <rPr>
        <b/>
        <sz val="9"/>
        <color theme="1"/>
        <rFont val="Calibri"/>
        <family val="2"/>
        <charset val="204"/>
        <scheme val="minor"/>
      </rPr>
      <t xml:space="preserve"> (Если предполагается пилотный запуск на ограниченном орг.объеме, необходимо отдельно указать орг. объем такого запуска)</t>
    </r>
  </si>
  <si>
    <t>Критерии успешности проекта</t>
  </si>
  <si>
    <t>Все проекты введены в систему</t>
  </si>
  <si>
    <t>Графики всех проектов ведутся и актуализируются</t>
  </si>
  <si>
    <t>Отказ от действующей системы (указать название в поле "Текстовый комментарий")</t>
  </si>
  <si>
    <t>Методические результаты</t>
  </si>
  <si>
    <r>
      <t>Методические результаты</t>
    </r>
    <r>
      <rPr>
        <b/>
        <sz val="9"/>
        <color theme="1"/>
        <rFont val="Calibri"/>
        <family val="2"/>
        <charset val="204"/>
        <scheme val="minor"/>
      </rPr>
      <t xml:space="preserve"> (Если в рамки проекта не должна входить разработка методических документов, это необходимо явно указать)</t>
    </r>
  </si>
  <si>
    <t>Не ожидается методической работы и результатов</t>
  </si>
  <si>
    <t>Описание бизнес-процессов</t>
  </si>
  <si>
    <t>Разработка отраслевых методик</t>
  </si>
  <si>
    <t>Документация к ИС</t>
  </si>
  <si>
    <t>Функциональные требования к ИС</t>
  </si>
  <si>
    <t>Частные технические задания на доработки системы</t>
  </si>
  <si>
    <t>Матрица прав доступа</t>
  </si>
  <si>
    <t>Сертификаты о прохождении обучения</t>
  </si>
  <si>
    <r>
      <t>Документация к информационной системе</t>
    </r>
    <r>
      <rPr>
        <b/>
        <sz val="9"/>
        <color theme="1"/>
        <rFont val="Calibri"/>
        <family val="2"/>
        <charset val="204"/>
        <scheme val="minor"/>
      </rPr>
      <t xml:space="preserve"> (указываются ключевые, с точки зрения Заказчика, результаты проекта)</t>
    </r>
  </si>
  <si>
    <r>
      <t>Обученные пользователи</t>
    </r>
    <r>
      <rPr>
        <b/>
        <sz val="9"/>
        <color theme="1"/>
        <rFont val="Calibri"/>
        <family val="2"/>
        <charset val="204"/>
        <scheme val="minor"/>
      </rPr>
      <t xml:space="preserve"> (если предполагается силами Исполнителя обучение только ключевых пользователей, а все пользователи обучаются Заказчиком это необходимо указать)</t>
    </r>
  </si>
  <si>
    <r>
      <t>Ожидаемые ключевые вехи проекта</t>
    </r>
    <r>
      <rPr>
        <b/>
        <sz val="9"/>
        <color theme="1"/>
        <rFont val="Calibri"/>
        <family val="2"/>
        <charset val="204"/>
        <scheme val="minor"/>
      </rPr>
      <t xml:space="preserve"> (ключевые контрольные точки проекта, означающие для Заказчика получение какого-либо промежуточного, но имеющего ценность результата)</t>
    </r>
  </si>
  <si>
    <t>Дата вехи</t>
  </si>
  <si>
    <t>Ключевые вехи</t>
  </si>
  <si>
    <t>Поставлено ПО</t>
  </si>
  <si>
    <t>Обучены пользователи</t>
  </si>
  <si>
    <t>Система введена в тестовую эксплуатацию</t>
  </si>
  <si>
    <t>В системе сформирован годовой бизнес-план на следующий год</t>
  </si>
  <si>
    <t>В систему внесены все проекты</t>
  </si>
  <si>
    <t>В системе пройден пилотный проект</t>
  </si>
  <si>
    <t>Предположения/допущения</t>
  </si>
  <si>
    <t>Необходимо предложить вариант реализации задач проекта максимально типовым функционалом с возможностью изменения принятых на предприятии процессов планирования и управления проектами для целей минимизации доработок типовой системы 1С:ERP+PM</t>
  </si>
  <si>
    <t>Заказчик выделяет исполнителей для организации обучения пользователей ИС и первой линии поддержки пользователей на весь период проекта</t>
  </si>
  <si>
    <t>Внедрение производится поэтапно, по очередям</t>
  </si>
  <si>
    <t>Все отчетные формы, используемые на предприятии Заказчика, будут адаптированы под возможности типовой отчетности внедряемой системы</t>
  </si>
  <si>
    <t>Бизнес-процессы Заказчика будут адаптированы под возможности внедряемой типовой ИС</t>
  </si>
  <si>
    <t>Необходимо организовать минимальный уровень двойного ввода данных в систему</t>
  </si>
  <si>
    <t>В ходе проекта внедрения необходимо организовать ввод данных по всем текущим проектам</t>
  </si>
  <si>
    <t>Полностью заменяемые системы (вписать)</t>
  </si>
  <si>
    <t>Частично заменяемые системы (вписать)</t>
  </si>
  <si>
    <t>Интегрируемые системы (вписать)</t>
  </si>
  <si>
    <t>Ограничения и исключения (рамки) проекта</t>
  </si>
  <si>
    <t>В рамки проекта не входит разработка нормативно-методической документации</t>
  </si>
  <si>
    <t>В рамках проекта предполагается, что Заказчик обеспечит выполнение сценариев работы в системе в рамках действующих на предприятии бизнес-процессов</t>
  </si>
  <si>
    <t>В рамки проекта не входит описание и оптимизация всех бизнес-процессов Заказчика</t>
  </si>
  <si>
    <r>
      <t>Предположения/допущения</t>
    </r>
    <r>
      <rPr>
        <b/>
        <sz val="9"/>
        <color theme="1"/>
        <rFont val="Calibri"/>
        <family val="2"/>
        <charset val="204"/>
        <scheme val="minor"/>
      </rPr>
      <t xml:space="preserve"> (факторы, рассматриваемые как «справедливые» в целях планирования проекта, на которых основывается технология и оценка внедрения)</t>
    </r>
  </si>
  <si>
    <t>Риски проекта</t>
  </si>
  <si>
    <t>Риски</t>
  </si>
  <si>
    <t>Прекращение финансирования</t>
  </si>
  <si>
    <t>Смена ответственных лиц с обеих сторон</t>
  </si>
  <si>
    <t>Срыв сроков вследствии не оперативной приемки выполненных работ</t>
  </si>
  <si>
    <t>Несвоевременное авансирования и окончательная оплата работ</t>
  </si>
  <si>
    <t>Отсутствие необходимой нормативно-методической документации</t>
  </si>
  <si>
    <t>Сопротивление пользователей</t>
  </si>
  <si>
    <r>
      <t>1.Обоснование проекта</t>
    </r>
    <r>
      <rPr>
        <sz val="12"/>
        <color theme="1"/>
        <rFont val="Calibri"/>
        <family val="2"/>
        <charset val="204"/>
        <scheme val="minor"/>
      </rPr>
      <t xml:space="preserve"> </t>
    </r>
    <r>
      <rPr>
        <i/>
        <sz val="12"/>
        <color theme="1"/>
        <rFont val="Calibri"/>
        <family val="2"/>
        <charset val="204"/>
        <scheme val="minor"/>
      </rPr>
      <t>(потребности, предпосылки)</t>
    </r>
  </si>
  <si>
    <t>Выравнивание загрузки исполнителей производственных подразделений. Целевой уровень перегруза/простаивания не более X%</t>
  </si>
  <si>
    <t>Уменьшение штрафных санкций на X% за счет своевременного выявление задержек и исключение срыва сроков благодаря оперативного привлечения субподряда</t>
  </si>
  <si>
    <t>Снижение издержек на обслуживание/сопровождения множества информационных систем</t>
  </si>
  <si>
    <t>Увеличение выработки предприятия/подразделений на X%</t>
  </si>
  <si>
    <t>Большое число несвязанных ИС</t>
  </si>
  <si>
    <r>
      <t>Обученные пользователи</t>
    </r>
    <r>
      <rPr>
        <sz val="11"/>
        <color theme="1"/>
        <rFont val="Calibri"/>
        <family val="2"/>
        <charset val="204"/>
        <scheme val="minor"/>
      </rPr>
      <t xml:space="preserve"> силами Заказчика (вписать число)</t>
    </r>
  </si>
  <si>
    <r>
      <t>Обученные пользователи</t>
    </r>
    <r>
      <rPr>
        <sz val="11"/>
        <color theme="1"/>
        <rFont val="Calibri"/>
        <family val="2"/>
        <charset val="204"/>
        <scheme val="minor"/>
      </rPr>
      <t xml:space="preserve"> силами Исполнителя (оставить общее число или вписать требуемое)</t>
    </r>
  </si>
  <si>
    <t>3.Резюме проекта</t>
  </si>
  <si>
    <t>4.Цели, задачи и результаты проекта (критерии выполнения проекта)</t>
  </si>
  <si>
    <t>Заполняется функциональный объем внедрения в разрезе Очередей на отдельном листе</t>
  </si>
  <si>
    <r>
      <t>2.Заполнить функциональную спецификацию</t>
    </r>
    <r>
      <rPr>
        <i/>
        <sz val="12"/>
        <color rgb="FFFF0000"/>
        <rFont val="Calibri"/>
        <family val="2"/>
        <charset val="204"/>
        <scheme val="minor"/>
      </rPr>
      <t xml:space="preserve"> (отдельный лист "2.ФС для Заполнения")</t>
    </r>
  </si>
  <si>
    <t>Требования к нотации и инструменту описания БП</t>
  </si>
  <si>
    <t>Наличие лицензии ФСБ</t>
  </si>
  <si>
    <t>Обязательное присутствие в офисе Заказчика</t>
  </si>
  <si>
    <t>Технология реализации проекта и существенные результаты</t>
  </si>
  <si>
    <t>Особый инструмент протоколирования встреч и рабочей среды проекта</t>
  </si>
  <si>
    <r>
      <t>Особые требования Заказчика к выполнению и результатам проекта</t>
    </r>
    <r>
      <rPr>
        <b/>
        <sz val="9"/>
        <color theme="1"/>
        <rFont val="Calibri"/>
        <family val="2"/>
        <charset val="204"/>
        <scheme val="minor"/>
      </rPr>
      <t xml:space="preserve"> (ввести значения и дополнить, при необходимости)</t>
    </r>
  </si>
  <si>
    <t>в т.ч. В регионах (с командировкой)</t>
  </si>
  <si>
    <t>Введен пилотный проект/проекты (часто не все проекты в ходе опытной вводятся, либо вообще изначально только на пилоты распространяется первый проект)</t>
  </si>
  <si>
    <t>Формирование отчета/дашборда о себестоимости проектов из системы</t>
  </si>
  <si>
    <t>Предполагаемый подход к внедрению</t>
  </si>
  <si>
    <t>Подход к внедрению</t>
  </si>
  <si>
    <t>ПРОФ-проект</t>
  </si>
  <si>
    <t>Старт/Почасовка</t>
  </si>
  <si>
    <t>Актуализация всей документации или частично по результатам внедрения</t>
  </si>
  <si>
    <t>Оформление документации по ГОСТ или внутренним регламентам Заказчика (Если "Да", необходимо предоставить перечень и шаблоны)</t>
  </si>
  <si>
    <t>Особые требования к проведению встреч (очно, удаленно). Если "Нет", то на усмотрение Исполнителя</t>
  </si>
  <si>
    <t>Функциональный заказчик по блоку (ФИО, должность)</t>
  </si>
  <si>
    <t>Участники формирование требований со стороны Заказчика (ФИО, должность)</t>
  </si>
  <si>
    <t>Предоставить организационную структуру Заказчика</t>
  </si>
  <si>
    <r>
      <t>6.Прочее важное</t>
    </r>
    <r>
      <rPr>
        <i/>
        <sz val="12"/>
        <color theme="1"/>
        <rFont val="Calibri"/>
        <family val="2"/>
        <charset val="204"/>
        <scheme val="minor"/>
      </rPr>
      <t xml:space="preserve"> </t>
    </r>
  </si>
  <si>
    <r>
      <t>7.Общая информация о проекте</t>
    </r>
    <r>
      <rPr>
        <i/>
        <sz val="12"/>
        <color theme="1"/>
        <rFont val="Calibri"/>
        <family val="2"/>
        <charset val="204"/>
        <scheme val="minor"/>
      </rPr>
      <t xml:space="preserve"> (заполняется в финале, после заполнения остальных разделов и функциональной спецификации)</t>
    </r>
  </si>
  <si>
    <t>5.ИТ-архитектура и инфраструктура</t>
  </si>
  <si>
    <t>Количество имеющихся лицензий на сервер 1С</t>
  </si>
  <si>
    <t>Количество имеющихся/свободных пользовательских лицензий 1С</t>
  </si>
  <si>
    <t>100/20</t>
  </si>
  <si>
    <t>Наличие собственных серверных мощностей</t>
  </si>
  <si>
    <t>Описание…</t>
  </si>
  <si>
    <t>Лицензии 1С</t>
  </si>
  <si>
    <t>Серверные мощности</t>
  </si>
  <si>
    <t>Используется 1С:Fresh или ГРМ</t>
  </si>
  <si>
    <t>Необходимость проведения нагрузочного тестирования, сайзинга или оптимизации быстродействия</t>
  </si>
  <si>
    <t>Арендованные серверные мощности/Необходимость аренды</t>
  </si>
  <si>
    <t>Нет/Нет</t>
  </si>
  <si>
    <t>Автоматизируемые виды деятельности</t>
  </si>
  <si>
    <t>Виды деятельности</t>
  </si>
  <si>
    <t>Проектирование</t>
  </si>
  <si>
    <t>Инжиниринг</t>
  </si>
  <si>
    <t>Строительство</t>
  </si>
  <si>
    <t>ИТ</t>
  </si>
  <si>
    <t>Производство</t>
  </si>
  <si>
    <t>Девелопмент</t>
  </si>
  <si>
    <t>НИОКР</t>
  </si>
  <si>
    <t>Субпродукт (выпускаемый продукт/услуга)</t>
  </si>
  <si>
    <t>Позиционирование</t>
  </si>
  <si>
    <t>Бизнес-задачи</t>
  </si>
  <si>
    <t xml:space="preserve">
</t>
  </si>
  <si>
    <t>Контролировать рентабельность проектных подразделений</t>
  </si>
  <si>
    <t>Организовать многоуровневое управление внешними корпоративными проектами от уровня холдинга до КБ и завода</t>
  </si>
  <si>
    <t>Эффективно управлять корпоративными инвестициями</t>
  </si>
  <si>
    <t>Получить единую непротиворечивую картину состояния проектов для управленческих решений</t>
  </si>
  <si>
    <t>Структурировать проектную деятельность</t>
  </si>
  <si>
    <t>Выполнять проекты по технологии в сроки</t>
  </si>
  <si>
    <t>Собрать отчетность в сроки акционерам/холдингу</t>
  </si>
  <si>
    <t>Систематизировать продажи проектов</t>
  </si>
  <si>
    <t>Синхронизировать тематический план и численность персонала</t>
  </si>
  <si>
    <t>Контролировать сроки и себестоимость Госконтактов в соответствии со структурой цены проекта</t>
  </si>
  <si>
    <t>Обеспечить увеличение денежного потока по проектам и предотвращение кассовых разрывов организации</t>
  </si>
  <si>
    <t>Должны уложиться в сроки и себестоимость. С одной стороны – планирование и выполнение, с другой – подгонка цифр. Хотят зрелого управления, но, зачастую, не обладают собранной статистикой для нормативов.</t>
  </si>
  <si>
    <t>Проекты ведутся по разному, в разных инструментах, и невозможно быстро собрать всю информацию по текущему состоянию проектов</t>
  </si>
  <si>
    <t>Нет достоверной информации (Либо информация предоставляется не своевременно) о загрузке подразделений в разрезе периодов и проектов</t>
  </si>
  <si>
    <t>Нет достоверной информации (Либо информация предоставляется не своевременно) о состоянии проектов от ДЗО/Соисполнителей/Подрядчиков.</t>
  </si>
  <si>
    <t>Длительный процесс сбора данных и формирвоания КОРП отчетности</t>
  </si>
  <si>
    <t>Нет достоверной информации о загрузке производственных подразделений с учетом всего планируемого на период объема работ</t>
  </si>
  <si>
    <t>Описание бизнес-процессов "To-Be"</t>
  </si>
  <si>
    <t>Расширенный Устав</t>
  </si>
  <si>
    <t>Концепция реализации системы</t>
  </si>
  <si>
    <t>Программа и методика испытаний</t>
  </si>
  <si>
    <t>Дополнительная рабочая документация либо специфические требования к содержанию и оформлению документации (в т.ч. 34 ГОСТ) по требованию Заказчика</t>
  </si>
  <si>
    <t>Инструкция Администратора</t>
  </si>
  <si>
    <t>Документация по Информационной безопасности</t>
  </si>
  <si>
    <t>Система разработана</t>
  </si>
  <si>
    <t>Проведены ПСИ</t>
  </si>
  <si>
    <t>Разработка положения о Документобороте</t>
  </si>
  <si>
    <t>Разработка Учетной политики</t>
  </si>
  <si>
    <t>Разработка Бюджетной модели</t>
  </si>
  <si>
    <t>Пользователей</t>
  </si>
  <si>
    <t>функц. Объем</t>
  </si>
  <si>
    <t>часов</t>
  </si>
  <si>
    <t>часов на пользователя</t>
  </si>
  <si>
    <t>Данные от 1С 18-19 год</t>
  </si>
  <si>
    <t>Группа</t>
  </si>
  <si>
    <t>Заполнено?</t>
  </si>
  <si>
    <t>СПБ</t>
  </si>
  <si>
    <t>БЕ</t>
  </si>
  <si>
    <t>Предполагаемая длительность проекта (Мес.)</t>
  </si>
  <si>
    <t>Технология</t>
  </si>
  <si>
    <t>Расчет Ставки</t>
  </si>
  <si>
    <t>№</t>
  </si>
  <si>
    <t>Наименование программного обеспечения</t>
  </si>
  <si>
    <t>Стоимость за единицу, руб.</t>
  </si>
  <si>
    <t>Количество, шт.</t>
  </si>
  <si>
    <t>Стоимость, руб.</t>
  </si>
  <si>
    <t>Дополнительные модули</t>
  </si>
  <si>
    <t>Итого программные продукты, дополнительные лицензии, дополнительные модули</t>
  </si>
  <si>
    <t>Проектные решения</t>
  </si>
  <si>
    <t>Итого, с учетом проектных решений</t>
  </si>
  <si>
    <t>ITLand: прайс-лист на программное обеспечение и курсы обучения (от 15.06.2022)</t>
  </si>
  <si>
    <t>Изменения от 15.06.2022</t>
  </si>
  <si>
    <t>Изменения от 29.04.2022</t>
  </si>
  <si>
    <r>
      <t>Изменения от 01.04.2022</t>
    </r>
    <r>
      <rPr>
        <vertAlign val="superscript"/>
        <sz val="10"/>
        <rFont val="Times New Roman"/>
        <family val="1"/>
        <charset val="204"/>
      </rPr>
      <t>(19)</t>
    </r>
  </si>
  <si>
    <t>Изменения от 17.03.2022</t>
  </si>
  <si>
    <t>Изменения от 01.10.2021</t>
  </si>
  <si>
    <t>Изменения от 02.09.2021</t>
  </si>
  <si>
    <t>Изменения от 01.07.2021</t>
  </si>
  <si>
    <t>Изменения от 01.06.2020</t>
  </si>
  <si>
    <t>Изменения от 21.05.2020</t>
  </si>
  <si>
    <t>Изменения от 01.04.2020</t>
  </si>
  <si>
    <t>Изменения от 14.10.2019</t>
  </si>
  <si>
    <t>Изменения от 19.04.2019</t>
  </si>
  <si>
    <t>Изменения от 22.12.2018</t>
  </si>
  <si>
    <t>Изменения от 30.10.2017</t>
  </si>
  <si>
    <t>Изменения от 20.09.2017</t>
  </si>
  <si>
    <t>Изменения от 12.12.2016</t>
  </si>
  <si>
    <t>Изменения от 16.11.2016</t>
  </si>
  <si>
    <t>Изменения от 13.09.2016</t>
  </si>
  <si>
    <t>Изменения от 01.08.2016</t>
  </si>
  <si>
    <t>Изменения от 06.06.2016</t>
  </si>
  <si>
    <t>Изменения от 07.04.2016</t>
  </si>
  <si>
    <t>Изменения от 12.02.2016</t>
  </si>
  <si>
    <t>Изменения от 17.12.2015</t>
  </si>
  <si>
    <t>Изменения от 08.12.2015</t>
  </si>
  <si>
    <t>Изменения от 25.09.2015</t>
  </si>
  <si>
    <t>Изменения от 14.05.2015</t>
  </si>
  <si>
    <t>Наименование</t>
  </si>
  <si>
    <r>
      <t>Цена</t>
    </r>
    <r>
      <rPr>
        <b/>
        <vertAlign val="superscript"/>
        <sz val="14"/>
        <color indexed="8"/>
        <rFont val="Times New Roman"/>
        <family val="1"/>
        <charset val="204"/>
      </rPr>
      <t>(1)</t>
    </r>
  </si>
  <si>
    <t>Рег.номер</t>
  </si>
  <si>
    <t>Добавлены ПП линейки УНФ+РМ</t>
  </si>
  <si>
    <t>Оставлены только электронные поставки</t>
  </si>
  <si>
    <t>I</t>
  </si>
  <si>
    <r>
      <t xml:space="preserve">Основные поставки программных продуктов. </t>
    </r>
    <r>
      <rPr>
        <b/>
        <i/>
        <sz val="14"/>
        <rFont val="Times New Roman"/>
        <family val="1"/>
        <charset val="204"/>
      </rPr>
      <t>Только программные.</t>
    </r>
  </si>
  <si>
    <t>Цена</t>
  </si>
  <si>
    <r>
      <t xml:space="preserve">1С:Предприятие 8. ERP+PM Управление проектной организацией 2. Электронная поставка
</t>
    </r>
    <r>
      <rPr>
        <vertAlign val="superscript"/>
        <sz val="12"/>
        <rFont val="Times New Roman"/>
        <family val="1"/>
        <charset val="204"/>
      </rPr>
      <t xml:space="preserve"> ( + КП Отраслевой 3-й категории)</t>
    </r>
  </si>
  <si>
    <t>2900001876353</t>
  </si>
  <si>
    <t>Актуализировано</t>
  </si>
  <si>
    <t>471000 с 01.11.2019</t>
  </si>
  <si>
    <t>изменения от 01.08.2016</t>
  </si>
  <si>
    <r>
      <t>1С:Предприятие 8. ERP+PM Управление проектной организацией 2, апгрейд</t>
    </r>
    <r>
      <rPr>
        <vertAlign val="superscript"/>
        <sz val="12"/>
        <rFont val="Times New Roman"/>
        <family val="1"/>
        <charset val="204"/>
      </rPr>
      <t>(7)</t>
    </r>
  </si>
  <si>
    <t>1C:PM Управление проектами. Модуль для 1С:ERP. Электронная поставка</t>
  </si>
  <si>
    <t>2900001879217</t>
  </si>
  <si>
    <t>позиция добавлена</t>
  </si>
  <si>
    <r>
      <t>1С:Предприятие 8. PM Управление проектами ПРОФ. Электронная поставка</t>
    </r>
    <r>
      <rPr>
        <vertAlign val="superscript"/>
        <sz val="12"/>
        <rFont val="Times New Roman"/>
        <family val="1"/>
        <charset val="204"/>
      </rPr>
      <t xml:space="preserve">  ( + КП Отраслевой 1-й категории)</t>
    </r>
  </si>
  <si>
    <t>2900002159981</t>
  </si>
  <si>
    <r>
      <t>1С:Предприятие 8. PM Управление проектами КОРП. Электронная поставка</t>
    </r>
    <r>
      <rPr>
        <vertAlign val="superscript"/>
        <sz val="12"/>
        <rFont val="Times New Roman"/>
        <family val="1"/>
        <charset val="204"/>
      </rPr>
      <t xml:space="preserve">  ( + КП Отраслевой 2-й категории)</t>
    </r>
  </si>
  <si>
    <t>2900002159998</t>
  </si>
  <si>
    <r>
      <rPr>
        <b/>
        <sz val="12"/>
        <rFont val="Times New Roman"/>
        <family val="1"/>
        <charset val="204"/>
      </rPr>
      <t>1С:Предприятие 8. УНФ+РМ Управление проектной фирмой. Электронная поставка</t>
    </r>
    <r>
      <rPr>
        <sz val="12"/>
        <rFont val="Times New Roman"/>
        <family val="1"/>
        <charset val="204"/>
      </rPr>
      <t xml:space="preserve">  </t>
    </r>
    <r>
      <rPr>
        <vertAlign val="superscript"/>
        <sz val="12"/>
        <rFont val="Times New Roman"/>
        <family val="1"/>
        <charset val="204"/>
      </rPr>
      <t>( + КП Отраслевой 1-й категории)</t>
    </r>
  </si>
  <si>
    <t>2900002554793</t>
  </si>
  <si>
    <t>Новая позиция</t>
  </si>
  <si>
    <r>
      <rPr>
        <b/>
        <sz val="12"/>
        <rFont val="Times New Roman"/>
        <family val="1"/>
        <charset val="204"/>
      </rPr>
      <t>1С:Предприятие 8. УНФ+РМ Управление проектной фирмой на 5 пользователей. Электронная поставка</t>
    </r>
    <r>
      <rPr>
        <sz val="12"/>
        <rFont val="Times New Roman"/>
        <family val="1"/>
        <charset val="204"/>
      </rPr>
      <t xml:space="preserve"> </t>
    </r>
    <r>
      <rPr>
        <vertAlign val="superscript"/>
        <sz val="12"/>
        <rFont val="Times New Roman"/>
        <family val="1"/>
        <charset val="204"/>
      </rPr>
      <t>( + КП Отраслевой 1-й категории)</t>
    </r>
  </si>
  <si>
    <t>2900002554809</t>
  </si>
  <si>
    <r>
      <t xml:space="preserve">1С:Облачная инфраструктура. Рабочее место 1С:Предприятие 8. УНФ+PM Управление проектной фирмой,
1 р.м./день (690 руб/мес)  </t>
    </r>
    <r>
      <rPr>
        <sz val="10"/>
        <rFont val="Times New Roman"/>
        <family val="1"/>
        <charset val="204"/>
      </rPr>
      <t>для компаний, включенных в единый реестр субъектов малого и среднего предпринимательства
(с учетом скидки 50% до 2024 года на программы фирмы «1С»).</t>
    </r>
  </si>
  <si>
    <t>+</t>
  </si>
  <si>
    <t>1С:Облачная инфраструктура. Рабочее место 1С:Предприятие 8. УНФ+PM Управление проектной фирмой,
1 р.м./день (1380 руб/мес)</t>
  </si>
  <si>
    <r>
      <t>Проектное решение «1С:Девелопмент и управление недвижимостью 2»</t>
    </r>
    <r>
      <rPr>
        <vertAlign val="superscript"/>
        <sz val="12"/>
        <rFont val="Times New Roman"/>
        <family val="1"/>
        <charset val="204"/>
      </rPr>
      <t>(16)</t>
    </r>
  </si>
  <si>
    <t>нет</t>
  </si>
  <si>
    <r>
      <t xml:space="preserve">1С:ERP+PM Управление проектной организацией. Электронная поставка для обучения в средних и высших высших и средних учебных заведениях на 20 р.м. </t>
    </r>
    <r>
      <rPr>
        <i/>
        <sz val="9"/>
        <rFont val="Times New Roman"/>
        <family val="1"/>
        <charset val="204"/>
      </rPr>
      <t>(см инфописьмо https://1c.ru/news/info.jsp?id=28727)</t>
    </r>
  </si>
  <si>
    <t>2900002452433</t>
  </si>
  <si>
    <t>Новая поставка</t>
  </si>
  <si>
    <t>1С:Документооборот 8 ПРОФ. Электронная поставка</t>
  </si>
  <si>
    <t>2900001850278</t>
  </si>
  <si>
    <t>Эл.поставка</t>
  </si>
  <si>
    <t>1С:Документооборот 8 КОРП. Электронная поставка</t>
  </si>
  <si>
    <t>2900001850285</t>
  </si>
  <si>
    <t>187'000 с 1 окт 2016</t>
  </si>
  <si>
    <t>1С:Предприятие 8. ERP Управление предприятием 2. Электронная поставка</t>
  </si>
  <si>
    <t>2900001871365</t>
  </si>
  <si>
    <t>432000 с 01.11.2019</t>
  </si>
  <si>
    <t>1С:Предприятие 8 ПРОФ. ERP Управление предприятием 2 + Документооборот КОРП. Сервер (x86-64). 50 клиентских лицензий. Электронная поставка</t>
  </si>
  <si>
    <t>2900001871372</t>
  </si>
  <si>
    <t>768000 с 01.11.2019</t>
  </si>
  <si>
    <t>1С:Управление нашей фирмой 8 ПРОФ. Электронная поставка</t>
  </si>
  <si>
    <t>2900001705240</t>
  </si>
  <si>
    <t>1С:ERP Управление предприятием 2. Корпоративная поставка. Электронная поставка</t>
  </si>
  <si>
    <t>2900001871327</t>
  </si>
  <si>
    <t>2757600  с 01.11.2019</t>
  </si>
  <si>
    <t>1С:ERP Управление предприятием 2. Лицензия для дочерних обществ и филиалов. Электронная поставка</t>
  </si>
  <si>
    <t>2900001871358</t>
  </si>
  <si>
    <t>144000  с 01.11.2019</t>
  </si>
  <si>
    <t>1С:Корпорация. Электронная поставка</t>
  </si>
  <si>
    <t>2900001871419</t>
  </si>
  <si>
    <t>изменение от 01.08.2016</t>
  </si>
  <si>
    <t>II</t>
  </si>
  <si>
    <r>
      <t>Дополнительные модули и проектные решения</t>
    </r>
    <r>
      <rPr>
        <b/>
        <vertAlign val="superscript"/>
        <sz val="14"/>
        <rFont val="Times New Roman"/>
        <family val="1"/>
        <charset val="204"/>
      </rPr>
      <t>(8)</t>
    </r>
    <r>
      <rPr>
        <b/>
        <sz val="14"/>
        <rFont val="Times New Roman"/>
        <family val="1"/>
        <charset val="204"/>
      </rPr>
      <t xml:space="preserve"> от ITLand</t>
    </r>
  </si>
  <si>
    <r>
      <t>Цена</t>
    </r>
    <r>
      <rPr>
        <b/>
        <vertAlign val="superscript"/>
        <sz val="12"/>
        <rFont val="Times New Roman"/>
        <family val="1"/>
        <charset val="204"/>
      </rPr>
      <t>(12)</t>
    </r>
  </si>
  <si>
    <t>Доп.модули к основным поставкам</t>
  </si>
  <si>
    <t>Проектное решение "Управление недвижимым имуществом" к 
"1С:Девелопмент и управление недвижимостью 2"</t>
  </si>
  <si>
    <t>Определяется по 
соответствию ПО</t>
  </si>
  <si>
    <t>Проектное решение "Математическое нормирование"</t>
  </si>
  <si>
    <t>Определена стоимость</t>
  </si>
  <si>
    <t>Разобраться</t>
  </si>
  <si>
    <t>Проектное решение "ДО:Проектный документооборот" к УПРОФ, УПО, Дев, EPM и ДО</t>
  </si>
  <si>
    <t>Проектное решение "ДО:Связанные файлы AutoCAD, ред. 1.0" к ДО</t>
  </si>
  <si>
    <t>Проектное решение "CALS: Интеграция управления структурой изделия (1С:PDM) и управления проектом (1С:УПО)" к УПРОФ, УПО, Дев, EPM</t>
  </si>
  <si>
    <t>НЕТ - Проектное решение "Управление себестоимостью гос. контрактов" к EPM2</t>
  </si>
  <si>
    <t>НЕТ - Доп. модуль "ПБУ 2/2008" к EPM2</t>
  </si>
  <si>
    <t>Проектное решение "Тендерная работа"</t>
  </si>
  <si>
    <t>? Интеграция с Битрикс24</t>
  </si>
  <si>
    <t>уточнено</t>
  </si>
  <si>
    <t>III</t>
  </si>
  <si>
    <r>
      <t xml:space="preserve">Лицензии на рабочие места, использующие проектный функционал
(для УП, УП КОРП, ERP+PM УПО 2, Модуль УПО 2). </t>
    </r>
    <r>
      <rPr>
        <b/>
        <i/>
        <sz val="14"/>
        <rFont val="Times New Roman"/>
        <family val="1"/>
        <charset val="204"/>
      </rPr>
      <t>Только программные.</t>
    </r>
    <r>
      <rPr>
        <vertAlign val="superscript"/>
        <sz val="14"/>
        <rFont val="Times New Roman"/>
        <family val="1"/>
        <charset val="204"/>
      </rPr>
      <t>(14)</t>
    </r>
  </si>
  <si>
    <t>2900001876360</t>
  </si>
  <si>
    <t>эл.поставка</t>
  </si>
  <si>
    <t>2900001876377</t>
  </si>
  <si>
    <t>2900001876384</t>
  </si>
  <si>
    <t>2900001876391</t>
  </si>
  <si>
    <t>2900001876407</t>
  </si>
  <si>
    <t>2900001876438</t>
  </si>
  <si>
    <t>2900001876445</t>
  </si>
  <si>
    <t>IV</t>
  </si>
  <si>
    <r>
      <t xml:space="preserve">Лицензии на ВСЕ рабочие места УНФ+PM. </t>
    </r>
    <r>
      <rPr>
        <b/>
        <i/>
        <sz val="14"/>
        <rFont val="Times New Roman"/>
        <family val="1"/>
        <charset val="204"/>
      </rPr>
      <t>Только программные.</t>
    </r>
    <r>
      <rPr>
        <vertAlign val="superscript"/>
        <sz val="14"/>
        <rFont val="Times New Roman"/>
        <family val="1"/>
        <charset val="204"/>
      </rPr>
      <t>(14)</t>
    </r>
  </si>
  <si>
    <t>2900002554816</t>
  </si>
  <si>
    <t>2900002554823</t>
  </si>
  <si>
    <t>2900002554830</t>
  </si>
  <si>
    <t>2900002554847</t>
  </si>
  <si>
    <t>VI</t>
  </si>
  <si>
    <r>
      <t>Лицензии на все рабочие места, использующие платформу 1C V8</t>
    </r>
    <r>
      <rPr>
        <vertAlign val="superscript"/>
        <sz val="14"/>
        <rFont val="Times New Roman"/>
        <family val="1"/>
        <charset val="204"/>
      </rPr>
      <t>(15)</t>
    </r>
  </si>
  <si>
    <t>4601546116697</t>
  </si>
  <si>
    <t>4601546117588</t>
  </si>
  <si>
    <t>4601546117595</t>
  </si>
  <si>
    <t>2900001833547</t>
  </si>
  <si>
    <t>2900001833554</t>
  </si>
  <si>
    <t>2900001847209</t>
  </si>
  <si>
    <t>2900002133608</t>
  </si>
  <si>
    <t>2900002133615</t>
  </si>
  <si>
    <t>4601546080875</t>
  </si>
  <si>
    <t>4601546080882</t>
  </si>
  <si>
    <t>4601546080899</t>
  </si>
  <si>
    <t>4601546080905</t>
  </si>
  <si>
    <t>4601546080912</t>
  </si>
  <si>
    <t>4601546080929</t>
  </si>
  <si>
    <t>4601546080936</t>
  </si>
  <si>
    <t>4601546080943</t>
  </si>
  <si>
    <t>4601546138071</t>
  </si>
  <si>
    <t>4601546138088</t>
  </si>
  <si>
    <t>4601546138095</t>
  </si>
  <si>
    <t>4601546138101</t>
  </si>
  <si>
    <t>4601546138118</t>
  </si>
  <si>
    <t>4601546138125</t>
  </si>
  <si>
    <t>4601546138132</t>
  </si>
  <si>
    <t>4601546138149</t>
  </si>
  <si>
    <t>4601546106575</t>
  </si>
  <si>
    <t>4601546106568</t>
  </si>
  <si>
    <t>4601546106599</t>
  </si>
  <si>
    <t>4601546106582</t>
  </si>
  <si>
    <t>4601546106612</t>
  </si>
  <si>
    <t>4601546106605</t>
  </si>
  <si>
    <t>4601546106636</t>
  </si>
  <si>
    <t>4601546106629</t>
  </si>
  <si>
    <t>4601546106650</t>
  </si>
  <si>
    <t>4601546106643</t>
  </si>
  <si>
    <t>4601546106681</t>
  </si>
  <si>
    <t>4601546106674</t>
  </si>
  <si>
    <t>4601546106704</t>
  </si>
  <si>
    <t>4601546106698</t>
  </si>
  <si>
    <t>4601546106728</t>
  </si>
  <si>
    <t>4601546106711</t>
  </si>
  <si>
    <t>4601546106735</t>
  </si>
  <si>
    <t>1С:Предприятие 8.3 ПРОФ. Лицензия на сервер. Электронная поставка</t>
  </si>
  <si>
    <t>2900001833578</t>
  </si>
  <si>
    <t>1С:Предприятие 8.3 ПРОФ. Лицензия на сервер</t>
  </si>
  <si>
    <t>4601546106773</t>
  </si>
  <si>
    <t>1С:Предприятие 8.3 ПРОФ. Лицензия на сервер (USB)</t>
  </si>
  <si>
    <t>4601546138156</t>
  </si>
  <si>
    <t>1С:Предприятие 8.3 ПРОФ. Лицензия на сервер (x86-64). Электронная поставка</t>
  </si>
  <si>
    <t>2900001833585</t>
  </si>
  <si>
    <t>1С:Предприятие 8.3 ПРОФ. Лицензия на сервер (x86-64)</t>
  </si>
  <si>
    <t>4601546106780</t>
  </si>
  <si>
    <t>1С:Предприятие 8.3 ПРОФ. Лицензия на сервер (x86-64) (USB)</t>
  </si>
  <si>
    <t>4601546138064</t>
  </si>
  <si>
    <t>1С:Предприятие 8.3 КОРП. Лицензия на сервер (x86-64). Электронная поставка</t>
  </si>
  <si>
    <t>2900001916059</t>
  </si>
  <si>
    <t>1С:Предприятие 8.3 КОРП. Лицензия на сервер (x86-64)</t>
  </si>
  <si>
    <t>4601546106742</t>
  </si>
  <si>
    <t>1С:Предприятие 8.3 КОРП. Лицензия на сервер (x86-64) (USB)</t>
  </si>
  <si>
    <t>4601546106759</t>
  </si>
  <si>
    <t>Примечания к программным продуктам</t>
  </si>
  <si>
    <r>
      <rPr>
        <vertAlign val="superscript"/>
        <sz val="12"/>
        <color indexed="8"/>
        <rFont val="Times New Roman"/>
        <family val="1"/>
        <charset val="204"/>
      </rPr>
      <t>(1)</t>
    </r>
    <r>
      <rPr>
        <sz val="12"/>
        <color indexed="8"/>
        <rFont val="Times New Roman"/>
        <family val="1"/>
        <charset val="204"/>
      </rPr>
      <t>Цены в прайс-листе указаны в рублях. 
Цены НДС не облагаются, согласно пп.26 п.2 ст 149 НК РФ</t>
    </r>
  </si>
  <si>
    <r>
      <rPr>
        <vertAlign val="superscript"/>
        <sz val="12"/>
        <color indexed="8"/>
        <rFont val="Times New Roman"/>
        <family val="1"/>
        <charset val="204"/>
      </rPr>
      <t>(2)</t>
    </r>
    <r>
      <rPr>
        <sz val="12"/>
        <color indexed="8"/>
        <rFont val="Times New Roman"/>
        <family val="1"/>
        <charset val="204"/>
      </rPr>
      <t xml:space="preserve"> Апгрейд производится с "1С:Комплексная автоматизация 8", 
"1С:Предприятие 8. Управление производственным предприятием".
Запрещено проводить апгрейт с "1С:Предприятие 8. Управление производственным предприятием для 10 пользователей + клиент-сервер" (и "КА+10 польз").
См. http://solutions.1c.ru/catalog/project-org/upgrade</t>
    </r>
  </si>
  <si>
    <r>
      <rPr>
        <vertAlign val="superscript"/>
        <sz val="12"/>
        <color indexed="8"/>
        <rFont val="Times New Roman"/>
        <family val="1"/>
        <charset val="204"/>
      </rPr>
      <t>(3)</t>
    </r>
    <r>
      <rPr>
        <sz val="12"/>
        <color indexed="8"/>
        <rFont val="Times New Roman"/>
        <family val="1"/>
        <charset val="204"/>
      </rPr>
      <t xml:space="preserve"> Апгрейд производится только с Управление производственным предприятием для 10 пользователей + клиент-сервер" (Возможно, с "КА+10 польз")
См. http://solutions.1c.ru/catalog/project-org/upgrade</t>
    </r>
  </si>
  <si>
    <r>
      <rPr>
        <vertAlign val="superscript"/>
        <sz val="12"/>
        <color indexed="8"/>
        <rFont val="Times New Roman"/>
        <family val="1"/>
        <charset val="204"/>
      </rPr>
      <t>(4)</t>
    </r>
    <r>
      <rPr>
        <sz val="12"/>
        <color indexed="8"/>
        <rFont val="Times New Roman"/>
        <family val="1"/>
        <charset val="204"/>
      </rPr>
      <t xml:space="preserve"> Апгрейд производится с многих ПО. См. http://solutions.1c.ru/catalog/development/buy.
Запрещено проводить апгрейт с "1С:Предприятие 8. Управление производственным предприятием для 10 пользователей + клиент-сервер" (и "КА+10 польз").</t>
    </r>
  </si>
  <si>
    <r>
      <rPr>
        <vertAlign val="superscript"/>
        <sz val="12"/>
        <color indexed="8"/>
        <rFont val="Times New Roman"/>
        <family val="1"/>
        <charset val="204"/>
      </rPr>
      <t>(5)</t>
    </r>
    <r>
      <rPr>
        <sz val="12"/>
        <color indexed="8"/>
        <rFont val="Times New Roman"/>
        <family val="1"/>
        <charset val="204"/>
      </rPr>
      <t xml:space="preserve"> Апгрейд производится с многих ПО. См. http://solutions.1c.ru/catalog/development/buy.</t>
    </r>
  </si>
  <si>
    <r>
      <rPr>
        <vertAlign val="superscript"/>
        <sz val="12"/>
        <color indexed="8"/>
        <rFont val="Times New Roman"/>
        <family val="1"/>
        <charset val="204"/>
      </rPr>
      <t xml:space="preserve">(6) </t>
    </r>
    <r>
      <rPr>
        <sz val="12"/>
        <color indexed="8"/>
        <rFont val="Times New Roman"/>
        <family val="1"/>
        <charset val="204"/>
      </rPr>
      <t>Стоимость апгрейда составляет: стоимость приобретаемого продукта минус стоимость сдаваемого продукта плюс 150 рублей, но не менее половины стоимости приобретаемого продукта. Окончательная стоимость устанавливается фирмой "1С" после написания пользователем заявления на апгрейд</t>
    </r>
  </si>
  <si>
    <r>
      <rPr>
        <vertAlign val="superscript"/>
        <sz val="12"/>
        <color indexed="8"/>
        <rFont val="Times New Roman"/>
        <family val="1"/>
        <charset val="204"/>
      </rPr>
      <t xml:space="preserve">(7) </t>
    </r>
    <r>
      <rPr>
        <sz val="12"/>
        <color indexed="8"/>
        <rFont val="Times New Roman"/>
        <family val="1"/>
        <charset val="204"/>
      </rPr>
      <t>Стоимость апгрейда составляет: суммарная стоимость приобретаемых программных продуктов минус стоимость сдаваемого на апгрейд продукта плюс 150 руб., но не менее половины стоимости приобретаемого набора продуктов. 
Подробнее см. http://1c.ru/news/info.jsp?id=19568</t>
    </r>
  </si>
  <si>
    <r>
      <rPr>
        <vertAlign val="superscript"/>
        <sz val="12"/>
        <color indexed="8"/>
        <rFont val="Times New Roman"/>
        <family val="1"/>
        <charset val="204"/>
      </rPr>
      <t>(8)</t>
    </r>
    <r>
      <rPr>
        <sz val="12"/>
        <color indexed="8"/>
        <rFont val="Times New Roman"/>
        <family val="1"/>
        <charset val="204"/>
      </rPr>
      <t xml:space="preserve"> - Проектные решения могут продаваться только с работами.
Суть проектного решения - это имеющийся функционал и опыт реализации (возможно и запуска).</t>
    </r>
  </si>
  <si>
    <r>
      <rPr>
        <vertAlign val="superscript"/>
        <sz val="12"/>
        <color indexed="8"/>
        <rFont val="Times New Roman"/>
        <family val="1"/>
        <charset val="204"/>
      </rPr>
      <t>(9)</t>
    </r>
    <r>
      <rPr>
        <sz val="12"/>
        <color indexed="8"/>
        <rFont val="Times New Roman"/>
        <family val="1"/>
        <charset val="204"/>
      </rPr>
      <t xml:space="preserve"> - Проектное решение "Оповещение об изменениях" - планируется снять в продаж после включения в тповую. Ориентировочно - I кв 2015.</t>
    </r>
  </si>
  <si>
    <r>
      <rPr>
        <vertAlign val="superscript"/>
        <sz val="12"/>
        <color indexed="8"/>
        <rFont val="Times New Roman"/>
        <family val="1"/>
        <charset val="204"/>
      </rPr>
      <t>(10)</t>
    </r>
    <r>
      <rPr>
        <sz val="12"/>
        <color indexed="8"/>
        <rFont val="Times New Roman"/>
        <family val="1"/>
        <charset val="204"/>
      </rPr>
      <t xml:space="preserve"> - Проектное решение "Статусы" - планируется снять в продаж после включения в тповую. Ориентировочно - I кв 2015.</t>
    </r>
  </si>
  <si>
    <r>
      <rPr>
        <vertAlign val="superscript"/>
        <sz val="12"/>
        <color indexed="8"/>
        <rFont val="Times New Roman"/>
        <family val="1"/>
        <charset val="204"/>
      </rPr>
      <t>(11)</t>
    </r>
    <r>
      <rPr>
        <sz val="12"/>
        <color indexed="8"/>
        <rFont val="Times New Roman"/>
        <family val="1"/>
        <charset val="204"/>
      </rPr>
      <t xml:space="preserve"> - Доп.модули "Расчет цены контракта", "Управление рисками", "Нормирование":
Для лицензирования необходимо закупить "1C:PM Управление проектами КОРП".
Для "включения" функционала в "предыдущих" версиях систем нужно несколько часов разработчика.</t>
    </r>
  </si>
  <si>
    <r>
      <rPr>
        <vertAlign val="superscript"/>
        <sz val="12"/>
        <color indexed="8"/>
        <rFont val="Times New Roman"/>
        <family val="1"/>
        <charset val="204"/>
      </rPr>
      <t>(12)</t>
    </r>
    <r>
      <rPr>
        <sz val="12"/>
        <color indexed="8"/>
        <rFont val="Times New Roman"/>
        <family val="1"/>
        <charset val="204"/>
      </rPr>
      <t xml:space="preserve"> - Стоимость для конечных клиентов. 
Стоимость для Партнеров-франчайзи устанавливается индивидуально.
В стоимость модулей и проектных решений не входит стоимость ПО и лицензий.</t>
    </r>
  </si>
  <si>
    <r>
      <rPr>
        <vertAlign val="superscript"/>
        <sz val="12"/>
        <color indexed="8"/>
        <rFont val="Times New Roman"/>
        <family val="1"/>
        <charset val="204"/>
      </rPr>
      <t>(13)</t>
    </r>
    <r>
      <rPr>
        <sz val="12"/>
        <color indexed="8"/>
        <rFont val="Times New Roman"/>
        <family val="1"/>
        <charset val="204"/>
      </rPr>
      <t xml:space="preserve"> - Цена для поставок с программными ключами защиты.
Цены для поставок с аппаратными (USB) ключами защиты - выше.</t>
    </r>
  </si>
  <si>
    <r>
      <rPr>
        <vertAlign val="superscript"/>
        <sz val="12"/>
        <color indexed="8"/>
        <rFont val="Times New Roman"/>
        <family val="1"/>
        <charset val="204"/>
      </rPr>
      <t>(14)</t>
    </r>
    <r>
      <rPr>
        <sz val="12"/>
        <color indexed="8"/>
        <rFont val="Times New Roman"/>
        <family val="1"/>
        <charset val="204"/>
      </rPr>
      <t xml:space="preserve"> - Для поставок наших проектных лицензий апгрэйд не осуществляется.
Нужно закупать дополнительные лицензии.</t>
    </r>
  </si>
  <si>
    <r>
      <rPr>
        <vertAlign val="superscript"/>
        <sz val="12"/>
        <color indexed="8"/>
        <rFont val="Times New Roman"/>
        <family val="1"/>
        <charset val="204"/>
      </rPr>
      <t>(15)</t>
    </r>
    <r>
      <rPr>
        <sz val="12"/>
        <color indexed="8"/>
        <rFont val="Times New Roman"/>
        <family val="1"/>
        <charset val="204"/>
      </rPr>
      <t xml:space="preserve"> - Для поставок с программными ключами защиты апгрэйд не осуществляется.
Нужно закупать дополнительные лицензии.
http://www.1c.ru/news/info.jsp?id=12454
</t>
    </r>
    <r>
      <rPr>
        <sz val="10"/>
        <color indexed="8"/>
        <rFont val="Times New Roman"/>
        <family val="1"/>
        <charset val="204"/>
      </rPr>
      <t>Замена одной клиентской лицензии на другую с целью увеличения рабочих мест (как это практикуется для лицензий с аппаратной защитой) для лицензий с программной защитой не имеет смысла, так как нет ограничения на число файлов программных лицензий, устанавливаемых на компьютер сервера.</t>
    </r>
  </si>
  <si>
    <r>
      <rPr>
        <vertAlign val="superscript"/>
        <sz val="12"/>
        <color indexed="8"/>
        <rFont val="Times New Roman"/>
        <family val="1"/>
        <charset val="204"/>
      </rPr>
      <t>(16)</t>
    </r>
    <r>
      <rPr>
        <sz val="12"/>
        <color indexed="8"/>
        <rFont val="Times New Roman"/>
        <family val="1"/>
        <charset val="204"/>
      </rPr>
      <t xml:space="preserve"> - «1С:Девелопмент и управление недвижимостью 2» поставляется как 2 ПП.
См. договор с "Тэско групп"</t>
    </r>
  </si>
  <si>
    <r>
      <rPr>
        <strike/>
        <vertAlign val="superscript"/>
        <sz val="12"/>
        <color indexed="8"/>
        <rFont val="Times New Roman"/>
        <family val="1"/>
        <charset val="204"/>
      </rPr>
      <t>(17)</t>
    </r>
    <r>
      <rPr>
        <strike/>
        <sz val="12"/>
        <color indexed="8"/>
        <rFont val="Times New Roman"/>
        <family val="1"/>
        <charset val="204"/>
      </rPr>
      <t xml:space="preserve"> - «Управление проектной фирмой» до выхода Совместного ПП поставляется как 2 ПП - УНФ ПРОФ и РМ ПРОФ (Эл.пост) из прайса 1С, см. договор с ИП Леонтьева Марина Петровна</t>
    </r>
  </si>
  <si>
    <t>Новая сноска</t>
  </si>
  <si>
    <r>
      <rPr>
        <vertAlign val="superscript"/>
        <sz val="12"/>
        <color indexed="8"/>
        <rFont val="Times New Roman"/>
        <family val="1"/>
        <charset val="204"/>
      </rPr>
      <t>(18)</t>
    </r>
    <r>
      <rPr>
        <sz val="12"/>
        <color indexed="8"/>
        <rFont val="Times New Roman"/>
        <family val="1"/>
        <charset val="204"/>
      </rPr>
      <t xml:space="preserve"> - АППАРАТНАЯ ЗАЩИТА (USB)
Пользователи программных продуктов c электронной поставкой, которые имеют необходимость использовать в работе аппаратную защиту конфигурации, могут приобрести "1С:СЛК. Аппаратный носитель лицензий (USB)" (артикул 2900001759496). Подробнее с возможностями "1С:СЛК. Аппаратный носитель лицензий (USB)" можно ознакомиться на сайте отраслевых и специализированных решений 1С.
https://solutions.1c.ru/catalog/slk/usb</t>
    </r>
  </si>
  <si>
    <t>Добавлено</t>
  </si>
  <si>
    <r>
      <rPr>
        <vertAlign val="superscript"/>
        <sz val="12"/>
        <color indexed="8"/>
        <rFont val="Times New Roman"/>
        <family val="1"/>
        <charset val="204"/>
      </rPr>
      <t>(19)</t>
    </r>
    <r>
      <rPr>
        <sz val="12"/>
        <color indexed="8"/>
        <rFont val="Times New Roman"/>
        <family val="1"/>
        <charset val="204"/>
      </rPr>
      <t xml:space="preserve"> - см инфописьмо "Раннее информирование: изменение цен с 1 апреля 2022 г. на программные продукты "1С-Совместно" https://1c.ru/news/info.jsp?id=28855</t>
    </r>
  </si>
  <si>
    <t>VII</t>
  </si>
  <si>
    <t>1С:КП Отраслевой</t>
  </si>
  <si>
    <r>
      <t>Цена</t>
    </r>
    <r>
      <rPr>
        <b/>
        <vertAlign val="superscript"/>
        <sz val="12"/>
        <color indexed="8"/>
        <rFont val="Times New Roman"/>
        <family val="1"/>
        <charset val="204"/>
      </rPr>
      <t>(1)</t>
    </r>
  </si>
  <si>
    <t>КП - без НДС, ИТС Отр - с НДС</t>
  </si>
  <si>
    <t>Для продуктов «1С:ERP+PM Управление проектной организацией 2», УПО 1.3 и Дев 1.3 требуется 
КП Отраслевой 3-й категории + КП Базовый и выше</t>
  </si>
  <si>
    <t>ИТС Отр снимается с продажи. Замена ИТС Отр на КП Отр</t>
  </si>
  <si>
    <t>Замена ИТС на КП; перенос УПО 1.3 и Дев 1.3 в 3-ю кат. ИТС Отр</t>
  </si>
  <si>
    <t>Замена ИТС на КП</t>
  </si>
  <si>
    <t>изменена цена</t>
  </si>
  <si>
    <t>Не продаем</t>
  </si>
  <si>
    <t>новая позиция</t>
  </si>
  <si>
    <t>Для продукта «Модуль PM к ERP-решению» требуется КП Отраслевой 3-й категории + выполнение условий сопровождения ERP-решения. Например, ERP сопровождается только по договору ИТС уровня ПРОФ</t>
  </si>
  <si>
    <t>Для продукта «1С:PM Управление проектами КОРП» требуется КП Отраслевой 2-й категории + КП Базовый и выше</t>
  </si>
  <si>
    <t>Для продуктов «1С:PM Управление проектами ПРОФ» и «1С:УНФ+РМ Управление проектной фирмой» требуется КП Отраслевой 1-й категории + КП Базовый и выше</t>
  </si>
  <si>
    <t>1С:КП Отраслевой 1-й Категории + 1С:КП Базовый, на 6 месяцев</t>
  </si>
  <si>
    <t>1С:КП Отраслевой 1-й Категории + 1С:КП Базовый, на 3 месяца</t>
  </si>
  <si>
    <t>1С:КП Отраслевой 1-й Категории + 1С:КП Базовый, на 1 месяц</t>
  </si>
  <si>
    <t>Для продукта УПРОФ требуется договор КП Базовый и выше</t>
  </si>
  <si>
    <t>1С:КП Базовый на 12 месяцев</t>
  </si>
  <si>
    <t>КПБаз12</t>
  </si>
  <si>
    <t>1С:КП Базовый на 11 месяцев</t>
  </si>
  <si>
    <t>КПБаз11</t>
  </si>
  <si>
    <t>1С:КП Базовый на 10 месяцев</t>
  </si>
  <si>
    <t>КПБаз10</t>
  </si>
  <si>
    <t>1С:КП Базовый на 9 месяцев</t>
  </si>
  <si>
    <t>КПБаз9</t>
  </si>
  <si>
    <t>1С:КП Базовый на 8 месяцев</t>
  </si>
  <si>
    <t>КПБаз8</t>
  </si>
  <si>
    <t>1С:КП Базовый на 7 месяцев</t>
  </si>
  <si>
    <t>КПБаз7</t>
  </si>
  <si>
    <t>1С:КП Базовый на 6 месяцев</t>
  </si>
  <si>
    <t>КПБаз6</t>
  </si>
  <si>
    <t>1С:КП Базовый на 5 месяцев</t>
  </si>
  <si>
    <t>КПБаз5</t>
  </si>
  <si>
    <t>1С:КП Базовый на 4 месяца</t>
  </si>
  <si>
    <t>КПБаз4</t>
  </si>
  <si>
    <t>1С:КП Базовый на 3 месяца</t>
  </si>
  <si>
    <t>КПБаз3</t>
  </si>
  <si>
    <t>1С:КП Базовый на 2 месяца</t>
  </si>
  <si>
    <t>КПБаз2</t>
  </si>
  <si>
    <t>1С:КП Базовый на 1 месяц</t>
  </si>
  <si>
    <t>КПБаз1</t>
  </si>
  <si>
    <t>Примечания к ИТС</t>
  </si>
  <si>
    <r>
      <rPr>
        <vertAlign val="superscript"/>
        <sz val="12"/>
        <color indexed="8"/>
        <rFont val="Times New Roman"/>
        <family val="1"/>
        <charset val="204"/>
      </rPr>
      <t>(1)</t>
    </r>
    <r>
      <rPr>
        <sz val="12"/>
        <color indexed="8"/>
        <rFont val="Times New Roman"/>
        <family val="1"/>
        <charset val="204"/>
      </rPr>
      <t>Перед выставлением счёта клиенту необходимо уточнить текущие цены на договоры ИТС (КП Базовый/ПРОФ и пр.) и сервисы КП Отраслевой!
Цены по прерывным и беспрерывным договорам ИТС (КП Базовый/ПРОФ и пр.) отличаются!
Ссылка на цены договоров ИТС (КП Базовый/ПРОФ и пр.): https://its.1c.ru/db/partnerits#content:3401:ru
Ссылка на цены сервисов КП Отраслевой: https://its.1c.ru/db/partnerits#content:1841:ru
Позиции КП поставляются без НДС.
При выставлении от ООО "АйТиЛенд-Софт" и ООО "АйТиЛенд-Проект" выставляем без НДС, т.к. упрощенная система налогообложения.</t>
    </r>
  </si>
  <si>
    <t>Изменены условия</t>
  </si>
  <si>
    <r>
      <rPr>
        <vertAlign val="superscript"/>
        <sz val="12"/>
        <color indexed="8"/>
        <rFont val="Times New Roman"/>
        <family val="1"/>
        <charset val="204"/>
      </rPr>
      <t>(2)</t>
    </r>
    <r>
      <rPr>
        <sz val="12"/>
        <color indexed="8"/>
        <rFont val="Times New Roman"/>
        <family val="1"/>
        <charset val="204"/>
      </rPr>
      <t>Сервис КП Отраслевой считается активным только при наличии у пользователя договора ИТС (КП Базовый/ПРОФ и пр.), поэтому при продаже сервиса нужно узнавать наличие у заказчика действующего договора ИТС (КП Базовый/ПРОФ и пр.). Если договора ИТС нет, то нужно выяснить у заказчика желаемый уровень договора ИТС (Базовый/ПРОФ), и если заказчику достаточно Базового уровня, то предложить его купить у нас.</t>
    </r>
  </si>
  <si>
    <r>
      <rPr>
        <vertAlign val="superscript"/>
        <sz val="12"/>
        <color indexed="8"/>
        <rFont val="Times New Roman"/>
        <family val="1"/>
        <charset val="204"/>
      </rPr>
      <t>(3)</t>
    </r>
    <r>
      <rPr>
        <sz val="12"/>
        <color indexed="8"/>
        <rFont val="Times New Roman"/>
        <family val="1"/>
        <charset val="204"/>
      </rPr>
      <t xml:space="preserve">В основную поставку ПП обычно входит льготный купон на КП ПРОФ с вариантами активации: 3 месяца бесплатно или по схеме 8+4.
В состав наших отраслевых ПП к дополнение к купону на КП ПРОФ входит купон на сервис КП Отраслевой с вариантами активации: 3 месяца бесплатно или по схеме 8+4.
В поставку Модуля РМ входит только льготный купон на сервис КП Отраслевой.
Условия схемы 8+4 по КП Отраслевой (внимание, старые цены, но актуальные условия): https://solutions.1c.ru/news/314282/ 
</t>
    </r>
    <r>
      <rPr>
        <b/>
        <sz val="12"/>
        <color indexed="8"/>
        <rFont val="Times New Roman"/>
        <family val="1"/>
        <charset val="204"/>
      </rPr>
      <t>Важный момент</t>
    </r>
    <r>
      <rPr>
        <sz val="12"/>
        <color indexed="8"/>
        <rFont val="Times New Roman"/>
        <family val="1"/>
        <charset val="204"/>
      </rPr>
      <t xml:space="preserve">, цитата: </t>
    </r>
    <r>
      <rPr>
        <i/>
        <sz val="12"/>
        <color indexed="8"/>
        <rFont val="Times New Roman"/>
        <family val="1"/>
        <charset val="204"/>
      </rPr>
      <t>"Обращаем внимание, активировать сервис "1С:ИТС Отраслевой Льготный на 12 месяцев" можно только если у пользователя есть действующий сервис "1С:ИТС Отраслевой Льготный на 3 месяца". В случае, если на момент активации у пользователя нет активного сервиса "1С:ИТС Отраслевой Льготный на 3 месяца", либо срок действия данного сервиса закончился, то активацию  сервиса "1С:ИТС Отраслевой Льготный на 12 месяцев" произвести будет невозможно, информация об этом будет выведена соответствующим "всплывающим окном" на странице активации."</t>
    </r>
  </si>
  <si>
    <r>
      <rPr>
        <vertAlign val="superscript"/>
        <sz val="12"/>
        <color indexed="8"/>
        <rFont val="Times New Roman"/>
        <family val="1"/>
        <charset val="204"/>
      </rPr>
      <t>(4)</t>
    </r>
    <r>
      <rPr>
        <sz val="12"/>
        <color indexed="8"/>
        <rFont val="Times New Roman"/>
        <family val="1"/>
        <charset val="204"/>
      </rPr>
      <t>КП</t>
    </r>
    <r>
      <rPr>
        <vertAlign val="superscript"/>
        <sz val="12"/>
        <color indexed="8"/>
        <rFont val="Times New Roman"/>
        <family val="1"/>
        <charset val="204"/>
      </rPr>
      <t xml:space="preserve"> </t>
    </r>
    <r>
      <rPr>
        <sz val="12"/>
        <color indexed="8"/>
        <rFont val="Times New Roman"/>
        <family val="1"/>
        <charset val="204"/>
      </rPr>
      <t>ПРОФ не продаем, продаем КП Базовый.</t>
    </r>
  </si>
  <si>
    <t>VIII</t>
  </si>
  <si>
    <t>Книги</t>
  </si>
  <si>
    <t>1С:Предприятие 8. Конфигурация "1С:ERP+PM Управление проектной организацией 2.0". Руководство пользователя</t>
  </si>
  <si>
    <t>IX</t>
  </si>
  <si>
    <t>Курсы обучения</t>
  </si>
  <si>
    <r>
      <t>Цена на 1 чел</t>
    </r>
    <r>
      <rPr>
        <b/>
        <vertAlign val="superscript"/>
        <sz val="12"/>
        <rFont val="Times New Roman"/>
        <family val="1"/>
        <charset val="204"/>
      </rPr>
      <t>(8), (9)</t>
    </r>
  </si>
  <si>
    <r>
      <t xml:space="preserve">Курс обучения по 1 продукту из линейки для 1 слушателя, 16 часов.
Месторасположение: СПб, очно; везде - удаленно (Skype).
</t>
    </r>
    <r>
      <rPr>
        <b/>
        <i/>
        <sz val="12"/>
        <rFont val="Times New Roman"/>
        <family val="1"/>
        <charset val="204"/>
      </rPr>
      <t>(1 дополнительный слушатель - 7 875 р.)</t>
    </r>
  </si>
  <si>
    <t>Повышение цен на 5%, актуализировано</t>
  </si>
  <si>
    <t>2 слушателя</t>
  </si>
  <si>
    <t>3 слушателя</t>
  </si>
  <si>
    <t>4 слушателя</t>
  </si>
  <si>
    <t>5 слушателей</t>
  </si>
  <si>
    <t>6 слушателей</t>
  </si>
  <si>
    <t>7 слушателей</t>
  </si>
  <si>
    <t>8 слушателей</t>
  </si>
  <si>
    <t>9 слушателей</t>
  </si>
  <si>
    <t>10 слушателей</t>
  </si>
  <si>
    <t>Курс обучения по 1 продукту из линейки для 1 слушателя, 16 часов.
Месторасположение: Мск, очно.
(1 дополнительный слушатель - 7 875 р.)</t>
  </si>
  <si>
    <r>
      <t>Курс обучения «Распределение ЗП по проектам БУ/НУ в УПО», 8 часов</t>
    </r>
    <r>
      <rPr>
        <i/>
        <vertAlign val="superscript"/>
        <sz val="12"/>
        <rFont val="Times New Roman"/>
        <family val="1"/>
        <charset val="204"/>
      </rPr>
      <t>(10)</t>
    </r>
  </si>
  <si>
    <t>1 слушатель</t>
  </si>
  <si>
    <t>от 4-х слушателей</t>
  </si>
  <si>
    <r>
      <t>Курс обучения «Расчет себестоимости и рентабельности в УПО в разрезе подразделений и заказов в БУ/НУ», 8 часов</t>
    </r>
    <r>
      <rPr>
        <i/>
        <vertAlign val="superscript"/>
        <sz val="12"/>
        <rFont val="Times New Roman"/>
        <family val="1"/>
        <charset val="204"/>
      </rPr>
      <t>(10)</t>
    </r>
  </si>
  <si>
    <r>
      <t>Курс обучения «Ведение ПБУ 2/2008 в УПО БУ, НУ», 8 часов</t>
    </r>
    <r>
      <rPr>
        <i/>
        <vertAlign val="superscript"/>
        <sz val="12"/>
        <rFont val="Times New Roman"/>
        <family val="1"/>
        <charset val="204"/>
      </rPr>
      <t>(10)</t>
    </r>
  </si>
  <si>
    <r>
      <t>Курс обучения «Хозрасчет: Расчет полной рентабельности подразделений по проектам в УПО (управленческий учет)», 8 часов</t>
    </r>
    <r>
      <rPr>
        <i/>
        <vertAlign val="superscript"/>
        <sz val="12"/>
        <rFont val="Times New Roman"/>
        <family val="1"/>
        <charset val="204"/>
      </rPr>
      <t>(10)</t>
    </r>
  </si>
  <si>
    <t>Цена не назначена</t>
  </si>
  <si>
    <t>Примечания к курсам обучения</t>
  </si>
  <si>
    <r>
      <rPr>
        <vertAlign val="superscript"/>
        <sz val="12"/>
        <color indexed="8"/>
        <rFont val="Times New Roman"/>
        <family val="1"/>
        <charset val="204"/>
      </rPr>
      <t xml:space="preserve">(8) </t>
    </r>
    <r>
      <rPr>
        <sz val="12"/>
        <color indexed="8"/>
        <rFont val="Times New Roman"/>
        <family val="1"/>
        <charset val="204"/>
      </rPr>
      <t>В стоимость не включена оплата командировочных, гостиницы и дороги (в случае выезда к заказчику). 
Обучение проводится одновременно ВСЕХ записавшихся слушателей. Если кто-то желает обучаться индивидуально (или в составе меньшей группы), то их обучение оплачивается по тарифу, соответствующему числу отдельно обучающихся слушателей.
Дни обучения не разрываем, т.е. всегда - два дня подряд. 
Если разрываем, то: по 8 часов каждый день – эти тарифы, 
если по 4 часа в день, то полуторные</t>
    </r>
  </si>
  <si>
    <r>
      <rPr>
        <vertAlign val="superscript"/>
        <sz val="12"/>
        <color indexed="8"/>
        <rFont val="Times New Roman"/>
        <family val="1"/>
        <charset val="204"/>
      </rPr>
      <t xml:space="preserve">(9) </t>
    </r>
    <r>
      <rPr>
        <sz val="12"/>
        <color indexed="8"/>
        <rFont val="Times New Roman"/>
        <family val="1"/>
        <charset val="204"/>
      </rPr>
      <t>Курс по "1С:Девелопмент и управление недвижимостью" адаптируется перед проведением под список бизнес-процессов заказчика, реализованных в "1С:Девелопмент и управление недвижимостью", ред. 1.3/ред 2.</t>
    </r>
  </si>
  <si>
    <r>
      <rPr>
        <vertAlign val="superscript"/>
        <sz val="12"/>
        <color indexed="8"/>
        <rFont val="Times New Roman"/>
        <family val="1"/>
        <charset val="204"/>
      </rPr>
      <t xml:space="preserve">(10) </t>
    </r>
    <r>
      <rPr>
        <sz val="12"/>
        <color indexed="8"/>
        <rFont val="Times New Roman"/>
        <family val="1"/>
        <charset val="204"/>
      </rPr>
      <t>Курс в разработке</t>
    </r>
  </si>
  <si>
    <t>X</t>
  </si>
  <si>
    <t>Олайн-школа</t>
  </si>
  <si>
    <t>Услуги,
входящие в пакет</t>
  </si>
  <si>
    <t>УНФ+РМ
Start</t>
  </si>
  <si>
    <t>УНФ+РМ
Lite</t>
  </si>
  <si>
    <t>УНФ+РМ
Optimum</t>
  </si>
  <si>
    <t>УНФ+РМ
Premium</t>
  </si>
  <si>
    <t>Видеоуроки с описанием системы по функциональным разделам</t>
  </si>
  <si>
    <t>Видеоуроки с примером автоматизации сквозного процесса</t>
  </si>
  <si>
    <t>Доступ к материалам обучения 24/7</t>
  </si>
  <si>
    <t xml:space="preserve">Личный кабинет </t>
  </si>
  <si>
    <t xml:space="preserve">Оповещение о новинках </t>
  </si>
  <si>
    <t>Задания на каждый урок по сквозному процессу</t>
  </si>
  <si>
    <t>Доступ к видеоурокам с примером решения заданий</t>
  </si>
  <si>
    <t>UPGRADE: Покупка для купивших курс предыдущего уровня с доплатой разницы в течение 10 рабочих дней</t>
  </si>
  <si>
    <t>Выполнение уроков в базе УНФ+РМ онлайн школы</t>
  </si>
  <si>
    <t>Проверка выполнения задания, разбор выполнения задания с консультантом онлайн школы</t>
  </si>
  <si>
    <t>Выполнение заданий курса на данных Заказчика,</t>
  </si>
  <si>
    <t>Две дополнительные часовые консультации</t>
  </si>
  <si>
    <t>Период действия (использования) пакета</t>
  </si>
  <si>
    <t>2 месяца</t>
  </si>
  <si>
    <t>3 месяца</t>
  </si>
  <si>
    <t>4 месяца</t>
  </si>
  <si>
    <t>6 месяцев</t>
  </si>
  <si>
    <t>Включенных часов консультаций/ разработки в пакет</t>
  </si>
  <si>
    <t>3 часа</t>
  </si>
  <si>
    <t>5+2 часов</t>
  </si>
  <si>
    <t>Стоимость* при приобретении разового курса</t>
  </si>
  <si>
    <t>* - стоимость курсов сформирована на условиях предварительной оплаты на расчётный счёт исполнителя, НДС не облагается из расчета на 1-го обучающегося.</t>
  </si>
  <si>
    <t>XI</t>
  </si>
  <si>
    <t>Ближнее зарубежье. Дальнее зарубежье.</t>
  </si>
  <si>
    <t>добавлена информация</t>
  </si>
  <si>
    <r>
      <rPr>
        <b/>
        <sz val="12"/>
        <color indexed="8"/>
        <rFont val="Times New Roman"/>
        <family val="1"/>
        <charset val="204"/>
      </rPr>
      <t>Ближнее зарубежье</t>
    </r>
    <r>
      <rPr>
        <sz val="12"/>
        <color indexed="8"/>
        <rFont val="Times New Roman"/>
        <family val="1"/>
        <charset val="204"/>
      </rPr>
      <t xml:space="preserve">
по отгрузкам из России в страны ближнего зарубежья (Азербайджан, Армения, Беларусь, Грузия, Казахстан, Кыргызстан, Латвия, Литва, Молдова, Таджикистан, Туркменистан, Узбекистан, Эстония) или из этих стран в Россию: 
на адрес zar@1c.ru по локализованным продуктам, типовым и отраслевым решениям 1С, по решениям проектов 1C:Центры ERP и Центры компетенции 1С:КОРП (заявки будут рассматриваться профильными подразделениями);</t>
    </r>
  </si>
  <si>
    <r>
      <rPr>
        <b/>
        <sz val="12"/>
        <color indexed="8"/>
        <rFont val="Times New Roman"/>
        <family val="1"/>
        <charset val="204"/>
      </rPr>
      <t>Дальнее зарубежье</t>
    </r>
    <r>
      <rPr>
        <sz val="12"/>
        <color indexed="8"/>
        <rFont val="Times New Roman"/>
        <family val="1"/>
        <charset val="204"/>
      </rPr>
      <t xml:space="preserve">
по отгрузкам из России в страны дальнего зарубежья (страны, не входящие в список выше) и из этих стран в Россию:
на адрес partner@1c.com по локализованным продуктам и типовым решениям 1С, пользовательским лицензиям 1С, необходимым компаниям в РФ и странах ближнего зарубежья для использования решений 1С в странах дальнего зарубежья в своих филиалах, обособленных подразделениях и у удаленных сотрудников, по решениям проекта 1C:Центры ERP (заявки будут рассматриваться профильными подразделениями).</t>
    </r>
  </si>
  <si>
    <t>XII</t>
  </si>
  <si>
    <t>Ставки часа</t>
  </si>
  <si>
    <r>
      <t xml:space="preserve">Цена,
</t>
    </r>
    <r>
      <rPr>
        <sz val="14"/>
        <color indexed="8"/>
        <rFont val="Times New Roman"/>
        <family val="1"/>
        <charset val="204"/>
      </rPr>
      <t>НДС не облагается</t>
    </r>
  </si>
  <si>
    <t>СПб. Обычная ставка (? Типовые проекты)</t>
  </si>
  <si>
    <t>СПб. Ставка на долгосрочные проекты (? Заказчные проекты)</t>
  </si>
  <si>
    <t>Техподдержка</t>
  </si>
  <si>
    <t>Интеграция (ставка 2022 года. После - пересмотр + ХХ%)</t>
  </si>
  <si>
    <t>Основные программные продукты</t>
  </si>
  <si>
    <t>1С:PM Кл. лиц. на 1 рабочее место. Электронная поставка</t>
  </si>
  <si>
    <t>1С:PM Кл. лиц. на 5 рабочих мест. Электронная поставка</t>
  </si>
  <si>
    <t>1С:PM Кл. лиц. на 10 рабочих мест. Электронная поставка</t>
  </si>
  <si>
    <t>1С:PM Кл. лиц. на 20 рабочих мест. Электронная поставка</t>
  </si>
  <si>
    <t>1С:PM Кл. лиц. на 50 рабочих мест. Электронная поставка</t>
  </si>
  <si>
    <t>1С:PM Кл. лиц. на 100 рабочих мест. Электронная поставка</t>
  </si>
  <si>
    <t>1С:PM Кл. лиц. на 300 рабочих мест. Электронная поставка</t>
  </si>
  <si>
    <t>1С:УНФ+PM Кл. лиц. на 1 рабочее место. Электронная поставка</t>
  </si>
  <si>
    <t>1С:УНФ+PM Кл. лиц. на 5 рабочих мест. Электронная поставка</t>
  </si>
  <si>
    <t>1С:УНФ+PM Кл. лиц. на 10 рабочих мест. Электронная поставка</t>
  </si>
  <si>
    <t>1С:УНФ+PM Кл. лиц. на 20 рабочих мест. Электронная поставка</t>
  </si>
  <si>
    <t>1С:Предприятие 8 ПРОФ Кл. лиц. на 1 рабочее место. Электронная поставка</t>
  </si>
  <si>
    <t>1С:Предприятие 8 ПРОФ Кл. лиц. на 5 рабочих мест. Электронная поставка</t>
  </si>
  <si>
    <t>1С:Предприятие 8 ПРОФ Кл. лиц. на 10 рабочих мест. Электронная поставка</t>
  </si>
  <si>
    <t>1С:Предприятие 8 ПРОФ Кл. лиц. на 20 рабочих мест. Электронная поставка</t>
  </si>
  <si>
    <t>1С:Предприятие 8 ПРОФ Кл. лиц. на 50 рабочих мест. Электронная поставка</t>
  </si>
  <si>
    <t>1С:Предприятие 8 ПРОФ Кл. лиц. на 100 рабочих мест. Электронная поставка</t>
  </si>
  <si>
    <t>1С:Предприятие 8 ПРОФ Кл. лиц. на 300 рабочих мест. Электронная поставка</t>
  </si>
  <si>
    <t>1С:Предприятие 8 ПРОФ Кл. лиц. на 500 рабочих мест. Электронная поставка</t>
  </si>
  <si>
    <t>1С:Предприятие 8 ПРОФ Кл. лиц. на 1 рабочее место</t>
  </si>
  <si>
    <t>1С:Предприятие 8 ПРОФ Кл. лиц. на 5 рабочих мест</t>
  </si>
  <si>
    <t>1С:Предприятие 8 ПРОФ Кл. лиц. на 10 рабочих мест</t>
  </si>
  <si>
    <t>1С:Предприятие 8 ПРОФ Кл. лиц. на 20 рабочих мест</t>
  </si>
  <si>
    <t>1С:Предприятие 8 ПРОФ Кл. лиц. на 50 рабочих мест</t>
  </si>
  <si>
    <t>1С:Предприятие 8 ПРОФ Кл. лиц. на 100 рабочих мест</t>
  </si>
  <si>
    <t>1С:Предприятие 8 ПРОФ Кл. лиц. на 300 рабочих мест</t>
  </si>
  <si>
    <t>1С:Предприятие 8 ПРОФ Кл. лиц. на 500 рабочих мест</t>
  </si>
  <si>
    <t>1С:Предприятие 8 ПРОФ Кл. лиц. на 1 рабочее место (USB)</t>
  </si>
  <si>
    <t>1С:Предприятие 8 ПРОФ Кл. лиц. на 5 рабочих мест (USB)</t>
  </si>
  <si>
    <t>1С:Предприятие 8 ПРОФ Кл. лиц. на 10 рабочих мест (USB)</t>
  </si>
  <si>
    <t>1С:Предприятие 8 ПРОФ Кл. лиц. на 20 рабочих мест (USB)</t>
  </si>
  <si>
    <t>1С:Предприятие 8 ПРОФ Кл. лиц. на 50 рабочих мест (USB)</t>
  </si>
  <si>
    <t>1С:Предприятие 8 ПРОФ Кл. лиц. на 100 рабочих мест (USB)</t>
  </si>
  <si>
    <t>1С:Предприятие 8 ПРОФ Кл. лиц. на 300 рабочих мест (USB)</t>
  </si>
  <si>
    <t>1С:Предприятие 8 ПРОФ Кл. лиц. на 500 рабочих мест (USB)</t>
  </si>
  <si>
    <t>1С:Предприятие 8 КОРП Кл. лиц. на 1 рабочее место. Электронная поставка</t>
  </si>
  <si>
    <t>1С:Предприятие 8 КОРП Кл. лиц. на 5 рабочих мест. Электронная поставка</t>
  </si>
  <si>
    <t>1С:Предприятие 8 КОРП Кл. лиц. на 10 рабочих мест. Электронная поставка</t>
  </si>
  <si>
    <t>1С:Предприятие 8 КОРП Кл. лиц. на 20 рабочих мест. Электронная поставка</t>
  </si>
  <si>
    <t>1С:Предприятие 8 КОРП Кл. лиц. на 50 рабочих мест. Электронная поставка</t>
  </si>
  <si>
    <t>1С:Предприятие 8 КОРП Кл. лиц. на 300 рабочих мест. Электронная поставка</t>
  </si>
  <si>
    <t>1С:Предприятие 8 КОРП Кл. лиц. на 100 рабочих мест. Электронная поставка</t>
  </si>
  <si>
    <t>1С:Предприятие 8 КОРП Кл. лиц. на 500 рабочих мест. Электронная поставка</t>
  </si>
  <si>
    <t>1С:Предприятие 8 КОРП Кл. лиц. на 1000 рабочих мест. Электронная поставка</t>
  </si>
  <si>
    <t>1С:Предприятие 8 КОРП Кл. лиц. на 1 р.м. (USB)</t>
  </si>
  <si>
    <t xml:space="preserve">1С:Предприятие 8 КОРП Кл. лиц. на 1 р.м. </t>
  </si>
  <si>
    <t>1С:Предприятие 8 КОРП Кл. лиц. на 5 р.м. (USB)</t>
  </si>
  <si>
    <t>1С:Предприятие 8 КОРП Кл. лиц. на 5 р.м.</t>
  </si>
  <si>
    <t>1С:Предприятие 8 КОРП Кл. лиц. на 10 р.м. (USB)</t>
  </si>
  <si>
    <t>1С:Предприятие 8 КОРП Кл. лиц. на 10 р.м.</t>
  </si>
  <si>
    <t>1С:Предприятие 8 КОРП Кл. лиц. на 20 р.м. (USB)</t>
  </si>
  <si>
    <t>1С:Предприятие 8 КОРП Кл. лиц. на 20 р.м.</t>
  </si>
  <si>
    <t>1С:Предприятие 8 КОРП Кл. лиц. на 50 р.м. (USB)</t>
  </si>
  <si>
    <t xml:space="preserve">1С:Предприятие 8 КОРП Кл. лиц. на 50 р.м. </t>
  </si>
  <si>
    <t>1С:Предприятие 8 КОРП Кл. лиц. на 100 р.м. (USB)</t>
  </si>
  <si>
    <t xml:space="preserve">1С:Предприятие 8 КОРП Кл. лиц. на 100 р.м. </t>
  </si>
  <si>
    <t>1С:Предприятие 8 КОРП Кл. лиц. на 300 р.м. (USB)</t>
  </si>
  <si>
    <t xml:space="preserve">1С:Предприятие 8 КОРП Кл. лиц. на 300 р.м. </t>
  </si>
  <si>
    <t>1С:Предприятие 8 КОРП Кл. лиц. на 500 р.м. (USB)</t>
  </si>
  <si>
    <t xml:space="preserve">1С:Предприятие 8 КОРП Кл. лиц. на 500 р.м. </t>
  </si>
  <si>
    <t xml:space="preserve">1С:Предприятие 8 КОРП Кл. лиц. на 1000 р.м. </t>
  </si>
  <si>
    <t>Дополнительные пользовательские лицензии, лицензии на сервер</t>
  </si>
  <si>
    <t>1С:КП Отраслевой 3-й Категории на 12 месяцев(2)</t>
  </si>
  <si>
    <t>Отчетные документы</t>
  </si>
  <si>
    <t>Рамки</t>
  </si>
  <si>
    <t>Схема бизнес-процессов верхнего уровня с ключевыми потоками данных в формате IDEF0</t>
  </si>
  <si>
    <t xml:space="preserve">1. Педполагается серия очных встреч для разработки устава проекта со следующими ключевыми специалистами со стороны Заказчика:
- руководитель проекта
- куратор проекта
- исполнительный директор
- директор по экономике и финансам
- коммерческий директор
- главный бухгалтер
- директор по персоналу
- технический директор
- директор по эксплуатации имущественного комплекса
- директор по качеству
2. Устав разрабатывается в формате Исполнителя
3. Подготовка и согласование устава выполняется удаленно в офисе Исполнителя  
</t>
  </si>
  <si>
    <t xml:space="preserve">Устав проекта
Формат и требования к содержанию отчетного документа по работам предлагается Исполнителем и согласовывается Заказчиком до начала соответствующих работ
</t>
  </si>
  <si>
    <r>
      <t xml:space="preserve">1. Педполагается серия очных встреч для формирования реестра верхнеуровневых процессов со следующими ключевыми специалистами со стороны Заказчика:
- </t>
    </r>
    <r>
      <rPr>
        <sz val="11"/>
        <color rgb="FFFF0000"/>
        <rFont val="Calibri"/>
        <family val="2"/>
        <charset val="204"/>
        <scheme val="minor"/>
      </rPr>
      <t>руководитель проекта
- куратор проекта
- исполнительный директор
- директор по экономике и финансам
- коммерческий директор
- главный бухгалтер
- директор по персоналу
- технический директор
- директор по эксплуатации имущественного комплекса
- директор по качеству</t>
    </r>
    <r>
      <rPr>
        <sz val="11"/>
        <color theme="1"/>
        <rFont val="Calibri"/>
        <family val="2"/>
        <charset val="204"/>
        <scheme val="minor"/>
      </rPr>
      <t xml:space="preserve">
2. Реестр верхнеуровневых процессов разрабатывается в формате Исполнителя
3. Подготовка и согласование реестра верхнеуровневых процессов выполняется удаленно в офисе Исполнителя  
</t>
    </r>
  </si>
  <si>
    <t xml:space="preserve">Реестр верхнеуровневых процессов
Формат и требования к содержанию отчетного документа по работам предлагается Исполнителем и согласовывается Заказчиком до начала соответствующих работ
</t>
  </si>
  <si>
    <t>Протокол согласования бизнес-процессов</t>
  </si>
  <si>
    <t xml:space="preserve">1. Процессы верхнего уровня описваются в нотации IDEF0. Декомпозиция процессов - в нотации eEPC 
2. Для описания процессов Исполнитель использует Business Studio
3. Описание процессов выполняется удаленно в офисе Исполнителя
</t>
  </si>
  <si>
    <t>Тем. План</t>
  </si>
  <si>
    <t>Упр. Подражделениями</t>
  </si>
  <si>
    <t>Проектная продукция</t>
  </si>
  <si>
    <t>Полная рентабельность + бюджетирование + казна</t>
  </si>
  <si>
    <t>Полная рентабельность</t>
  </si>
  <si>
    <t>Длительность "До" Недель</t>
  </si>
  <si>
    <t>Длительность "ОТ" Недель</t>
  </si>
  <si>
    <t>Длительность, мес.</t>
  </si>
  <si>
    <r>
      <t xml:space="preserve">Работы: </t>
    </r>
    <r>
      <rPr>
        <sz val="11"/>
        <color rgb="FF000000"/>
        <rFont val="Calibri"/>
        <family val="2"/>
        <charset val="204"/>
        <scheme val="minor"/>
      </rPr>
      <t>Проводится серия интервью с ключевыми пользвоателями. По результатам формируются и согласуются ФТ.</t>
    </r>
    <r>
      <rPr>
        <b/>
        <sz val="11"/>
        <color rgb="FF000000"/>
        <rFont val="Calibri"/>
        <family val="2"/>
        <charset val="204"/>
        <scheme val="minor"/>
      </rPr>
      <t xml:space="preserve">
Результаты:
</t>
    </r>
    <r>
      <rPr>
        <sz val="11"/>
        <color rgb="FF000000"/>
        <rFont val="Calibri"/>
        <family val="2"/>
        <charset val="204"/>
        <scheme val="minor"/>
      </rPr>
      <t>1. Содержание проекта (Устав).  
2. Документ "Функциональные требования"</t>
    </r>
  </si>
  <si>
    <r>
      <t xml:space="preserve">Работы: </t>
    </r>
    <r>
      <rPr>
        <sz val="11"/>
        <color rgb="FF000000"/>
        <rFont val="Calibri"/>
        <family val="2"/>
        <charset val="204"/>
        <scheme val="minor"/>
      </rPr>
      <t>Проводится моделирование реализации ФТ на типовой системе. В ходе моделирования проводится серия встреч-демонстраций по обсуждению сценария действий пользователей в системе, подходов к ведению данных (ПЛанирвоанию проектов), концепций реализации выявленных доработок.</t>
    </r>
    <r>
      <rPr>
        <b/>
        <sz val="11"/>
        <color rgb="FF000000"/>
        <rFont val="Calibri"/>
        <family val="2"/>
        <charset val="204"/>
        <scheme val="minor"/>
      </rPr>
      <t xml:space="preserve">
Результаты:
</t>
    </r>
    <r>
      <rPr>
        <sz val="11"/>
        <color rgb="FF000000"/>
        <rFont val="Calibri"/>
        <family val="2"/>
        <charset val="204"/>
        <scheme val="minor"/>
      </rPr>
      <t>1. Сценарий действий пользователя в системе (моделируется с учетом специфики и функциональных требований Заказчика), 
2. Реестр доработок с предложением по реализации и оценкой (в рамках проекта и функциональных требований).</t>
    </r>
  </si>
  <si>
    <r>
      <t xml:space="preserve">Работы: </t>
    </r>
    <r>
      <rPr>
        <sz val="11"/>
        <color rgb="FF000000"/>
        <rFont val="Calibri"/>
        <family val="2"/>
        <charset val="204"/>
        <scheme val="minor"/>
      </rPr>
      <t>На согласованные доработки разрабатываются частные технические задания, и по согласованным ЧТЗ реализуются доработки. Конфигурация с реализованными доработками демонстрируется рабочей группе Заказчика и передается для самостоятельного тестирования.</t>
    </r>
    <r>
      <rPr>
        <b/>
        <sz val="11"/>
        <color rgb="FF000000"/>
        <rFont val="Calibri"/>
        <family val="2"/>
        <charset val="204"/>
        <scheme val="minor"/>
      </rPr>
      <t xml:space="preserve">
Результаты:
</t>
    </r>
    <r>
      <rPr>
        <sz val="11"/>
        <color rgb="FF000000"/>
        <rFont val="Calibri"/>
        <family val="2"/>
        <charset val="204"/>
        <scheme val="minor"/>
      </rPr>
      <t>1. выполняются согласованные в рамках проекта доработки.
2. Документирование. Только Частные технические задания (ЧТЗ) на доработки по формату Исполнителя
3. Общий объем доработок с учетом ЧТЗ, разработки и тестирования 700 нормо-часов</t>
    </r>
  </si>
  <si>
    <r>
      <t xml:space="preserve">Работы: </t>
    </r>
    <r>
      <rPr>
        <sz val="11"/>
        <color rgb="FF000000"/>
        <rFont val="Calibri"/>
        <family val="2"/>
        <charset val="204"/>
        <scheme val="minor"/>
      </rPr>
      <t>Подготавливается дабочая база данных с настроенными параметрами учета, загруженными справочниками (НСИ), настроенными правами доступа и интерфейсами</t>
    </r>
    <r>
      <rPr>
        <b/>
        <sz val="11"/>
        <color rgb="FF000000"/>
        <rFont val="Calibri"/>
        <family val="2"/>
        <charset val="204"/>
        <scheme val="minor"/>
      </rPr>
      <t xml:space="preserve">
Результаты:
</t>
    </r>
    <r>
      <rPr>
        <sz val="11"/>
        <color rgb="FF000000"/>
        <rFont val="Calibri"/>
        <family val="2"/>
        <charset val="204"/>
        <scheme val="minor"/>
      </rPr>
      <t>Протокол настройки прав доступа с матрицей прав доступа; 
Протокол настройки рабочей базы данных с приложением перечня настраиваемых объектов. В базе делаются: 
1.  Настройки параметров учета проектного контура
2. Настройки начального рабочего стола, Избранное 
3. Стандартный пакет отчетности согласно базового сценария
4. Настройка прав доступа в части назначения стандартных профилей прав доступа по заполненной Заказчиком матрице. 
5. Загрузка НСИ проектного контура из Excel (Подготавливает Заказчик по формату Исполнителя). А также:
6. Настройка в части контуров ERP
7. Настройка нетиповых прав доступа.
8. Настройка разработанных интеграций</t>
    </r>
  </si>
  <si>
    <r>
      <rPr>
        <b/>
        <sz val="11"/>
        <color rgb="FF000000"/>
        <rFont val="Calibri"/>
        <family val="2"/>
        <charset val="204"/>
        <scheme val="minor"/>
      </rPr>
      <t xml:space="preserve">Работы: </t>
    </r>
    <r>
      <rPr>
        <sz val="11"/>
        <color rgb="FF000000"/>
        <rFont val="Calibri"/>
        <family val="2"/>
        <charset val="204"/>
        <scheme val="minor"/>
      </rPr>
      <t xml:space="preserve">
В базу переносятся исторические данные по договоренности с Заказчиком, только типовые (на поддерке вендора), решениями на базе 1С (в т.ч. доработанные конфигурации), либо через файлы, подготовленные и выверенные Заказчиком.
В рамках этапа осуществляется только перенос данных. Разработка нетиповых механизмов переноса выпоняется в рамках фазы 4.1. "Разработка ИС"</t>
    </r>
  </si>
  <si>
    <r>
      <t xml:space="preserve">Работы: </t>
    </r>
    <r>
      <rPr>
        <sz val="11"/>
        <color rgb="FF000000"/>
        <rFont val="Calibri"/>
        <family val="2"/>
        <charset val="204"/>
        <scheme val="minor"/>
      </rPr>
      <t xml:space="preserve">Проводится обучение конечных пользователей в группах 5-10 человек по ролям по сквозном сценарию по результатам моделирования с учетом специфики Заказчика. </t>
    </r>
  </si>
  <si>
    <r>
      <t xml:space="preserve">Работы: </t>
    </r>
    <r>
      <rPr>
        <sz val="11"/>
        <color rgb="FF000000"/>
        <rFont val="Calibri"/>
        <family val="2"/>
        <charset val="204"/>
        <scheme val="minor"/>
      </rPr>
      <t>Разработа графика ввода в ОЭ, консультации конечных пользователей по сценарию Заказчика</t>
    </r>
    <r>
      <rPr>
        <b/>
        <sz val="11"/>
        <color rgb="FF000000"/>
        <rFont val="Calibri"/>
        <family val="2"/>
        <charset val="204"/>
        <scheme val="minor"/>
      </rPr>
      <t xml:space="preserve">
Результаты: </t>
    </r>
    <r>
      <rPr>
        <sz val="11"/>
        <color rgb="FF000000"/>
        <rFont val="Calibri"/>
        <family val="2"/>
        <charset val="204"/>
        <scheme val="minor"/>
      </rPr>
      <t>За короткий срок пользователяи протестирован сквозной сценарий полностью, устранены, либо по согласованию отнесены на ОЭ выявленные некритичные вопрос</t>
    </r>
  </si>
  <si>
    <r>
      <t xml:space="preserve">Работы: </t>
    </r>
    <r>
      <rPr>
        <sz val="11"/>
        <color rgb="FF000000"/>
        <rFont val="Calibri"/>
        <family val="2"/>
        <charset val="204"/>
        <scheme val="minor"/>
      </rPr>
      <t>Консультации конечных пользователей по возникающим в ходе работы вопросам на условиях почасововй оплаты</t>
    </r>
  </si>
  <si>
    <t>Краткое описание работ</t>
  </si>
  <si>
    <r>
      <t xml:space="preserve">Работы: 
1. </t>
    </r>
    <r>
      <rPr>
        <sz val="11"/>
        <color rgb="FF000000"/>
        <rFont val="Calibri"/>
        <family val="2"/>
        <charset val="204"/>
        <scheme val="minor"/>
      </rPr>
      <t>Разрабатывается интсрукция пользователяей по ролям; 
2. Если требуется Инструкция Администратора</t>
    </r>
  </si>
  <si>
    <r>
      <t xml:space="preserve">Работы: </t>
    </r>
    <r>
      <rPr>
        <sz val="11"/>
        <color rgb="FF000000"/>
        <rFont val="Calibri"/>
        <family val="2"/>
        <charset val="204"/>
        <scheme val="minor"/>
      </rPr>
      <t>Проводится обучение в группах Администраторов ИС:</t>
    </r>
    <r>
      <rPr>
        <b/>
        <sz val="11"/>
        <color rgb="FF000000"/>
        <rFont val="Calibri"/>
        <family val="2"/>
        <charset val="204"/>
        <scheme val="minor"/>
      </rPr>
      <t xml:space="preserve">
</t>
    </r>
    <r>
      <rPr>
        <sz val="11"/>
        <color rgb="FF000000"/>
        <rFont val="Calibri"/>
        <family val="2"/>
        <charset val="204"/>
        <scheme val="minor"/>
      </rPr>
      <t>1.  По сквозном сценарию по результатам моделирования с учетом специфики Заказчика. 
2. Ведению НСИ в системе</t>
    </r>
  </si>
  <si>
    <t>5.7.</t>
  </si>
  <si>
    <t>Управление разработкой "Проектной продукции"</t>
  </si>
  <si>
    <t>Формирование шаблонов проектный продукции с нормами трудозатрат по ролям</t>
  </si>
  <si>
    <t>АРМ проектной продукции</t>
  </si>
  <si>
    <t>Расчет % готовности проекта по состоянию проектной продукции</t>
  </si>
  <si>
    <t>Регистрация фактически выпущенной проектной продукции</t>
  </si>
  <si>
    <t>Не типовой профиль</t>
  </si>
  <si>
    <t xml:space="preserve">Резервы </t>
  </si>
  <si>
    <t>РПО</t>
  </si>
  <si>
    <t>РК</t>
  </si>
  <si>
    <t>Резервы</t>
  </si>
  <si>
    <t>1.Проводится серия 5 встреч на которой рабочей группе Заказчика демонстрируется, и поясняется  стандартный сценарий (На нашем примере).
2. По результатам демонстрации Заказчик получает Excel Сценария, и демо базу (с нашим примером)
2. Задача Заказчика Изучить этот сценарий, и принять решение подходит ли он для запуска у Заказчика, или нет. Если не подходит, то проект нужно переквалифицировать в ПРОФ, и допродавать.</t>
  </si>
  <si>
    <t>1. Домоделирование Стандартного сценария с Фазы 2 силами Исполнителя не подразумевается. 
2. Предполагается, что внедрение будет осуществляться "с колес" силами специалистов Заказчика, с консультациями Исполнителя в рамках Запуска в опытную эксплуатацию.</t>
  </si>
  <si>
    <t>Этапы</t>
  </si>
  <si>
    <t>Исполнитель</t>
  </si>
  <si>
    <t>Отчетные документы (один документ по одной задаче)</t>
  </si>
  <si>
    <t>Итоговая длительность, раб.д.</t>
  </si>
  <si>
    <t>Длительность, раб.д.</t>
  </si>
  <si>
    <t>Согласование результатов Заказчиком, раб.д.</t>
  </si>
  <si>
    <t>Бюджет КП, руб.</t>
  </si>
  <si>
    <t>Резерв компании (Наценка продавца), руб.</t>
  </si>
  <si>
    <t>Резерв РПО, руб.</t>
  </si>
  <si>
    <t>Бюджет с учетом рисков и командировочных, руб.</t>
  </si>
  <si>
    <t>Командировочные расходы, руб.</t>
  </si>
  <si>
    <t>Кол-во человеко-дней (сумма дней по всем командируемым) командировок, кал.д.</t>
  </si>
  <si>
    <t>Кол-во командировок, шт.</t>
  </si>
  <si>
    <t>Кол-во командируемых, чел.</t>
  </si>
  <si>
    <t>Бюджет с учетом рисков, руб.</t>
  </si>
  <si>
    <t>Риски этапа, %</t>
  </si>
  <si>
    <t>Бюджет по загрузке, руб.</t>
  </si>
  <si>
    <t>Длительность для расчета трудоемкости, раб.д.</t>
  </si>
  <si>
    <t>Итого трудозатраты этапа, час.</t>
  </si>
  <si>
    <t>Руководитель проекта</t>
  </si>
  <si>
    <t>Аналитик (консультант)</t>
  </si>
  <si>
    <t>Аналитик (эксперт)</t>
  </si>
  <si>
    <t>Главный архитектор</t>
  </si>
  <si>
    <t>Программист 1</t>
  </si>
  <si>
    <t>Программист 2</t>
  </si>
  <si>
    <t>Куратор</t>
  </si>
  <si>
    <t>% загрузки</t>
  </si>
  <si>
    <t>Трудозатраты</t>
  </si>
  <si>
    <t>Совместный проект</t>
  </si>
  <si>
    <t xml:space="preserve">Инициация проекта </t>
  </si>
  <si>
    <t>ITLand</t>
  </si>
  <si>
    <t>Протокол проведения установочной встречи.</t>
  </si>
  <si>
    <t>Уточнение требований к реализации по шагам типового сценария работ в ПП</t>
  </si>
  <si>
    <r>
      <t>1. Проводяится не более 5 встреч с рабочей группой Заказчика с подробным рассмотрением сценария по шагам.
2. В ходе одной их вчстреч  уточняются требования к интеграции, изучается аналитика ведеиня данных в смежной системе учета трудозатрат и формат данных для обмена с АСУТ
3. Всего проводится не более 5 встреч по 2 часа, с последующей фиксацией результатов в протоколе
4. ПО результатам проведенных встреч формируется запрос на предоставление НСИ и подготовку данных к запуску в опытную эксплуатацию.
5. Работа проводится удаленно
6</t>
    </r>
    <r>
      <rPr>
        <sz val="8"/>
        <color theme="9" tint="-0.249977111117893"/>
        <rFont val="Verdana"/>
        <family val="2"/>
        <charset val="204"/>
      </rPr>
      <t>. По результатам установочной встречи Заказчик заполняет опросник для настройки информационной базы</t>
    </r>
  </si>
  <si>
    <t>1 .Сформированы запросы на подготвоку НСИ и подготовку данных по проектам для запуска в опытную эксплуатацию.
2. Требования к загрузке данных 
3.Зафиксированы ответственные и сроки работ
4. Переданы все шаблоны для заполнения Заказчиком
5. Заполненный опросник для настройки ИБ</t>
  </si>
  <si>
    <t>Протоколы проведеных встреч.</t>
  </si>
  <si>
    <t xml:space="preserve">Согласование и подписание акта выполненных работ и оплата согласно договора </t>
  </si>
  <si>
    <t>Заказчик</t>
  </si>
  <si>
    <t>1. Подписывается акт выполненных работ и производится оплата окончательного платежа по текущему этапу и предоплата следующего.</t>
  </si>
  <si>
    <t>Проведена приемка и оплата выполненных работ</t>
  </si>
  <si>
    <t>Акт выполненных работ</t>
  </si>
  <si>
    <t>Этап 2. Подготовка базы данных к запуску</t>
  </si>
  <si>
    <t>Подготовка Нормативно-справочной информации для загрузки</t>
  </si>
  <si>
    <t>1. Исполнитель осуществляет разворачивание базы данных, первичную настройку параметров учета, настройку системы защиты
2. Установка и настройка серверного программного обеспечения, установка WEB-сервера, установка платформы "1С:Предприятие" на рабочих местах пользователей, настройка списка информационных баз на рабочих местах пользователей и все другие работы по подготовке инфраструктуры осуществляются силами Заказчика вне рамок этапа
3. Работы выполняются на территории Исполнителя
4. Заказчик обеспечивает удаленный доступ к базе данных</t>
  </si>
  <si>
    <t>1. Настроенная рабочая база
2. Подготовленная инфраструктура</t>
  </si>
  <si>
    <t>Протокол настройки рабочей базы данных</t>
  </si>
  <si>
    <t>1. Загружаются данные предоставленные Заказчиком в виде файлов Excel по формату Исполнителя.
2. Заказчик предоставляет данные для загрузке в виде файлов Excel согласованного формата, Исполнитель загружает данные в ИС
3. При невозможности автоматической загрузки, данные вводятся в систему силами Заказчика в рамках тестовой эксплуатации системы
4. Заказчик предоставляет удаленный доступ к базе данных
6. Заказчик выделяет требуемое количество времени пользователей для успешного ввода/проверки ввода начальных данных в срок</t>
  </si>
  <si>
    <t>База данных с загруженной НСИ</t>
  </si>
  <si>
    <t>Протокол приемки работ по загрузке НСИ</t>
  </si>
  <si>
    <t>Этап 3. Обучение по типовому курсу "Базовый проект в PM"</t>
  </si>
  <si>
    <t>Обучение по типовому курсу "Базовый проект в PM"</t>
  </si>
  <si>
    <t>1. Обученные пользователи
2. Протокол прохождения обучения</t>
  </si>
  <si>
    <t>Протокол прохождения обучения</t>
  </si>
  <si>
    <t>Этап 4.  Запуск в опытную эксплуатацию</t>
  </si>
  <si>
    <t>Настройка рабочих мест пользователей</t>
  </si>
  <si>
    <t>1. Настроенные рабочие места
2. Протокол настройки рабочих мест</t>
  </si>
  <si>
    <t>Протокол настройки рабочих мест</t>
  </si>
  <si>
    <t>1. Протокол настройки прав доступа</t>
  </si>
  <si>
    <t>Протокол настройки прав доступа</t>
  </si>
  <si>
    <t xml:space="preserve"> Запуск в опытную эксплуатацию</t>
  </si>
  <si>
    <t>ITLand, Заказчик</t>
  </si>
  <si>
    <r>
      <t xml:space="preserve">1. Исполнитель выделяет 1 специалиста(ов)  на территории Заказчика по согласованному графику на период запуска системы в опытную эксплуатацию
2. Проводится не более 10 встреч на территории Заказчика по одному рабочему дню.
3. Заказчик обязан обеспечить регулярную работу пользователей в системе на всем протяжении этапа в соответствии с требованиями Исполнителя и рамками сценария работы в системе
4. </t>
    </r>
    <r>
      <rPr>
        <sz val="8"/>
        <color rgb="FFFF0000"/>
        <rFont val="Verdana"/>
        <family val="2"/>
        <charset val="204"/>
      </rPr>
      <t>Запуск системы в опытную эксплуатацию ограничен по времени. Все обращения пользователей не решенные в ходе этапа решаются в рамках опытной эксплуатации</t>
    </r>
  </si>
  <si>
    <t>Проведен запуск в опытную эксплуатацию</t>
  </si>
  <si>
    <t>Протокол запуска системы в опытную эксплуатацию</t>
  </si>
  <si>
    <t>1. Подписывается акт выполненных работ и производится оплата окончательного платежа по текущему этапу.</t>
  </si>
  <si>
    <r>
      <t>Развитие системы</t>
    </r>
    <r>
      <rPr>
        <b/>
        <sz val="8"/>
        <color rgb="FFFF0000"/>
        <rFont val="Verdana"/>
        <family val="2"/>
        <charset val="204"/>
      </rPr>
      <t xml:space="preserve"> (Отдельным ДС)</t>
    </r>
  </si>
  <si>
    <t>месяцев</t>
  </si>
  <si>
    <t>Серые ячейки рассчитываются автоматически - НЕ РЕДАКТИРОВАТЬ!!!</t>
  </si>
  <si>
    <t>Белые ячейки необходимо заполнить</t>
  </si>
  <si>
    <t>Константы</t>
  </si>
  <si>
    <t>Желтые ячейки необходимо актуализировать под конкретную продажу</t>
  </si>
  <si>
    <t>Ставка часа, руб.</t>
  </si>
  <si>
    <t>Рабочих часов в день</t>
  </si>
  <si>
    <t>Стоимость билета туда-обратно для 1-го человека</t>
  </si>
  <si>
    <t>Суточные</t>
  </si>
  <si>
    <t>Стоимость проживания за один день для одного человека</t>
  </si>
  <si>
    <t>Предшественник (№ Работы)</t>
  </si>
  <si>
    <t>Этап 1. Инициация и Уточнение требвоаний к ИС</t>
  </si>
  <si>
    <t>1. Подготовка к старту проекта (подготовка детального план-графика проекта, подготовка к демонстрации)
2.  Проведение установочной встречи: 
а) Презентация типового сценария работы в ПП (в целях понимания Заказчиком принимаемых работ)
б) Знакомство с командой
в) Обсуждение Целей проекта
г) Обсуждение плана ближайших работ
3. Длительность установочной встречи не более 4х  часов, количество участников Встречи не более 5(рабочая группа).
4. Работа проводится удаленно</t>
  </si>
  <si>
    <t>1 .Заказчик ознакомлен с типовой конфигурацией 1С:Управление проектами 
2. Сформирована команда проекта
3. Зафиксированы ответственные и сроки работ</t>
  </si>
  <si>
    <t>1.	Настраиваются рабочие места для стандартных профилей пользователей в соответствии с таблицей 1 "Профили и бизнес-роли" Приложения 4 к Дополнительному соглашению:
1.1.	Руководитель проектного офиса
1.2.	Руководитель проекта с доступом к финансовой информации
1.3.	Руководитель проекта без доступа к финансовой информации
1.4.	Финансист проектного офиса
1.5.	Исполнитель
2.	Настройка рабочих мест для профилей «Администратор» и «Администратор НСИ» не требуется
3. Настройка производится типовыми средствами настройки рабочего стола</t>
  </si>
  <si>
    <t>1.	Настраиваются права доступа для стандартных профилей пользователей в соответствии с таблицей 1 "Профили и бизнес-роли" Приложения 4 к Дополнительному соглашению::
1.1.	Администратор
1.2.	Администратор НСИ
1.3.	Руководитель проектного офиса
1.4.	Руководитель проекта с доступом к финансовой информации
1.5.	Руководитель проекта без доступа к финансовой информации
1.6.	Финансист проектного офиса
1.7.	Исполнитель
2. Настройка производится типовыми средствами настройки рабочего стола</t>
  </si>
  <si>
    <t>Дополнительное обучение в части настроек и администрирования ИС</t>
  </si>
  <si>
    <r>
      <t xml:space="preserve">1. Обучение </t>
    </r>
    <r>
      <rPr>
        <sz val="8"/>
        <color rgb="FFFF0000"/>
        <rFont val="Verdana"/>
        <family val="2"/>
        <charset val="204"/>
      </rPr>
      <t>1 группы не более 5 Специалистов по внедрению в части настроек и администрирования ИС</t>
    </r>
    <r>
      <rPr>
        <sz val="8"/>
        <color theme="1"/>
        <rFont val="Verdana"/>
        <family val="2"/>
        <charset val="204"/>
      </rPr>
      <t xml:space="preserve">
2. Обучение проводится для пользователей прошедших обучение по типовому курсу на предыдущем этапе
3. Обучение проводится в лекционном формате c выполнением практического примера
4. Обучение производится на территории и технической базе Заказчика
</t>
    </r>
  </si>
  <si>
    <t>1. Обученные специалисты по внедрению
2. Протокол прохождения обучения</t>
  </si>
  <si>
    <t>Подготовка данных по проектам к запуску в опытную эксплуатацию</t>
  </si>
  <si>
    <t>Этап 5. Поддержка в ходе эксплуатации ИС (в месяц)</t>
  </si>
  <si>
    <t>Ежемесячная техническая поддержка в обхеме не более 40 часов в месяц</t>
  </si>
  <si>
    <t xml:space="preserve">1. Обучение 10  ключевых сотрудников в группах по ролям на усмотрение Исполнителя:
  а. 2 группы по 5 пользователей (16 академических часов на группу)
2. Обучение проводится по типовому курсу обучения "Базовый проект в PM"
3. Обучение проводится в лекционном формате c выполнением практического примера
4. Обучение производится на территории и технической базе Заказчика
</t>
  </si>
  <si>
    <t>Бюджет КП, 
руб.</t>
  </si>
  <si>
    <t>Резерв РПО, 
руб.</t>
  </si>
  <si>
    <t>Командировочные расходы, 
руб.</t>
  </si>
  <si>
    <t>Стандартный проект</t>
  </si>
  <si>
    <t>Очередь "Стандартный Проект запуска Подсистемы РМ"</t>
  </si>
  <si>
    <t>Работы по Жизненному Циклу Проектирования и ввода в Опытную Эксплуатацию "Подсистемы РМ"</t>
  </si>
  <si>
    <t>Заказчик, ITLand</t>
  </si>
  <si>
    <t xml:space="preserve">Общие рамки Проекта внедрения:
1. "Подсистема РМ" используется без доработок с ограничениями по настройкам и вводу начальных данных.  Для реализации доработок и обучения дополнительных пользователей Заказчик заключит отдельный Договор.
2. Оценка очереди "Стандартный Проект запуска Подсистемы РМ" произведена для типового внедрения подсистемы "1C:PM Управление проектами". Оценки каждого из последующих очередей/этапов договора могут измениться в зависимости от результатов предыдущих очередей/этапов. В оценках не учтены командировочные расходы. Каждый последующий этап может быть начат только после окончательно принятого и оплаченного Заказчиком предыдущего этапа, и авансирования последующего Этапа.
3. Решение о возможности параллельного запуска проектирования последующих этапов и очередей Стороны принимают после завершения этапа "Подготовка данных для моделирования".
4. В случае использования документов и др. объектов подсистем Программного продукта их перечень ограничен объектами, которые заявлены как используемые в поставке "Подсистемы РМ" (- в конфигурации «Программного Продукта» это подмножество подсистем, имеющих префикс «упо») .
</t>
  </si>
  <si>
    <t>Инициация проекта</t>
  </si>
  <si>
    <t>1. Проводится одна встреча общей длительностью 6 (шесть) рабочих часов удаленно или на территории Заказчика
В ходе встречи проводится:
   1.1. Знакомство и обсуждение принципов взаимодействия проектных команд
   1.2. Обсуждение проекта содержания проекта внедрения
   1.3. обзор внедряемого решения.
   1.4. По результатам установочной встречи подписывается протокол, фиксирующий все достигнутые договоренности.
2. На основании подписанного протокола формируется документ "Содержание проекта". Содержание проекта фиксирует:
   2.1. Цели и задачи проекта
   2.2. Организационные, функциональные и методические рамки проекта.
   2.3. Документ разрабатывается по шаблону Исполнителя и является неотъемлемой частью договора.
   2.4. На основании подписанного документа Заказчик издает приказ о старте проекта, наделяющий Руководителя проекта и рабочую команду соответствующими обязанностями и полномочиями. 
3. Стороны вводят понятие "Подсистема РМ" - в конфигурации «Программного Продукта» это подмножество подсистем, имеющих префикс «упо»
3. Стороны в данном документе уточняют, что «Подсистема РМ» в составе «Программного Продукта» является рамками и частью функционала «Программного Продукта» для выполнения всех работ.
4. Масштаб данного Этапа и всех дальнейших работ Проекта ограничен работой "Подсистемы РМ" в Программном Продукте.
5. Исполнитель оставляет за собой право вести работы Проекта удаленно с использованием коммуникаций по Skype, либо другим средствам удаленной коммуникации.
6. Заказчик на своей стороне обеспечивает все средства коммуникации для ведения работ в удаленном режиме Исполнителя.</t>
  </si>
  <si>
    <t>1. Сформулированы цели, задачи и ограничения проекта
2. Сформирована проектная команда со стороны Заказчика</t>
  </si>
  <si>
    <t>1. Содержание проекта</t>
  </si>
  <si>
    <t>1. Заказчик подписывает "Протокол передачи шаблонов" и получает по данному Протоколу шаблоны Исполнителя для подготовки данных. Заказчик подготавливает данные для моделирования по шаблонам Исполнителя в формате MS Excel и MS Project
2. Заказчик предоставляет и согласует данные примера работы Заказчика: в масштабе от 1 до 3х проектов, с общим количеством задач до 100 задач, содержащих важные приемы управления проектами 
3. Заказчик в подготовленных документах MS Excel и MS Project самостоятельно указывает, в терминах Программного продукта, точные связи между: задачами и проектами, задачами и этапами, задачами и материалами, задачами и ролями, ролями и исполнителями, задачами и исполнителями, задачами и объемами, задачами и бюджетами
4. Заказчик предоставляет и согласует данные для моделирования всех табличных частей задач Проектов для документа Проектная задача, а также для документов учета Фактических данных по Проектам в «Подсистеме РМ». Суммарное количество строк моделирования всех табличных частей, для всех видов документов "Подсистемы РМ", не должно превышать 1000(одной тысячи) строк.
5. Заказчик предоставляет для моделирования только достаточные для моделирования, непротиворечивые, и окончательно утвержденные данные: Планы-Структуры Проектов, их ресурсов и др. данные согласно шаблонам полученным от Исполнителя по Протоколу.
6. Заказчик готовит и подписывает  "Протокол передачи исходных данных" с Приложениями отражающими состав данных каждого из передаваемых файлов данных для Моделирования.
7. Исполнитель проверяет достаточность предоставленных данных, дает рекомендации по формату их подготовки в объеме не более 4-х часов</t>
  </si>
  <si>
    <t>1. Подготовлены исходные данные для проведения моделирования</t>
  </si>
  <si>
    <t>1. Протокол передачи исходных данных</t>
  </si>
  <si>
    <t>1. Моделируется типовой сценарий прохождения сквозного процесса в системе на данных предоставленных Заказчиком
2. Моделируется данные предоставленные Заказчиком в результате работы "Подготовка данных для моделирования".
3. Работа выполняется на территории и на серверах Исполнителя
4. Реализация выявленных доработок в рамках договора не осуществляется. При необходимости доработки реализуются в рамках дополнительного соглашения к договору
5. Заказчик типизирует все отчетные формы и формы документов для целей минимизации последующих доработок
6. Исполнитель самостоятельно выбирает средства и формы описания процессов.
7. Заказчик принимает документы-результаты в формате PDF файлов.
8. Заказчик отвечает на вопросы Исполнителя и согласует решения по рабочим вопросам не более чем в течении 2х рабочих дней с момента обращения Исполнителя
9. Заказчик согласует или предлагает конечный перечень корректировок к документации в течении 2х дней с момента передачи документации Исполнителем Заказчику по электронной почте. Указанный режим согласования Заказчик соблюдает также на всех последующих этапах Проекта.
10. В рамки проекта не входит разработка нормативно-методической документации
11. В рамки проекта не входит описание и оптимизация всех бизнес-процессов Заказчика
12. Исполнитель вводит данные предоставленные Заказчиком в программу 1 раз.
13. По мере ввода данных (структуры проекта, бюджетов и т.д.) и заполнения данных  (сроков, затрат и т.д.) в Модельной базе Заказчик согласует промежуточные результаты моделирования в протоколах, предоставляемых Исполнителем
14. "Типовой сценарий прохождения сквозного примера в системе" Заказчик принимает по форме и в нотации Исполнителя. 
15. "Типовой сценарий прохождения сквозного примера в системе" - Заказчик согласует в составе команды Проекта. 
16. Исполнитель осуществляет работы по Моделированию на своих компьютерах и серверах
17. Исполнитель передает результаты работ через FTP протокол со своего сервера и / или по электронной почте в адрес Руководителя Проекта Заказчика
18. Все операции не предусмотренные типовым функционалом "Подсистемы РМ" Заказчик оформляет самостоятельно в форме файла MS Word как фиксируются как "Требования Заказчика к дополнительному функционалу Программного Продукта" и не подлежат оценке и реализации в рамках настоящего договора
19. Исполнитель передает Заказчику все документы, исходные данные Моделирования и модельные базы только после подписания Заказчиком Акта по всему Этапу "Проектирование"
20. Заказчик подписывает ежедневный Протокол о проведении работ</t>
  </si>
  <si>
    <t>1. Сценарий прохождения сквозного примера в объектах системы по форме и в нотации Исполнителя</t>
  </si>
  <si>
    <t>1. Протокол приемки сценария</t>
  </si>
  <si>
    <t>Закрытие этапа и подписание акта выполненных работ</t>
  </si>
  <si>
    <t>1. Проводится статус совещание, утверждающее завершение этапа и его результаты, подписывается статус отчет и актуализированный план-график проекта.
2. Подписывается акт выполненных работ 
3. Окончательный платеж по подписанному акту и предоплата последующих работ производится производится согласно договору.</t>
  </si>
  <si>
    <t>1. Этап работ закрыт
2. Акт выполненных работ подписан
3. Статус отчет и актуализированный план-график проекта подписаны</t>
  </si>
  <si>
    <t>1. Акт выполненных работ</t>
  </si>
  <si>
    <t>Этап 2. Подготовка "Подсистемы РМ" в базе данных  "База 1С для Запуска в опытную эксплуатацию"</t>
  </si>
  <si>
    <t>1. Заказчик готовит данные нормативно-справочной информации в виде файлов MS Excel по формату Исполнителя. Исполнитель осуществляет приемку подготовленных данных на предмет корректности заполнения шаблонов.
2. Заказчик предоставляет данные для загрузки в виде файлов MS Excel согласованного формата и загружает их средствами предоставленными Исполнителем, а Исполнитель оказывает консультации Заказчику
3. При невозможности загрузки предоставленных данных, данные вводятся в систему силами Заказчика в рамках этапа 5 "Запуск в опытную эксплуатацию"
4. Заказчик предоставляет Исполнителю удаленный доступ к базе данных и другим необходимым для выполнения работ ресурсам.
6. Заказчик выделяет требуемое количество времени пользователей для успешной подготовки/проверки ввода начальных данных в срок
7. В случае появления дополнительных данных Заказчик не увеличивает длительность данного этапа работ и продолжает работы самостоятельно после завершения Исполнителем обязательств по данному Этапу.</t>
  </si>
  <si>
    <t>1. Подготовленная нормативно-справочная информация в формате Исполнителя</t>
  </si>
  <si>
    <t>1. Протокол подготовки нормативно-справочной информации</t>
  </si>
  <si>
    <t>Этап 3.Оформление документации "Описание работы пользователей"</t>
  </si>
  <si>
    <t>1. Исполнитель передает Заказчику набор стандартных документов. Исполнитель оформляет количество документов, содержание и формат по своему шаблону
2. Заказчик единожды формирует полные, непротиворечивые и достоверные, согласованные в документе "Протокол передачи данных для оформления документации пользователя" (в рамках Договора) требования к дополнительному оформлению документации
3. Ответственное лицо Заказчика, совместно с Исполнителем  формируют дополнения и изменения - вводят информацию в стандартные документы, а также корректируют существующее наполнение стандартных документов. 
4. Исполнитель оставляет за собой право проводить работы данного этапа удаленно посредством программы Skype. Заказчик обязуется обеспечить все необходимые средства и режимы Ответственного лица для коммуникаций со своей стороны</t>
  </si>
  <si>
    <t>1. Документация "Описание работы пользователей"</t>
  </si>
  <si>
    <t>1. Протокол приемки документации "Описание работы пользователей"</t>
  </si>
  <si>
    <t>Этап 4. Обучение пользователей</t>
  </si>
  <si>
    <t>1. Заказчик формирует группы пользователей и совместно с Исполнителей согласует график обучения
2. Заказчик готовит учебный класс и всю необходимую инфраструктуру
3. Исполнитель готовит раздаточные материалы для слушателей на основании Описания работы пользователей системы и подготавливает базы данных для проведения обучения</t>
  </si>
  <si>
    <t>1. Согласованный План Обучения
2. Подготовлена инфраструктура
3. Подготовлены раздаточные материалы</t>
  </si>
  <si>
    <t>1. Протокол подготовки обучения</t>
  </si>
  <si>
    <t>Обучение пользователей</t>
  </si>
  <si>
    <t>1. Обучение согласованного в Плане обучения 35 пользователей в разбивке на три группы по 5 человек ключевых пользователей и 2 группы по 10 рядовых исполнителей, на усмотрение Исполнителя.  Не более 12 часов чистого времени обучения на 1 группу ключевых пользователе и не более 4 часов на 1 группу исполнителей. Блоки обучения Заказчик обеспечивает и организует не менее чем по 6 часов в один день. 
2. Обучение проходит в Классе обучения оборудованном Заказчиком, либо в удаленном режиме. Рабочие настройки систем для доступа Пользователей организует и обеспечивает Заказчик.
3. При обучении в классе обучения на территории Заказчика или в удаленном режиме: Исполнитель оставляет за собой право проводить обучение на серверах Исполнителя в терминальном режиме работы с программой. Заказчик обеспечивает доступ в терминальный режим сервера Исполнителя.
4. Заказчик сам исключает риски не учета при обучении специалистов из региональных офисов для изучения корректности работы функционала.
5. Для обучения приемам работы Исполнитель может использовать данные не входящие в модельную базу Заказчика
6. Заказчик самостоятельно своими силами комплектует группы и обеспечивает явку.
7. Заказчик обеспечивает график обучения так, чтобы дни обучения каждой группы следовали один за другим подряд без перерывов. 
8. Обучение проходит по согласованной на этапе "Моделирование" документу "Сценарий прохождения сквозного примера"</t>
  </si>
  <si>
    <t>1. Обученные пользователи</t>
  </si>
  <si>
    <t>1. Протокол прохождения обучения</t>
  </si>
  <si>
    <t>Этап 5. Запуск в опытную эксплуатацию</t>
  </si>
  <si>
    <t>Подготовка к запуску в опытную эксплуатацию</t>
  </si>
  <si>
    <t>1. Заказчик определяет перечень проектов необходимых и достаточных для прохождения всех шагов сценария в ходе запуска в опытную эксплуатацию;
2. Заказчик подготавливает все необходимые данные для занесения в систему по выбранным проектам;
3. Заказчик совместно с Исполнителей согласует график проведения работ по запуску системы в опытную эксплуатацию:
   3.1. Ответственные лица за внесение данных
   3.2. График внесения данных с учетом загрузки ответственных лиц
   3.3. График (даты и время) оказания консультация в ходе запуска в опытную эксплуатацию специалистами Исполнителя</t>
  </si>
  <si>
    <t>Согласован объем запуска в опытную эксплуатацию ответственные и график запуска в опытную эксплуатацию</t>
  </si>
  <si>
    <t>1. Протокол готовности к запуску системы в опытную  эксплуатацию</t>
  </si>
  <si>
    <t xml:space="preserve">Запуск в опытную эксплуатацию </t>
  </si>
  <si>
    <t>1. Исполнитель выделяет 1 специалиста на территории Заказчика, либо удаленно по согласованному при подготовке к запуске в ОЭ графику. Специалист Исполнителя проводит консультации Пользователей Заказчика по обращениям.
2. Проводится не более 10 встреч на территории Заказчика по одному рабочему дню.
3. Заказчик обязан обеспечить регулярную работу пользователей в системе на всем протяжении этапа в соответствии с требованиями Исполнителя и рамками сценария работы в системе
4. Запуск системы в опытную эксплуатацию ограничен по времени. Все обращения пользователей не решенные в ходе данного этапа решаются в рамках опытной эксплуатации
5. Заказчик обеспечивает Исполнителя поддержкой Системных Администраторов в реальном времени в течении всего рабочего времени Исполнителя.
6. Исполнитель проводит работы в подготовленной на Этапе №2 базе 1С
7. Заказчик подписывает ежедневный Протокол о проведении работ</t>
  </si>
  <si>
    <t>1. Проведен запуск в опытную эксплуатацию.</t>
  </si>
  <si>
    <t>1. Протокол запуска системы в опытную  эксплуатацию</t>
  </si>
  <si>
    <t>Этап 6. Опытная эксплуатация</t>
  </si>
  <si>
    <t xml:space="preserve">1. Опытная эксплуатация Заказчиком "Подсистемы РМ" на реальных данных на условии почасовой оплаты 
2. Специалист Исполнителя проводит консультации Пользователей </t>
  </si>
  <si>
    <t>1. Работа выполняется на условиях почасовой оплаты. Специалист Исполнителя проводит консультации по обращениям Пользователей Заказчика.
2. Актирование производится ежемесячно на основании фактических трудозатрат Исполнителя в соответствии с ежемесячными отчетами о выполненных работах из расчета 3900(три тысячи девятьсот) руб. за 1 час.
3. Текущая оценка является предварительной и дана из расчета 40 трудочасов работы Исполнителя
4. Работа контрактуется отдельным договором (или дополнительным соглашением) на почасовые работы
5. Работа выполняется на территории Исполнителя, при необходимости выезда к Заказчику время выезда и накладные расходы оплачиваются дополнительно
6. Заказчик продолжает работы на базе Этапа №5. Если Заказчик меняет базу 1С, то Заказчик своими силами и за свой счет обеспечивает всю работоспособность новой базы 1С (настройки и другие необходимые условия обеспечения функциональности "Подсистемы РМ") для проведения работ данного этапа.
7. Заказчик подписывает ежедневный Протокол о проведении работ (или Лист учета рабочего времени)</t>
  </si>
  <si>
    <t>1. Отчет о выполненных работах</t>
  </si>
  <si>
    <r>
      <t>Закрытие этапа и подписание акта выполненных работ по результатам 1-го календарного месяца</t>
    </r>
    <r>
      <rPr>
        <strike/>
        <sz val="9"/>
        <color rgb="FFFF0000"/>
        <rFont val="Verdana"/>
        <family val="2"/>
        <charset val="204"/>
      </rPr>
      <t xml:space="preserve"> </t>
    </r>
  </si>
  <si>
    <t>1. Проводится статус совещание, подписывается статус отчет и актуализированный план-график проекта.
2. Подписывается акт выполненных работ 
3. Окончательный платеж по подписанному акту и предоплата последующих работ производится производится согласно договору.</t>
  </si>
  <si>
    <t>2. Акт выполненных работ подписан
3. Статус отчет и актуализированный план-график проекта подписаны</t>
  </si>
  <si>
    <t>Закрытие этапа и подписание акта выполненных работ по результатам 2-го календарного месяца</t>
  </si>
  <si>
    <t>1. Проводится статус совещание, утверждающее завершение этапа и его результаты, подписывается статус отчет, подводятся итоги проекта
2. Подписывается акт выполненных работ 
3. Окончательный платеж по подписанному акту и предоплата последующих работ производится производится согласно договору.</t>
  </si>
  <si>
    <t xml:space="preserve">Этап 1. Инициация и Уточнение требвоаний к ИС </t>
  </si>
  <si>
    <t>Этап 2. Проектирование системы</t>
  </si>
  <si>
    <r>
      <t xml:space="preserve">Работы: </t>
    </r>
    <r>
      <rPr>
        <sz val="11"/>
        <color rgb="FF000000"/>
        <rFont val="Calibri"/>
        <family val="2"/>
        <charset val="204"/>
        <scheme val="minor"/>
      </rPr>
      <t>Проводится Установочная встреча и серия интервью с ключевыми пользвоателями. По результатам Принимается решени о покрытии сандартным сценарием требвоаний заказчика на первую очередь запуска</t>
    </r>
    <r>
      <rPr>
        <b/>
        <sz val="11"/>
        <color rgb="FF000000"/>
        <rFont val="Calibri"/>
        <family val="2"/>
        <charset val="204"/>
        <scheme val="minor"/>
      </rPr>
      <t xml:space="preserve">
Результаты:
</t>
    </r>
    <r>
      <rPr>
        <sz val="11"/>
        <color rgb="FF000000"/>
        <rFont val="Calibri"/>
        <family val="2"/>
        <charset val="204"/>
        <scheme val="minor"/>
      </rPr>
      <t>1. Содержание проекта (Устав).  
2. Погружение рабочей группы Заказчика в особенности и ограничения стандартного сценария. Принимаетс ярешение о продолжении работ по выбранной технологии</t>
    </r>
  </si>
  <si>
    <r>
      <t xml:space="preserve">Работы: </t>
    </r>
    <r>
      <rPr>
        <sz val="11"/>
        <color rgb="FF000000"/>
        <rFont val="Calibri"/>
        <family val="2"/>
        <charset val="204"/>
        <scheme val="minor"/>
      </rPr>
      <t>Проводится моделирование стандартного сценария на тестовых данных Заказчика. В ходе моделирования проводится серия встреч-демонстраций по обсуждению сценария действий пользователей в системе, подходов к ведению данных (ПЛанированию проектов).</t>
    </r>
    <r>
      <rPr>
        <b/>
        <sz val="11"/>
        <color rgb="FF000000"/>
        <rFont val="Calibri"/>
        <family val="2"/>
        <charset val="204"/>
        <scheme val="minor"/>
      </rPr>
      <t xml:space="preserve">
Результаты:
</t>
    </r>
    <r>
      <rPr>
        <sz val="11"/>
        <color rgb="FF000000"/>
        <rFont val="Calibri"/>
        <family val="2"/>
        <charset val="204"/>
        <scheme val="minor"/>
      </rPr>
      <t>1. Сценарий действий пользователя в системе (Что будет запускаться на базе Стандартного сценария и базового функицонала).</t>
    </r>
  </si>
  <si>
    <r>
      <t xml:space="preserve">Работы: </t>
    </r>
    <r>
      <rPr>
        <sz val="11"/>
        <color rgb="FF000000"/>
        <rFont val="Calibri"/>
        <family val="2"/>
        <charset val="204"/>
        <scheme val="minor"/>
      </rPr>
      <t>Подготавливается дабочая база данных с настроенными параметрами учета, загруженными справочниками (НСИ), настроенными правами доступа и интерфейсами</t>
    </r>
    <r>
      <rPr>
        <b/>
        <sz val="11"/>
        <color rgb="FF000000"/>
        <rFont val="Calibri"/>
        <family val="2"/>
        <charset val="204"/>
        <scheme val="minor"/>
      </rPr>
      <t xml:space="preserve">
Результаты:
</t>
    </r>
    <r>
      <rPr>
        <sz val="11"/>
        <color rgb="FF000000"/>
        <rFont val="Calibri"/>
        <family val="2"/>
        <charset val="204"/>
        <scheme val="minor"/>
      </rPr>
      <t>Протокол настройки прав доступа с матрицей прав доступа; 
Протокол настройки рабочей базы данных с приложением перечня настраиваемых объектов. 
В базе делаются: 
1.  Настройки параметров учета проектного контура
2. Настройки начального рабочего стола, Избранное 
3. Стандартный пакет отчетности согласно базового сценария
4. Настройка прав доступа в части назначения стандартных профилей прав доступа по заполненной Заказчиком матрице. 
5. Загрузка НСИ проектного контура из Excel (Подготавливает Заказчик по формату Исполнителя).</t>
    </r>
  </si>
  <si>
    <r>
      <t xml:space="preserve">Работы: 
1. Дорабатывается под согласованнуй сценарий Стандартная </t>
    </r>
    <r>
      <rPr>
        <sz val="11"/>
        <color rgb="FF000000"/>
        <rFont val="Calibri"/>
        <family val="2"/>
        <charset val="204"/>
        <scheme val="minor"/>
      </rPr>
      <t xml:space="preserve"> интсрукция пользователяей по ролям; </t>
    </r>
  </si>
  <si>
    <r>
      <t xml:space="preserve">Работы: </t>
    </r>
    <r>
      <rPr>
        <sz val="11"/>
        <color rgb="FF000000"/>
        <rFont val="Calibri"/>
        <family val="2"/>
        <charset val="204"/>
        <scheme val="minor"/>
      </rPr>
      <t>Проводится обучение</t>
    </r>
    <r>
      <rPr>
        <b/>
        <sz val="11"/>
        <color rgb="FF000000"/>
        <rFont val="Calibri"/>
        <family val="2"/>
        <charset val="204"/>
        <scheme val="minor"/>
      </rPr>
      <t xml:space="preserve"> Специалистов по внедрению Заказчика</t>
    </r>
    <r>
      <rPr>
        <sz val="11"/>
        <color rgb="FF000000"/>
        <rFont val="Calibri"/>
        <family val="2"/>
        <charset val="204"/>
        <scheme val="minor"/>
      </rPr>
      <t xml:space="preserve"> в группах 5 человек по ролям</t>
    </r>
    <r>
      <rPr>
        <b/>
        <sz val="11"/>
        <color rgb="FF000000"/>
        <rFont val="Calibri"/>
        <family val="2"/>
        <charset val="204"/>
        <scheme val="minor"/>
      </rPr>
      <t xml:space="preserve"> по стандартному сценарию</t>
    </r>
  </si>
  <si>
    <r>
      <t xml:space="preserve">Работы: </t>
    </r>
    <r>
      <rPr>
        <sz val="11"/>
        <color rgb="FF000000"/>
        <rFont val="Calibri"/>
        <family val="2"/>
        <charset val="204"/>
        <scheme val="minor"/>
      </rPr>
      <t xml:space="preserve">Проводится обучение </t>
    </r>
    <r>
      <rPr>
        <b/>
        <sz val="11"/>
        <color rgb="FF000000"/>
        <rFont val="Calibri"/>
        <family val="2"/>
        <charset val="204"/>
        <scheme val="minor"/>
      </rPr>
      <t>конечных пользователей</t>
    </r>
    <r>
      <rPr>
        <sz val="11"/>
        <color rgb="FF000000"/>
        <rFont val="Calibri"/>
        <family val="2"/>
        <charset val="204"/>
        <scheme val="minor"/>
      </rPr>
      <t xml:space="preserve"> в группах 5-10 человек по ролям</t>
    </r>
    <r>
      <rPr>
        <b/>
        <sz val="11"/>
        <color rgb="FF000000"/>
        <rFont val="Calibri"/>
        <family val="2"/>
        <charset val="204"/>
        <scheme val="minor"/>
      </rPr>
      <t xml:space="preserve"> по согласованному сценарию по результатам моделирования. </t>
    </r>
  </si>
  <si>
    <r>
      <t xml:space="preserve">Работы: </t>
    </r>
    <r>
      <rPr>
        <sz val="11"/>
        <color rgb="FF000000"/>
        <rFont val="Calibri"/>
        <family val="2"/>
        <charset val="204"/>
        <scheme val="minor"/>
      </rPr>
      <t xml:space="preserve">Разработа графика ввода в ОЭ, консультации </t>
    </r>
    <r>
      <rPr>
        <b/>
        <sz val="11"/>
        <color rgb="FF000000"/>
        <rFont val="Calibri"/>
        <family val="2"/>
        <charset val="204"/>
        <scheme val="minor"/>
      </rPr>
      <t xml:space="preserve">Специалистов по внедрению Заказчика (3-я лини поддержки)
Результаты: </t>
    </r>
    <r>
      <rPr>
        <sz val="11"/>
        <color rgb="FF000000"/>
        <rFont val="Calibri"/>
        <family val="2"/>
        <charset val="204"/>
        <scheme val="minor"/>
      </rPr>
      <t>За короткий срок пользователями при поддержке специалистов по внедрению Заказчика протестирован сквозной сценарий.</t>
    </r>
  </si>
  <si>
    <r>
      <t xml:space="preserve">Работы: </t>
    </r>
    <r>
      <rPr>
        <sz val="11"/>
        <color rgb="FF000000"/>
        <rFont val="Calibri"/>
        <family val="2"/>
        <charset val="204"/>
        <scheme val="minor"/>
      </rPr>
      <t>Разработа графика ввода в ОЭ, консультации</t>
    </r>
    <r>
      <rPr>
        <b/>
        <sz val="11"/>
        <color rgb="FF000000"/>
        <rFont val="Calibri"/>
        <family val="2"/>
        <charset val="204"/>
        <scheme val="minor"/>
      </rPr>
      <t xml:space="preserve"> конечных пользователей</t>
    </r>
    <r>
      <rPr>
        <b/>
        <sz val="11"/>
        <color rgb="FF000000"/>
        <rFont val="Calibri"/>
        <family val="2"/>
        <charset val="204"/>
        <scheme val="minor"/>
      </rPr>
      <t xml:space="preserve">
Результаты: </t>
    </r>
    <r>
      <rPr>
        <sz val="11"/>
        <color rgb="FF000000"/>
        <rFont val="Calibri"/>
        <family val="2"/>
        <charset val="204"/>
        <scheme val="minor"/>
      </rPr>
      <t>За короткий срок пользователяи протестирован сквозной сценарий полностью, устранены, либо по согласованию отнесены на ОЭ выявленные некритичные вопрос</t>
    </r>
  </si>
  <si>
    <r>
      <t xml:space="preserve">Работы: </t>
    </r>
    <r>
      <rPr>
        <sz val="11"/>
        <color rgb="FF000000"/>
        <rFont val="Calibri"/>
        <family val="2"/>
        <charset val="204"/>
        <scheme val="minor"/>
      </rPr>
      <t>Проводится обучение в группах Администраторов ИС:</t>
    </r>
    <r>
      <rPr>
        <b/>
        <sz val="11"/>
        <color rgb="FF000000"/>
        <rFont val="Calibri"/>
        <family val="2"/>
        <charset val="204"/>
        <scheme val="minor"/>
      </rPr>
      <t xml:space="preserve">
</t>
    </r>
    <r>
      <rPr>
        <sz val="11"/>
        <color rgb="FF000000"/>
        <rFont val="Calibri"/>
        <family val="2"/>
        <charset val="204"/>
        <scheme val="minor"/>
      </rPr>
      <t xml:space="preserve">1. </t>
    </r>
    <r>
      <rPr>
        <b/>
        <sz val="11"/>
        <color rgb="FF000000"/>
        <rFont val="Calibri"/>
        <family val="2"/>
        <charset val="204"/>
        <scheme val="minor"/>
      </rPr>
      <t xml:space="preserve"> По стандартному сценарию</t>
    </r>
    <r>
      <rPr>
        <sz val="11"/>
        <color rgb="FF000000"/>
        <rFont val="Calibri"/>
        <family val="2"/>
        <charset val="204"/>
        <scheme val="minor"/>
      </rPr>
      <t xml:space="preserve">
2. Ведению НСИ в системе</t>
    </r>
  </si>
  <si>
    <r>
      <t xml:space="preserve">Работы: </t>
    </r>
    <r>
      <rPr>
        <sz val="11"/>
        <color rgb="FF000000"/>
        <rFont val="Calibri"/>
        <family val="2"/>
        <charset val="204"/>
        <scheme val="minor"/>
      </rPr>
      <t>Проводится обучение в группах Администраторов ИС:</t>
    </r>
    <r>
      <rPr>
        <b/>
        <sz val="11"/>
        <color rgb="FF000000"/>
        <rFont val="Calibri"/>
        <family val="2"/>
        <charset val="204"/>
        <scheme val="minor"/>
      </rPr>
      <t xml:space="preserve">
</t>
    </r>
    <r>
      <rPr>
        <sz val="11"/>
        <color rgb="FF000000"/>
        <rFont val="Calibri"/>
        <family val="2"/>
        <charset val="204"/>
        <scheme val="minor"/>
      </rPr>
      <t xml:space="preserve">1.  </t>
    </r>
    <r>
      <rPr>
        <b/>
        <sz val="11"/>
        <color rgb="FF000000"/>
        <rFont val="Calibri"/>
        <family val="2"/>
        <charset val="204"/>
        <scheme val="minor"/>
      </rPr>
      <t xml:space="preserve">По согласованному сценарию по результатам моделирования. </t>
    </r>
    <r>
      <rPr>
        <sz val="11"/>
        <color rgb="FF000000"/>
        <rFont val="Calibri"/>
        <family val="2"/>
        <charset val="204"/>
        <scheme val="minor"/>
      </rPr>
      <t xml:space="preserve">
2. Ведению НСИ в системе</t>
    </r>
  </si>
  <si>
    <r>
      <t>1С:КП Отраслевой ПРОФ, 3-й Категории на 12 месяцев, при подключении после перерыва</t>
    </r>
    <r>
      <rPr>
        <vertAlign val="superscript"/>
        <sz val="12"/>
        <rFont val="Times New Roman"/>
        <family val="1"/>
        <charset val="204"/>
      </rPr>
      <t>(2)</t>
    </r>
  </si>
  <si>
    <r>
      <t>1С:КП Отраслевой ПРОФ, 3-й Категории на 6 месяцев, при подключении после перерыва</t>
    </r>
    <r>
      <rPr>
        <vertAlign val="superscript"/>
        <sz val="12"/>
        <rFont val="Times New Roman"/>
        <family val="1"/>
        <charset val="204"/>
      </rPr>
      <t>(2)</t>
    </r>
  </si>
  <si>
    <r>
      <t>1С:КП Отраслевой ПРОФ, 3-й Категории на 3 месяца, при подключении после перерыва</t>
    </r>
    <r>
      <rPr>
        <vertAlign val="superscript"/>
        <sz val="12"/>
        <rFont val="Times New Roman"/>
        <family val="1"/>
        <charset val="204"/>
      </rPr>
      <t>(2)</t>
    </r>
  </si>
  <si>
    <r>
      <t>1С:КП Отраслевой ПРОФ, 3-й Категории на 1 месяц, при подключении после перерыва</t>
    </r>
    <r>
      <rPr>
        <vertAlign val="superscript"/>
        <sz val="12"/>
        <rFont val="Times New Roman"/>
        <family val="1"/>
        <charset val="204"/>
      </rPr>
      <t>(2)</t>
    </r>
  </si>
  <si>
    <t>1С:КП Отраслевой ПРОФ 3-й Категории + 1С:КП Базовый, на 12 месяцев</t>
  </si>
  <si>
    <t>1С:КП Отраслевой ПРОФ 3-й Категории + 1С:КП Базовый, на 6 месяцев</t>
  </si>
  <si>
    <t>1С:КП Отраслевой ПРОФ 3-й Категории + 1С:КП Базовый, на 3 месяца</t>
  </si>
  <si>
    <t>1С:КП Отраслевой ПРОФ 3-й Категории + 1С:КП Базовый, на 1 месяц</t>
  </si>
  <si>
    <r>
      <t>1С:КП Отраслевой ПРОФ 3-й Категории на 3 месяца, при подключении после перерыва</t>
    </r>
    <r>
      <rPr>
        <vertAlign val="superscript"/>
        <sz val="12"/>
        <rFont val="Times New Roman"/>
        <family val="1"/>
        <charset val="204"/>
      </rPr>
      <t>(2)</t>
    </r>
  </si>
  <si>
    <t>1С:КП Отраслевой ПРОФ, 2-й Категории + 1С:КП Базовый, на 12 месяцев</t>
  </si>
  <si>
    <t>1С:КП Отраслевой ПРОФ, 2-й Категории + 1С:КП Базовый, на 6 месяцев</t>
  </si>
  <si>
    <t>1С:КП Отраслевой ПРОФ, 2-й Категории + 1С:КП Базовый, на 3 месяца</t>
  </si>
  <si>
    <t>1С:КП Отраслевой ПРОФ, 2-й Категории + 1С:КП Базовый, на 1 месяц</t>
  </si>
  <si>
    <r>
      <t>1С:КП Отраслевой ПРОФ, 2-й Категории на 12 месяцев, при подключении после перерыва</t>
    </r>
    <r>
      <rPr>
        <vertAlign val="superscript"/>
        <sz val="12"/>
        <rFont val="Times New Roman"/>
        <family val="1"/>
        <charset val="204"/>
      </rPr>
      <t>(2)</t>
    </r>
  </si>
  <si>
    <r>
      <t>1С:КП Отраслевой ПРОФ, 2-й Категории на 6 месяцев, при подключении после перерыва</t>
    </r>
    <r>
      <rPr>
        <vertAlign val="superscript"/>
        <sz val="12"/>
        <rFont val="Times New Roman"/>
        <family val="1"/>
        <charset val="204"/>
      </rPr>
      <t>(2)</t>
    </r>
  </si>
  <si>
    <r>
      <t>1С:КП Отраслевой ПРОФ, 2-й Категории на 3 месяца, при подключении после перерыва</t>
    </r>
    <r>
      <rPr>
        <vertAlign val="superscript"/>
        <sz val="12"/>
        <rFont val="Times New Roman"/>
        <family val="1"/>
        <charset val="204"/>
      </rPr>
      <t>(2)</t>
    </r>
  </si>
  <si>
    <r>
      <t>1С:КП Отраслевой ПРОФ,2-й Категории на 1 месяц, при подключении после перерыва</t>
    </r>
    <r>
      <rPr>
        <vertAlign val="superscript"/>
        <sz val="12"/>
        <rFont val="Times New Roman"/>
        <family val="1"/>
        <charset val="204"/>
      </rPr>
      <t>(2)</t>
    </r>
  </si>
  <si>
    <t>1С:КП Отраслевой ПРОФ, 1-й Категории + 1С:КП Базовый, на 12 месяцев</t>
  </si>
  <si>
    <r>
      <t>1С:КП Отраслевой ПРОФ, 1-й Категории на 12 месяцев, при подключении после перерыва</t>
    </r>
    <r>
      <rPr>
        <vertAlign val="superscript"/>
        <sz val="12"/>
        <rFont val="Times New Roman"/>
        <family val="1"/>
        <charset val="204"/>
      </rPr>
      <t>(2)</t>
    </r>
  </si>
  <si>
    <r>
      <t>1С:КП Отраслевой ПРОФ, 1-й Категории на 6 месяцев, при подключении после перерыва</t>
    </r>
    <r>
      <rPr>
        <vertAlign val="superscript"/>
        <sz val="12"/>
        <rFont val="Times New Roman"/>
        <family val="1"/>
        <charset val="204"/>
      </rPr>
      <t>(2)</t>
    </r>
  </si>
  <si>
    <r>
      <t>1С:КП Отраслевой ПРОФ, 1-й Категории на 3 месяца, при подключении после перерыва</t>
    </r>
    <r>
      <rPr>
        <vertAlign val="superscript"/>
        <sz val="12"/>
        <rFont val="Times New Roman"/>
        <family val="1"/>
        <charset val="204"/>
      </rPr>
      <t>(2)</t>
    </r>
  </si>
  <si>
    <r>
      <t>1С:КП Отраслевой ПРОФ, 1-й Категории на 1 месяц, при подключении после перерыва</t>
    </r>
    <r>
      <rPr>
        <vertAlign val="superscript"/>
        <sz val="12"/>
        <rFont val="Times New Roman"/>
        <family val="1"/>
        <charset val="204"/>
      </rPr>
      <t>(2)</t>
    </r>
  </si>
  <si>
    <t>Доп. вопросы</t>
  </si>
  <si>
    <t>Наименование системы</t>
  </si>
  <si>
    <t>Платформа (если применимо)</t>
  </si>
  <si>
    <t>Версия платформы (если применимо)</t>
  </si>
  <si>
    <t>Версия ПО</t>
  </si>
  <si>
    <t>Интеграция или обмен данными?</t>
  </si>
  <si>
    <t>Направление потока данных</t>
  </si>
  <si>
    <t>Частота обмена</t>
  </si>
  <si>
    <t>Состав данных потока (какие сущности?)</t>
  </si>
  <si>
    <t>Есть ли возможность использовать обмен по http\https?</t>
  </si>
  <si>
    <t>Комментарии</t>
  </si>
  <si>
    <r>
      <t>Интеграционные решения (</t>
    </r>
    <r>
      <rPr>
        <b/>
        <sz val="11"/>
        <color rgb="FFFF0000"/>
        <rFont val="Calibri"/>
        <family val="2"/>
        <charset val="204"/>
        <scheme val="minor"/>
      </rPr>
      <t>При наличии интеграционных решений необходимо заполнить таблицу "Краткое описание Интеграций"</t>
    </r>
    <r>
      <rPr>
        <b/>
        <sz val="11"/>
        <color theme="1"/>
        <rFont val="Calibri"/>
        <family val="2"/>
        <charset val="204"/>
        <scheme val="minor"/>
      </rPr>
      <t>)</t>
    </r>
  </si>
  <si>
    <t>Установить значение исходя из прогноза трудозатрат на продажу (не должно быть меньше фактических трудозатрат)</t>
  </si>
  <si>
    <t>Компенсация трудозатрат Производства на продажу</t>
  </si>
  <si>
    <t>4.9.</t>
  </si>
  <si>
    <t xml:space="preserve">2. </t>
  </si>
  <si>
    <t>Выделил отдельный раздел по отражению базовых данных по БДР и БДДС из раздела 4.5. Экономика проектов (Уточнил перечень документов и хоз. Операций)</t>
  </si>
  <si>
    <t xml:space="preserve">Учесть факт проектов по доходам и прямым затратам </t>
  </si>
  <si>
    <t>Трансляция фактических данных по распределяемым расходам в проекты :ОПР ОХР)</t>
  </si>
  <si>
    <t>Трансляция фактических данных по распределяемым расходам в проекты :Заработная плата)</t>
  </si>
  <si>
    <t>Перенес трансляцию данных распределенной зарплаты из раздела 4.5. в разделы 7.3. и 7.4. по распредеелнию ЗП, и ОПР/ОХР, соответсвенно</t>
  </si>
  <si>
    <t xml:space="preserve">Формирование плана доходов по проектам  с детализаций до периода планирования (заполнение по данным плана проектов/либо тематического плана) </t>
  </si>
  <si>
    <t>Добавил строку "Формирование плана доходов по проектам" в раздел 7.1. Бизнес-план</t>
  </si>
  <si>
    <t xml:space="preserve">4. </t>
  </si>
  <si>
    <t>Раздел 1.6. "переквалифицировал" в Базовый</t>
  </si>
  <si>
    <r>
      <t xml:space="preserve">Ручное выравнивание загрузки подразделений по задачам портфеля проектов </t>
    </r>
    <r>
      <rPr>
        <sz val="11"/>
        <color rgb="FFFF0000"/>
        <rFont val="Calibri"/>
        <family val="2"/>
        <charset val="204"/>
        <scheme val="minor"/>
      </rPr>
      <t>в т.ч. С помощью документа "Прогноз трудозатрат по ролям"</t>
    </r>
  </si>
  <si>
    <t>Панель руководителя подразделения</t>
  </si>
  <si>
    <t>Выдача заданий на планирование/актуализацию планов работ руководителям структурных подразделений.</t>
  </si>
  <si>
    <t>Уточнил терминологию п 2.6. "Технологические графики"</t>
  </si>
  <si>
    <t>Уточнил раздел 5.4. "… по ролям", перенес в него работы с прогнозом трудозатрат по ролям</t>
  </si>
  <si>
    <r>
      <t xml:space="preserve">Прогноз загрузки производства по ролям  </t>
    </r>
    <r>
      <rPr>
        <b/>
        <i/>
        <sz val="12"/>
        <color rgb="FFFF0000"/>
        <rFont val="Calibri"/>
        <family val="2"/>
        <charset val="204"/>
        <scheme val="minor"/>
      </rPr>
      <t>(Возможно включение в Кейс с увеличением стоимости)</t>
    </r>
  </si>
  <si>
    <t>Уточнил содержание раздела 5.1.План работ подразделений В новой версии предлагаю его читать как работа РСП (Декомпозиция структуры проекта в рамках работ подарделений, переквалифицировал в Базовый функционал</t>
  </si>
  <si>
    <t>Перенес работу с оперативной загрузкой из раздела 5.1. (Базовый) в раздел 5.3 (весь раздел сформулировал как "Оперативное управление работами и  загрузкой исполнителй)</t>
  </si>
  <si>
    <t>Оперативное управление работами и загрузкой исполнителей</t>
  </si>
  <si>
    <t>Планирование оперативной загрузки сотрудников по графику в течении периода (день, неделя, месяц)</t>
  </si>
  <si>
    <t>Актуализация и выравнивание загрузки трудовых ресурсов (планирование трудозатрат по ТР)</t>
  </si>
  <si>
    <t>3.8.</t>
  </si>
  <si>
    <t>Регистрация плановой и фактической даты поступления ТМЦ</t>
  </si>
  <si>
    <t>Регистрация стоимости поступления/резервирования/выпуска ТМЦ на складе</t>
  </si>
  <si>
    <t>Добавил новый раздел  3.5. "Мониторинг процесса обеспечения ТМЦ под проект в Контуре PM" Как наша гипотеха по тому какая функциональность необходима дл Инжиниринга</t>
  </si>
  <si>
    <r>
      <t>Управление ТМЦ</t>
    </r>
    <r>
      <rPr>
        <b/>
        <sz val="12"/>
        <color rgb="FFFF0000"/>
        <rFont val="Calibri"/>
        <family val="2"/>
        <charset val="204"/>
        <scheme val="minor"/>
      </rPr>
      <t xml:space="preserve"> в контуре оперативного учета ERP+PM</t>
    </r>
  </si>
  <si>
    <t xml:space="preserve">План закупок </t>
  </si>
  <si>
    <t>7.10.</t>
  </si>
  <si>
    <t>в Разработке</t>
  </si>
  <si>
    <t>7.11.</t>
  </si>
  <si>
    <t>7.12.</t>
  </si>
  <si>
    <t>Выделил отдельные разделы по распределению ОПР/ОХР в проектном контуре</t>
  </si>
  <si>
    <t>PM ПРОФ</t>
  </si>
  <si>
    <t>УНФ+PM</t>
  </si>
  <si>
    <t>PM КОРП</t>
  </si>
  <si>
    <t>ERP+PM</t>
  </si>
  <si>
    <t>PM5</t>
  </si>
  <si>
    <t>В разработке</t>
  </si>
  <si>
    <t>Под проект</t>
  </si>
  <si>
    <t>Частично</t>
  </si>
  <si>
    <t>11.15.</t>
  </si>
  <si>
    <t>Перенес получение факта из БП 3 в раздел Интеграции</t>
  </si>
  <si>
    <r>
      <t xml:space="preserve">Трансляция факта доходов и расходов из первичных документов:
 </t>
    </r>
    <r>
      <rPr>
        <sz val="11"/>
        <color rgb="FFFF0000"/>
        <rFont val="Calibri"/>
        <family val="2"/>
        <charset val="204"/>
        <scheme val="minor"/>
      </rPr>
      <t>1.Реализация услуг и прочих активов (только Реализация)
2.Корректировка реализации
3.Приобретение услуг и прочих активов
4.Приобретение товаров и услуг 
5.Авансовый отчет
6.Отражение прочих доходов и расходов (Реклассификация расходов)</t>
    </r>
  </si>
  <si>
    <r>
      <t xml:space="preserve">Трансляция факта доходов и расходов из первичных документов </t>
    </r>
    <r>
      <rPr>
        <sz val="11"/>
        <color rgb="FFFF0000"/>
        <rFont val="Calibri"/>
        <family val="2"/>
        <charset val="204"/>
        <scheme val="minor"/>
      </rPr>
      <t>по всем необходимым хоз. Операциям</t>
    </r>
  </si>
  <si>
    <r>
      <t>Трансляция факта поступлений и выплат в проектное бюджетирование из первичных документов</t>
    </r>
    <r>
      <rPr>
        <sz val="11"/>
        <color rgb="FFFF0000"/>
        <rFont val="Calibri"/>
        <family val="2"/>
        <charset val="204"/>
        <scheme val="minor"/>
      </rPr>
      <t xml:space="preserve"> по следующим видам хозяйственных операций:
a)Оплата поставщику (в случае неиспользования механизма отражения факта движения денежных средств первичными документами) 
b)Оплата по кредитам и займам полученным (с детализацией до договора)
c)Перечисление на депозиты (с детализацией до договора)
d)Выдача займа контрагенту (с детализацией до договора)
e)Прочий расход</t>
    </r>
  </si>
  <si>
    <r>
      <t>Трансляция факта поступлений и выплат в проектное бюджетирование из первичных документов</t>
    </r>
    <r>
      <rPr>
        <sz val="11"/>
        <color rgb="FFFF0000"/>
        <rFont val="Calibri"/>
        <family val="2"/>
        <charset val="204"/>
        <scheme val="minor"/>
      </rPr>
      <t xml:space="preserve"> по всем необходимым хоз. Операциям</t>
    </r>
  </si>
  <si>
    <t>4.10.</t>
  </si>
  <si>
    <r>
      <t xml:space="preserve">Расчет цены контракта </t>
    </r>
    <r>
      <rPr>
        <b/>
        <i/>
        <sz val="12"/>
        <color rgb="FFFF0000"/>
        <rFont val="Calibri"/>
        <family val="2"/>
        <charset val="204"/>
        <scheme val="minor"/>
      </rPr>
      <t>(Возможно включение в Кейс с увеличением стоимости)</t>
    </r>
    <r>
      <rPr>
        <b/>
        <i/>
        <sz val="12"/>
        <color theme="1"/>
        <rFont val="Calibri"/>
        <family val="2"/>
        <charset val="204"/>
        <scheme val="minor"/>
      </rPr>
      <t xml:space="preserve"> </t>
    </r>
    <r>
      <rPr>
        <b/>
        <i/>
        <sz val="12"/>
        <color rgb="FFFF0000"/>
        <rFont val="Calibri"/>
        <family val="2"/>
        <charset val="204"/>
        <scheme val="minor"/>
      </rPr>
      <t>Нужно зафиксировать сценарий в материалах Кейса</t>
    </r>
  </si>
  <si>
    <t>Отчет по EVA перенесли в базовый функционал в раздел 4.3.</t>
  </si>
  <si>
    <t>Отчет Динамика экономики перенесли в базовый функционал в раздел 4.4.</t>
  </si>
  <si>
    <t xml:space="preserve">Управление экономикой </t>
  </si>
  <si>
    <t>Выделена отдельной строкой обмен первичными документами с БП, изменена оценка</t>
  </si>
  <si>
    <t>Обмен с ЗУП разделен на 2 строки: 
1. Получение Начсиленнйо ЗП для целей распределения ЗП в ERP, 
 2. Часто встречающийся запрос на синхронизацию структуры ТР с кадровыми данными (Прием, перевод, увольнение, ставки ТР)</t>
  </si>
  <si>
    <t>11.16.</t>
  </si>
  <si>
    <r>
      <t xml:space="preserve">1С:Управление холдингом (либо 1С:Консолидация) </t>
    </r>
    <r>
      <rPr>
        <b/>
        <sz val="11"/>
        <color rgb="FFFF0000"/>
        <rFont val="Calibri"/>
        <family val="2"/>
        <charset val="204"/>
        <scheme val="minor"/>
      </rPr>
      <t>Обмен проектными данными для целей корпоративного бюджетирования и казначейства</t>
    </r>
  </si>
  <si>
    <t>11.17.</t>
  </si>
  <si>
    <t>Тем план и контрактация</t>
  </si>
  <si>
    <t>Ранжирование проектов по показателям эффективности и формирование бизнес плана по портфелю проектов.</t>
  </si>
  <si>
    <t>Мониторинг показателей трудоемкости, бюджетов и объемов работ запланированных по портфелю и соответствующих плановых и фактических показателей проектов входящих в портфель</t>
  </si>
  <si>
    <t>Оптимизация тематического плана</t>
  </si>
  <si>
    <t>Регистрация статуса обеспечения ТМЦ проекта по номенклатурно, в т.ч. Поступления/резервирования/ выпуска ТМЦ на складе</t>
  </si>
  <si>
    <t>Актуализация сроков проекта по данным о плановых и фактических датах поступления ТМЦ</t>
  </si>
  <si>
    <t>Формирование реестра проектной продукции к выпуску в рамках проекта</t>
  </si>
  <si>
    <t>Привязка проектной продукции в плане выпуска проектной задачи</t>
  </si>
  <si>
    <t>Нормирование трудозатрат на выпуск проектной продукции</t>
  </si>
  <si>
    <t xml:space="preserve">План-фактный анализ загрузки подразделений по уровням планирования </t>
  </si>
  <si>
    <t>Резервирование ТМЦ под заказы покупателей и заказы на производство. Управление резервами.</t>
  </si>
  <si>
    <t>Справочное размещение и адресное хранение товаров в ячейках</t>
  </si>
  <si>
    <t>Плановые затраты распределяются только на проекты текущего периода.</t>
  </si>
  <si>
    <t>Формирование и утверждение годовых лимитов выплата на основании бизнес-плана (с учетом ставки НДС)</t>
  </si>
  <si>
    <t>Формирование заявок на расходование ДС</t>
  </si>
  <si>
    <t>Формирование плановых поступлений ДС</t>
  </si>
  <si>
    <t>Отражение в 1С:ERP+PM начисленной заработной платы по данным сторонних подсистем вручную</t>
  </si>
  <si>
    <t>Распределение заработной платы по проектам пропорционально фактическим трудозатратам проектов</t>
  </si>
  <si>
    <t>Создание и настройка связи между внутренним документом 1С:Документооборот и объектами 1С:PM (проект, проектная задача,  договор и т.д.)</t>
  </si>
  <si>
    <t>Запуск и мониторинг прохождения бизнес-процессов 1С:Документооборот из интерфейса 1С:PM вручную.</t>
  </si>
  <si>
    <t>Хранение документов и файлов разработанных по проекту в системе электронного документооборота. Загрузка файлов осуществляется из интерфейса 1С:PM</t>
  </si>
  <si>
    <t>Выдача заданий по разработке проектных документов вручную на основании внутренних документов</t>
  </si>
  <si>
    <t>Связь внутренних документов с проектом и договором</t>
  </si>
  <si>
    <t>Хранение файлов и документов по проектам (вх, исх. корреспонденция)</t>
  </si>
  <si>
    <t>Связь входящих и исходящих документов с проектом и договором</t>
  </si>
  <si>
    <t>Автоматический запуск процессов обработки ОРД на основании значений реквизитов документов по пред настроенной условной адресации.</t>
  </si>
  <si>
    <t>Автоматический запуск процессов обработки ОРД на основании значений реквизитов документов (по пред настроенной условной адресации) и ролевой адресации.</t>
  </si>
  <si>
    <t>Планирование отсутствий, механизм замещения</t>
  </si>
  <si>
    <t>Формирование структуры папок проектной документации исходя из структуры проекта</t>
  </si>
  <si>
    <r>
      <t xml:space="preserve">Интеграции с ИС Заказчика </t>
    </r>
    <r>
      <rPr>
        <b/>
        <sz val="12"/>
        <color rgb="FFFF0000"/>
        <rFont val="Calibri"/>
        <family val="2"/>
        <charset val="204"/>
        <scheme val="minor"/>
      </rPr>
      <t>При наличии интеграций решений необходимо заполнить таблицу "Краткое описание Интеграций"</t>
    </r>
  </si>
  <si>
    <r>
      <t xml:space="preserve">1С:Зарплата и управление персоналом 8 вер.3 (или вер. 2.5) </t>
    </r>
    <r>
      <rPr>
        <b/>
        <i/>
        <sz val="12"/>
        <color rgb="FFFF0000"/>
        <rFont val="Calibri"/>
        <family val="2"/>
        <charset val="204"/>
        <scheme val="minor"/>
      </rPr>
      <t>Синхронизация структуры ролей и трудовых ресурсов с учетом приема и кадровых перемещений (без учета перепланирования проектов)</t>
    </r>
  </si>
  <si>
    <r>
      <t xml:space="preserve">1С:Управление холдингом (либо 1С:Консолидация). </t>
    </r>
    <r>
      <rPr>
        <b/>
        <i/>
        <sz val="12"/>
        <color rgb="FFFF0000"/>
        <rFont val="Calibri"/>
        <family val="2"/>
        <charset val="204"/>
        <scheme val="minor"/>
      </rPr>
      <t>Обмен НСИ и первичкой для целей проектного бюджетирования</t>
    </r>
  </si>
  <si>
    <t>Ставка с 24 года</t>
  </si>
  <si>
    <t>Ставки 23 года</t>
  </si>
  <si>
    <t>Изменение ставки</t>
  </si>
  <si>
    <t>Изменил коэффициенты разработки для 500 и 1000+ по умолчанию (в меньшую сторону до х3)</t>
  </si>
  <si>
    <t>Изменения в оценке</t>
  </si>
  <si>
    <t>Изменения ФС</t>
  </si>
  <si>
    <t>Тип проекта</t>
  </si>
  <si>
    <t>Предполагаемая длительность</t>
  </si>
  <si>
    <t>Технологические графики проекта (график декомпозированный до уровня операций, выполняемых конкретным исполнителем, с учетом технологической последовательности работ (и в т.ч. требующие проработки методологии работы с этими задачами на нижнем уровне)</t>
  </si>
  <si>
    <t>Тип проекта по функциональным критериям</t>
  </si>
  <si>
    <t>Тип проекта по Орг. Объему</t>
  </si>
  <si>
    <t>Проф/мини</t>
  </si>
  <si>
    <r>
      <t>Типовая интеграци</t>
    </r>
    <r>
      <rPr>
        <b/>
        <sz val="11"/>
        <rFont val="Calibri"/>
        <family val="2"/>
        <charset val="204"/>
        <scheme val="minor"/>
      </rPr>
      <t>я</t>
    </r>
    <r>
      <rPr>
        <b/>
        <sz val="14"/>
        <rFont val="Calibri"/>
        <family val="2"/>
        <charset val="204"/>
        <scheme val="minor"/>
      </rPr>
      <t xml:space="preserve"> с </t>
    </r>
    <r>
      <rPr>
        <b/>
        <sz val="14"/>
        <color rgb="FFFF0000"/>
        <rFont val="Calibri"/>
        <family val="2"/>
        <charset val="204"/>
        <scheme val="minor"/>
      </rPr>
      <t>ВНЕДРЕННОЙ</t>
    </r>
    <r>
      <rPr>
        <b/>
        <sz val="11"/>
        <color theme="1"/>
        <rFont val="Calibri"/>
        <family val="2"/>
        <charset val="204"/>
        <scheme val="minor"/>
      </rPr>
      <t xml:space="preserve"> у заказчика системой 1С:Документооброт  </t>
    </r>
    <r>
      <rPr>
        <b/>
        <sz val="11"/>
        <color rgb="FFFF0000"/>
        <rFont val="Calibri"/>
        <family val="2"/>
        <charset val="204"/>
        <scheme val="minor"/>
      </rPr>
      <t>(Возможно включение в Кейс с увеличением стоимости)</t>
    </r>
  </si>
  <si>
    <r>
      <t>Bitrix 24</t>
    </r>
    <r>
      <rPr>
        <b/>
        <sz val="11"/>
        <color rgb="FFFF0000"/>
        <rFont val="Calibri"/>
        <family val="2"/>
        <charset val="204"/>
        <scheme val="minor"/>
      </rPr>
      <t xml:space="preserve"> (Возможно включение в Кейс с увеличением стоимости) (оценку подтвердить у Ватенкина Александра)</t>
    </r>
  </si>
  <si>
    <t>ПРОФ функции</t>
  </si>
  <si>
    <t>КОРП функции</t>
  </si>
  <si>
    <t>Проф/мини функции</t>
  </si>
  <si>
    <t>Кейс функции</t>
  </si>
  <si>
    <t>Ставка Кейс; ПРОФ/мини</t>
  </si>
  <si>
    <t>Ставка ПРОФ</t>
  </si>
  <si>
    <t>Ставка Заказные</t>
  </si>
  <si>
    <r>
      <rPr>
        <b/>
        <sz val="12"/>
        <color rgb="FFFF0000"/>
        <rFont val="Calibri"/>
        <family val="2"/>
        <charset val="204"/>
        <scheme val="minor"/>
      </rPr>
      <t xml:space="preserve">ОШИБКА! </t>
    </r>
    <r>
      <rPr>
        <b/>
        <sz val="12"/>
        <color theme="1"/>
        <rFont val="Calibri"/>
        <family val="2"/>
        <charset val="204"/>
        <scheme val="minor"/>
      </rPr>
      <t>Не классифицированные функции</t>
    </r>
  </si>
  <si>
    <t>Заказчиком заявлены нестандартные документы и/или шаблоны Заказчика без изменения состава работ по технологии ПРОФ</t>
  </si>
  <si>
    <t>Заказчиком заявлено описание Бизнес-процессов</t>
  </si>
  <si>
    <t>Заказчиком заявлена оптимизация Бизнес-процессов</t>
  </si>
  <si>
    <t>Заказчиком заявлена методическая проработка</t>
  </si>
  <si>
    <r>
      <t xml:space="preserve">Тип проекта </t>
    </r>
    <r>
      <rPr>
        <b/>
        <sz val="11"/>
        <color rgb="FFFF0000"/>
        <rFont val="Calibri"/>
        <family val="2"/>
        <charset val="204"/>
        <scheme val="minor"/>
      </rPr>
      <t>по формальным критериям.
РП может принять решение выполнять проект по технологии Кейса с корректировкой оценки, и повышенной ставкой</t>
    </r>
  </si>
  <si>
    <t>Критерии отнесения к типу преокта по ставке</t>
  </si>
  <si>
    <t>Заказчиком заявлено Нагрузочное тестирвоание</t>
  </si>
  <si>
    <t>Заказчиком заявлены требвоания по ИБ</t>
  </si>
  <si>
    <t>1. Необходимо описывать Бизнес-процессы
2. Более 200 пользователей
3. Не стандартные формы документов (Без изменения состава работ и документации)
4. Требуется нагрузочное тестирование</t>
  </si>
  <si>
    <t>1. Технология заказчика (в т.ч. Документация, которая подразумевает расширение состава работ)
2. Оптимизация бизнес-процессов
3. Методология
4. численность Заказчика более 1000 сотрудников (КОРП заказчик)
5. Более 500 пользователей
6.  Заявлена документация по ИБ</t>
  </si>
  <si>
    <r>
      <rPr>
        <b/>
        <sz val="11"/>
        <color theme="1"/>
        <rFont val="Calibri"/>
        <family val="2"/>
        <charset val="204"/>
        <scheme val="minor"/>
      </rPr>
      <t>1. Орг объем:</t>
    </r>
    <r>
      <rPr>
        <sz val="11"/>
        <color theme="1"/>
        <rFont val="Calibri"/>
        <family val="2"/>
        <charset val="204"/>
        <scheme val="minor"/>
      </rPr>
      <t xml:space="preserve"> Количество пользователей и </t>
    </r>
    <r>
      <rPr>
        <b/>
        <sz val="11"/>
        <color theme="1"/>
        <rFont val="Calibri"/>
        <family val="2"/>
        <charset val="204"/>
        <scheme val="minor"/>
      </rPr>
      <t>сотрудников организации всего</t>
    </r>
    <r>
      <rPr>
        <sz val="11"/>
        <color theme="1"/>
        <rFont val="Calibri"/>
        <family val="2"/>
        <charset val="204"/>
        <scheme val="minor"/>
      </rPr>
      <t xml:space="preserve">
Заполняются</t>
    </r>
    <r>
      <rPr>
        <b/>
        <sz val="11"/>
        <color rgb="FFFF0000"/>
        <rFont val="Calibri"/>
        <family val="2"/>
        <charset val="204"/>
        <scheme val="minor"/>
      </rPr>
      <t xml:space="preserve"> ТОЛЬКО ячейки выделенные желтым цветом</t>
    </r>
    <r>
      <rPr>
        <sz val="11"/>
        <color theme="1"/>
        <rFont val="Calibri"/>
        <family val="2"/>
        <charset val="204"/>
        <scheme val="minor"/>
      </rPr>
      <t>.
Используется для расчета фаз 5.2,6,7</t>
    </r>
  </si>
  <si>
    <r>
      <rPr>
        <b/>
        <sz val="11"/>
        <color theme="1"/>
        <rFont val="Calibri"/>
        <family val="2"/>
        <charset val="204"/>
        <scheme val="minor"/>
      </rPr>
      <t>1. Орг объем:</t>
    </r>
    <r>
      <rPr>
        <sz val="11"/>
        <color theme="1"/>
        <rFont val="Calibri"/>
        <family val="2"/>
        <charset val="204"/>
        <scheme val="minor"/>
      </rPr>
      <t xml:space="preserve"> Количество пользователей </t>
    </r>
    <r>
      <rPr>
        <b/>
        <sz val="11"/>
        <color theme="1"/>
        <rFont val="Calibri"/>
        <family val="2"/>
        <charset val="204"/>
        <scheme val="minor"/>
      </rPr>
      <t>и сотрудников организации всего</t>
    </r>
    <r>
      <rPr>
        <sz val="11"/>
        <color theme="1"/>
        <rFont val="Calibri"/>
        <family val="2"/>
        <charset val="204"/>
        <scheme val="minor"/>
      </rPr>
      <t xml:space="preserve">
Заполняются</t>
    </r>
    <r>
      <rPr>
        <b/>
        <sz val="11"/>
        <color rgb="FFFF0000"/>
        <rFont val="Calibri"/>
        <family val="2"/>
        <charset val="204"/>
        <scheme val="minor"/>
      </rPr>
      <t xml:space="preserve"> ТОЛЬКО ячейки выделенные желтым цветом</t>
    </r>
    <r>
      <rPr>
        <sz val="11"/>
        <color theme="1"/>
        <rFont val="Calibri"/>
        <family val="2"/>
        <charset val="204"/>
        <scheme val="minor"/>
      </rPr>
      <t>.
Используется для расчета фаз 5.2,6,7</t>
    </r>
  </si>
  <si>
    <t>Часов на группу</t>
  </si>
  <si>
    <t>Обучению кроме исполнителей группы по:</t>
  </si>
  <si>
    <t>Часов по Обучению Исполнителей группы по:</t>
  </si>
  <si>
    <t>Часов на обучение Администраторов  группы по:</t>
  </si>
  <si>
    <t>Обучение Силами Исполнителя  Пользователей</t>
  </si>
  <si>
    <t>Групп обучения</t>
  </si>
  <si>
    <t>Количество дней в командировке</t>
  </si>
  <si>
    <t>Групп к обучению в регионах</t>
  </si>
  <si>
    <t>Длительность "Совместный запуск" Недель</t>
  </si>
  <si>
    <t>Длительность "Кейс-проект" Недель</t>
  </si>
  <si>
    <t>Длительность, мес</t>
  </si>
  <si>
    <t>Длительность, мес От</t>
  </si>
  <si>
    <t>ДО 9 мес</t>
  </si>
  <si>
    <t>9-12 мес</t>
  </si>
  <si>
    <t>Больше года</t>
  </si>
  <si>
    <t>ДО 2 мес</t>
  </si>
  <si>
    <t>12-18 мес</t>
  </si>
  <si>
    <t>Больше 1,5 лет</t>
  </si>
  <si>
    <t>Изменил параметры ставки с 24 года: 
- Ставка Стандартизированных преоктов (кейс и проф/мини) 4500 , 
- Ставка ПРОФ проектов 4900; 
- Ставка КОРП проектов 5500
Вторая и далее очереди оцениваются "по умолчанию" с учетом длительности предыдущих очередей</t>
  </si>
  <si>
    <t>Добавил параметры и расчет типа проекта п критериям и подстановку ставки в соответсвии с типом проектв на листы оценок по каждой очереди</t>
  </si>
  <si>
    <t>Добавил индикаторы "адекватности" сроков по оценкам по очередям</t>
  </si>
  <si>
    <t>скорректировал расчет этапов обучения</t>
  </si>
  <si>
    <t>ДО 12 мес</t>
  </si>
  <si>
    <t>Скорректировал расчет сроков по этапам</t>
  </si>
  <si>
    <t>КОРП</t>
  </si>
  <si>
    <t>Комментарий.</t>
  </si>
  <si>
    <t>по данным РП</t>
  </si>
  <si>
    <t>Влияние на типа проекта</t>
  </si>
  <si>
    <t>По данным СП</t>
  </si>
  <si>
    <t>ДО 6 мес</t>
  </si>
  <si>
    <t>6-9 мес</t>
  </si>
  <si>
    <t>Более 9</t>
  </si>
  <si>
    <r>
      <t xml:space="preserve">Мониторинг процесса закупок ТМЦ под проект вручную в Контуре PM, или импорт из сторонней системы (ERP или др), </t>
    </r>
    <r>
      <rPr>
        <b/>
        <i/>
        <u/>
        <sz val="12"/>
        <color theme="1"/>
        <rFont val="Calibri"/>
        <family val="2"/>
        <charset val="204"/>
        <scheme val="minor"/>
      </rPr>
      <t>импорт отметить в отдельном пункте в разделе Интеграции</t>
    </r>
    <r>
      <rPr>
        <b/>
        <i/>
        <sz val="12"/>
        <color theme="1"/>
        <rFont val="Calibri"/>
        <family val="2"/>
        <charset val="204"/>
        <scheme val="minor"/>
      </rPr>
      <t xml:space="preserve"> </t>
    </r>
    <r>
      <rPr>
        <b/>
        <i/>
        <sz val="12"/>
        <color rgb="FFFF0000"/>
        <rFont val="Calibri"/>
        <family val="2"/>
        <charset val="204"/>
        <scheme val="minor"/>
      </rPr>
      <t>(оценка при условии разработки базовой части АРМа для РП и МТО в типовой)</t>
    </r>
  </si>
  <si>
    <t>Дерево хоз. операций проекта</t>
  </si>
  <si>
    <r>
      <rPr>
        <sz val="11"/>
        <rFont val="Calibri"/>
        <family val="2"/>
        <charset val="204"/>
        <scheme val="minor"/>
      </rPr>
      <t>Анализ дебиторской/кредиторской задолженности в разрезе проектов, контрагентов и договоров с помощью отчета "Анализ БДР по БДДС" и "Скользящий БДР БДДС Объемы"</t>
    </r>
    <r>
      <rPr>
        <sz val="11"/>
        <color rgb="FFFF0000"/>
        <rFont val="Calibri"/>
        <family val="2"/>
        <charset val="204"/>
        <scheme val="minor"/>
      </rPr>
      <t xml:space="preserve"> (нет описания в ТЗ добавить?)</t>
    </r>
  </si>
  <si>
    <r>
      <t>Трансляция факта</t>
    </r>
    <r>
      <rPr>
        <b/>
        <i/>
        <sz val="12"/>
        <color rgb="FFFF0000"/>
        <rFont val="Calibri"/>
        <family val="2"/>
        <charset val="204"/>
        <scheme val="minor"/>
      </rPr>
      <t xml:space="preserve"> Вариант 1</t>
    </r>
    <r>
      <rPr>
        <b/>
        <i/>
        <sz val="12"/>
        <color theme="1"/>
        <rFont val="Calibri"/>
        <family val="2"/>
        <charset val="204"/>
        <scheme val="minor"/>
      </rPr>
      <t xml:space="preserve"> по доходам и прямым расходам и ДДС по данным определенных первичных документов ERP (единая конфигурация ERP+PM)</t>
    </r>
    <r>
      <rPr>
        <b/>
        <i/>
        <sz val="12"/>
        <color rgb="FFFF0000"/>
        <rFont val="Calibri"/>
        <family val="2"/>
        <charset val="204"/>
        <scheme val="minor"/>
      </rPr>
      <t xml:space="preserve"> (Возможно включение в Кейс с увеличением стоимости</t>
    </r>
    <r>
      <rPr>
        <b/>
        <i/>
        <sz val="12"/>
        <color theme="1"/>
        <rFont val="Calibri"/>
        <family val="2"/>
        <charset val="204"/>
        <scheme val="minor"/>
      </rPr>
      <t xml:space="preserve">) </t>
    </r>
    <r>
      <rPr>
        <b/>
        <i/>
        <sz val="12"/>
        <color rgb="FFFF0000"/>
        <rFont val="Calibri"/>
        <family val="2"/>
        <charset val="204"/>
        <scheme val="minor"/>
      </rPr>
      <t>Только натройка правил трансляции Без учета запуска Опер. Контура ERP</t>
    </r>
    <r>
      <rPr>
        <b/>
        <i/>
        <sz val="12"/>
        <color theme="1"/>
        <rFont val="Calibri"/>
        <family val="2"/>
        <charset val="204"/>
        <scheme val="minor"/>
      </rPr>
      <t xml:space="preserve">
Если не достаточно 4.4., можно комбинировать с 4.4.</t>
    </r>
  </si>
  <si>
    <r>
      <t xml:space="preserve">Трансляция факта  </t>
    </r>
    <r>
      <rPr>
        <b/>
        <i/>
        <sz val="12"/>
        <color rgb="FFFF0000"/>
        <rFont val="Calibri"/>
        <family val="2"/>
        <charset val="204"/>
        <scheme val="minor"/>
      </rPr>
      <t>Вариант 2</t>
    </r>
    <r>
      <rPr>
        <b/>
        <i/>
        <sz val="12"/>
        <color theme="1"/>
        <rFont val="Calibri"/>
        <family val="2"/>
        <charset val="204"/>
        <scheme val="minor"/>
      </rPr>
      <t xml:space="preserve"> доходов и расходов  и ДДС из первичных документов </t>
    </r>
    <r>
      <rPr>
        <b/>
        <i/>
        <sz val="12"/>
        <color rgb="FFFF0000"/>
        <rFont val="Calibri"/>
        <family val="2"/>
        <charset val="204"/>
        <scheme val="minor"/>
      </rPr>
      <t>по всем необходимым хоз. Операциям
Только натройка правил трансляции Без учета запуска Опер. Контура ERP</t>
    </r>
    <r>
      <rPr>
        <b/>
        <i/>
        <sz val="12"/>
        <color theme="1"/>
        <rFont val="Calibri"/>
        <family val="2"/>
        <charset val="204"/>
        <scheme val="minor"/>
      </rPr>
      <t xml:space="preserve">
Если не достаточно 4.4,4.5.</t>
    </r>
  </si>
  <si>
    <r>
      <t>НДС, мультивалютный учет, баланс проекта  (</t>
    </r>
    <r>
      <rPr>
        <b/>
        <i/>
        <sz val="12"/>
        <color rgb="FFFF0000"/>
        <rFont val="Calibri"/>
        <family val="2"/>
        <charset val="204"/>
        <scheme val="minor"/>
      </rPr>
      <t>Подумать как переформулировать</t>
    </r>
    <r>
      <rPr>
        <b/>
        <i/>
        <sz val="12"/>
        <color theme="1"/>
        <rFont val="Calibri"/>
        <family val="2"/>
        <charset val="204"/>
        <scheme val="minor"/>
      </rPr>
      <t>)</t>
    </r>
  </si>
  <si>
    <t>План работ подразделений (до ролей)</t>
  </si>
  <si>
    <t>Регистрация факта трудозатрат за прошедший месяц одной цифрой по роли.</t>
  </si>
  <si>
    <r>
      <t xml:space="preserve">Экономика производственного подразделения </t>
    </r>
    <r>
      <rPr>
        <b/>
        <i/>
        <sz val="12"/>
        <color rgb="FFFF0000"/>
        <rFont val="Calibri"/>
        <family val="2"/>
        <charset val="204"/>
        <scheme val="minor"/>
      </rPr>
      <t>(шире чем БДР проектов в разрезе подразделений: если присутствуют не только вводимые вручную в планы и фактические данные доходы и расходы по подразделениям)</t>
    </r>
  </si>
  <si>
    <r>
      <rPr>
        <b/>
        <i/>
        <sz val="12"/>
        <color rgb="FFFF0000"/>
        <rFont val="Calibri"/>
        <family val="2"/>
        <charset val="204"/>
        <scheme val="minor"/>
      </rPr>
      <t>В контуре оперативного учета ERP+PM</t>
    </r>
    <r>
      <rPr>
        <b/>
        <i/>
        <sz val="12"/>
        <rFont val="Calibri"/>
        <family val="2"/>
        <charset val="204"/>
        <scheme val="minor"/>
      </rPr>
      <t xml:space="preserve">  
ОПР, ОХР по проектам и подразделениям</t>
    </r>
  </si>
  <si>
    <r>
      <rPr>
        <b/>
        <i/>
        <sz val="12"/>
        <color rgb="FFFF0000"/>
        <rFont val="Calibri"/>
        <family val="2"/>
        <charset val="204"/>
        <scheme val="minor"/>
      </rPr>
      <t>В контуре оперативного учета ERP+PM</t>
    </r>
    <r>
      <rPr>
        <b/>
        <i/>
        <sz val="12"/>
        <rFont val="Calibri"/>
        <family val="2"/>
        <charset val="204"/>
        <scheme val="minor"/>
      </rPr>
      <t xml:space="preserve"> 
Казначейство</t>
    </r>
  </si>
  <si>
    <r>
      <t>В контуре оперативного учета ERP+PM</t>
    </r>
    <r>
      <rPr>
        <b/>
        <i/>
        <sz val="12"/>
        <rFont val="Calibri"/>
        <family val="2"/>
        <charset val="204"/>
        <scheme val="minor"/>
      </rPr>
      <t xml:space="preserve"> 
Бизнес-план на период</t>
    </r>
    <r>
      <rPr>
        <b/>
        <i/>
        <sz val="12"/>
        <color rgb="FFFF0000"/>
        <rFont val="Calibri"/>
        <family val="2"/>
        <charset val="204"/>
        <scheme val="minor"/>
      </rPr>
      <t xml:space="preserve"> (до 10 форм Бюджетов)</t>
    </r>
  </si>
  <si>
    <r>
      <rPr>
        <b/>
        <i/>
        <sz val="12"/>
        <color rgb="FFFF0000"/>
        <rFont val="Calibri"/>
        <family val="2"/>
        <charset val="204"/>
        <scheme val="minor"/>
      </rPr>
      <t xml:space="preserve">В контуре PM
</t>
    </r>
    <r>
      <rPr>
        <b/>
        <i/>
        <sz val="12"/>
        <rFont val="Calibri"/>
        <family val="2"/>
        <charset val="204"/>
        <scheme val="minor"/>
      </rPr>
      <t>Распределение Фактических ОПР ОХР (в т.ч. ЗП)  из  служебных проектов на проекты и подразделения</t>
    </r>
    <r>
      <rPr>
        <b/>
        <i/>
        <sz val="12"/>
        <color rgb="FFFF0000"/>
        <rFont val="Calibri"/>
        <family val="2"/>
        <charset val="204"/>
        <scheme val="minor"/>
      </rPr>
      <t xml:space="preserve"> (Возможно включение в Кейс с увеличением стоимости)</t>
    </r>
  </si>
  <si>
    <r>
      <rPr>
        <b/>
        <i/>
        <sz val="12"/>
        <color rgb="FFFF0000"/>
        <rFont val="Calibri"/>
        <family val="2"/>
        <charset val="204"/>
        <scheme val="minor"/>
      </rPr>
      <t xml:space="preserve">В контуре PM
</t>
    </r>
    <r>
      <rPr>
        <b/>
        <i/>
        <sz val="12"/>
        <rFont val="Calibri"/>
        <family val="2"/>
        <charset val="204"/>
        <scheme val="minor"/>
      </rPr>
      <t xml:space="preserve">Распределение плановых данных по ОПР ОХР и других не проектных затрат из служебный проектов  </t>
    </r>
    <r>
      <rPr>
        <b/>
        <i/>
        <sz val="12"/>
        <color rgb="FFFF0000"/>
        <rFont val="Calibri"/>
        <family val="2"/>
        <charset val="204"/>
        <scheme val="minor"/>
      </rPr>
      <t>на проекты  текущего периода</t>
    </r>
    <r>
      <rPr>
        <b/>
        <i/>
        <sz val="12"/>
        <rFont val="Calibri"/>
        <family val="2"/>
        <charset val="204"/>
        <scheme val="minor"/>
      </rPr>
      <t xml:space="preserve"> и подразделения</t>
    </r>
  </si>
  <si>
    <r>
      <rPr>
        <b/>
        <i/>
        <sz val="12"/>
        <color rgb="FFFF0000"/>
        <rFont val="Calibri"/>
        <family val="2"/>
        <charset val="204"/>
        <scheme val="minor"/>
      </rPr>
      <t>В контуре PM</t>
    </r>
    <r>
      <rPr>
        <b/>
        <i/>
        <sz val="12"/>
        <rFont val="Calibri"/>
        <family val="2"/>
        <charset val="204"/>
        <scheme val="minor"/>
      </rPr>
      <t xml:space="preserve"> 
Планирование и учет факта ОПР ОХР и другой вне проектной деятельности  в служебных проектах </t>
    </r>
  </si>
  <si>
    <r>
      <t xml:space="preserve">Корпоративная отчетность (В рамках внедряемых функциональных блоков)
</t>
    </r>
    <r>
      <rPr>
        <sz val="11"/>
        <color rgb="FFFF0000"/>
        <rFont val="Calibri"/>
        <family val="2"/>
        <charset val="204"/>
        <scheme val="minor"/>
      </rPr>
      <t>(Разработка отчетов с "0" или использование подсистемы Бюджетирвоание ERP для вывода форм бюджетной отчетности)</t>
    </r>
  </si>
  <si>
    <r>
      <t>Расчет финансового результата компании по подразделениям и проектам по фактическим данным (</t>
    </r>
    <r>
      <rPr>
        <sz val="11"/>
        <color rgb="FFFF0000"/>
        <rFont val="Calibri"/>
        <family val="2"/>
        <charset val="204"/>
        <scheme val="minor"/>
      </rPr>
      <t>Отчет о прибылях и убытках и баланс в ERP</t>
    </r>
    <r>
      <rPr>
        <sz val="11"/>
        <rFont val="Calibri"/>
        <family val="2"/>
        <charset val="204"/>
        <scheme val="minor"/>
      </rPr>
      <t>)</t>
    </r>
  </si>
  <si>
    <r>
      <rPr>
        <b/>
        <i/>
        <sz val="12"/>
        <color rgb="FFFF0000"/>
        <rFont val="Calibri"/>
        <family val="2"/>
        <charset val="204"/>
        <scheme val="minor"/>
      </rPr>
      <t xml:space="preserve">В контуре оперативного учета ERP+PM 
</t>
    </r>
    <r>
      <rPr>
        <b/>
        <i/>
        <sz val="12"/>
        <rFont val="Calibri"/>
        <family val="2"/>
        <charset val="204"/>
        <scheme val="minor"/>
      </rPr>
      <t>Закрытие месяца по правилам Опер. Учета ERP и формирование</t>
    </r>
    <r>
      <rPr>
        <b/>
        <i/>
        <sz val="12"/>
        <color rgb="FFFF0000"/>
        <rFont val="Calibri"/>
        <family val="2"/>
        <charset val="204"/>
        <scheme val="minor"/>
      </rPr>
      <t xml:space="preserve"> </t>
    </r>
    <r>
      <rPr>
        <b/>
        <i/>
        <sz val="12"/>
        <rFont val="Calibri"/>
        <family val="2"/>
        <charset val="204"/>
        <scheme val="minor"/>
      </rPr>
      <t>Отчет о прибылях и убытках и Баланса в ERP</t>
    </r>
  </si>
  <si>
    <r>
      <t xml:space="preserve">Отображение факта доходов и расходов при проведении первичных документов  ERP (единая конфигурация ERP+PM)в проектном бюджетировании </t>
    </r>
    <r>
      <rPr>
        <sz val="11"/>
        <color rgb="FFFF0000"/>
        <rFont val="Calibri"/>
        <family val="2"/>
        <charset val="204"/>
        <scheme val="minor"/>
      </rPr>
      <t>по следующим видам хозяйственных операций : 
1. Акт выполненных работ (Реализация)
2. Реализация товаров и услуг (Реализация
3. Поступление товаров и услуг (Закупка у поставщика:
  3.1. В части услуг
  3.2. В части ТМЦ на фиксированную статью</t>
    </r>
  </si>
  <si>
    <t>Уточнил перечень хоз операция, в п. 4.4.</t>
  </si>
  <si>
    <r>
      <t xml:space="preserve">Отображение факта поступлений и выплат в проектном бюджетировании при проведении первичных документов ERP (единая конфигурация ERP+PM) </t>
    </r>
    <r>
      <rPr>
        <sz val="11"/>
        <color rgb="FFFF0000"/>
        <rFont val="Calibri"/>
        <family val="2"/>
        <charset val="204"/>
        <scheme val="minor"/>
      </rPr>
      <t>по следующим видам хозяйственных операций :
1. Поступление безналичных денежных средств
  1.1. Поступление оплаты от клиента
  1.2. Прочее поступление
  1.3. Возврат от поставщика
2. Списание безналичных денежных средств
  2.1. Оплата поставщику
  2.2. Пеерчисление налогов и взносов
  2.3. Таможенный платеж
  2.4. Прочий расход
  2.5. Возврат оплаты клиенту</t>
    </r>
    <r>
      <rPr>
        <sz val="11"/>
        <color theme="1"/>
        <rFont val="Calibri"/>
        <family val="2"/>
        <charset val="204"/>
        <scheme val="minor"/>
      </rPr>
      <t xml:space="preserve">
</t>
    </r>
    <r>
      <rPr>
        <sz val="11"/>
        <color rgb="FFFF0000"/>
        <rFont val="Calibri"/>
        <family val="2"/>
        <charset val="204"/>
        <scheme val="minor"/>
      </rPr>
      <t>3. Приходный кассовый ордер:
  3.1. Поступление оплаты от клиента
  3.2. Прочее поступление
  3.3. Возврат от поставщика
4. Расходный кассовый ордер
  4.1. Оплата поставщику
  4.2. Прочий расход
  4.3. Возврат оплаты клиенту</t>
    </r>
  </si>
  <si>
    <t>Переформулировали п. 7.8, 7.1. ( с сохранением сути)</t>
  </si>
  <si>
    <t>Сценарий прохождения сквозного примера в объектах системы в нотации Исполнителя</t>
  </si>
  <si>
    <t>Инструкции работы пользователей в ИС по шагам сценария</t>
  </si>
  <si>
    <t>Аттестация по требованиям ИБ</t>
  </si>
  <si>
    <t>Проект договора Исполнителя</t>
  </si>
  <si>
    <t>Формулу не удалять</t>
  </si>
  <si>
    <t>Документация по нагрузочному тестированию</t>
  </si>
  <si>
    <r>
      <rPr>
        <b/>
        <sz val="10"/>
        <color theme="1"/>
        <rFont val="Calibri"/>
        <family val="2"/>
        <charset val="204"/>
        <scheme val="minor"/>
      </rPr>
      <t>Оптимизация</t>
    </r>
    <r>
      <rPr>
        <sz val="10"/>
        <color theme="1"/>
        <rFont val="Calibri"/>
        <family val="2"/>
        <charset val="204"/>
        <scheme val="minor"/>
      </rPr>
      <t xml:space="preserve"> бизнес-процессов "To-Be"</t>
    </r>
  </si>
  <si>
    <r>
      <rPr>
        <b/>
        <i/>
        <sz val="10"/>
        <color rgb="FFFF0000"/>
        <rFont val="Calibri"/>
        <family val="2"/>
        <charset val="204"/>
        <scheme val="minor"/>
      </rPr>
      <t>Оптимизация</t>
    </r>
    <r>
      <rPr>
        <i/>
        <sz val="10"/>
        <color rgb="FFFF0000"/>
        <rFont val="Calibri"/>
        <family val="2"/>
        <charset val="204"/>
        <scheme val="minor"/>
      </rPr>
      <t xml:space="preserve"> </t>
    </r>
    <r>
      <rPr>
        <i/>
        <sz val="10"/>
        <color theme="1"/>
        <rFont val="Calibri"/>
        <family val="2"/>
        <charset val="204"/>
        <scheme val="minor"/>
      </rPr>
      <t>бизнес-процессов "To-Be"</t>
    </r>
  </si>
  <si>
    <t>Заказчиком заявлена документация по ГОСТ и/или работа по технилогии и шаблонам Заказчика</t>
  </si>
  <si>
    <t>Сделал автозаполнение критериев отнесения к ПРОФ и КОРП из Содержания проекта</t>
  </si>
  <si>
    <r>
      <rPr>
        <b/>
        <i/>
        <sz val="12"/>
        <color rgb="FFFF0000"/>
        <rFont val="Calibri"/>
        <family val="2"/>
        <charset val="204"/>
        <scheme val="minor"/>
      </rPr>
      <t>В контуре оперативного учета ERP+PM</t>
    </r>
    <r>
      <rPr>
        <b/>
        <i/>
        <sz val="12"/>
        <rFont val="Calibri"/>
        <family val="2"/>
        <charset val="204"/>
        <scheme val="minor"/>
      </rPr>
      <t xml:space="preserve"> 
Заработная плата по проектам (</t>
    </r>
    <r>
      <rPr>
        <b/>
        <i/>
        <sz val="12"/>
        <color rgb="FFFF0000"/>
        <rFont val="Calibri"/>
        <family val="2"/>
        <charset val="204"/>
        <scheme val="minor"/>
      </rPr>
      <t>не включает интеграцию с ЗУП и начисление ЗП в ERP п 11.4</t>
    </r>
    <r>
      <rPr>
        <b/>
        <i/>
        <sz val="12"/>
        <rFont val="Calibri"/>
        <family val="2"/>
        <charset val="204"/>
        <scheme val="minor"/>
      </rPr>
      <t>)</t>
    </r>
  </si>
  <si>
    <r>
      <t xml:space="preserve">1С:Бухгалтерия 8 вер.3 </t>
    </r>
    <r>
      <rPr>
        <b/>
        <i/>
        <sz val="12"/>
        <color rgb="FFFF0000"/>
        <rFont val="Calibri"/>
        <family val="2"/>
        <charset val="204"/>
        <scheme val="minor"/>
      </rPr>
      <t>(Вариант 2)</t>
    </r>
    <r>
      <rPr>
        <i/>
        <sz val="12"/>
        <rFont val="Calibri"/>
        <family val="2"/>
        <charset val="204"/>
        <scheme val="minor"/>
      </rPr>
      <t xml:space="preserve"> (или вер. 2) Обмен НСИ и первичной документацией с ERP+PM (</t>
    </r>
    <r>
      <rPr>
        <b/>
        <i/>
        <sz val="12"/>
        <color rgb="FFFF0000"/>
        <rFont val="Calibri"/>
        <family val="2"/>
        <charset val="204"/>
        <scheme val="minor"/>
      </rPr>
      <t>Используется для целей 4.5; 4.6</t>
    </r>
    <r>
      <rPr>
        <i/>
        <sz val="12"/>
        <rFont val="Calibri"/>
        <family val="2"/>
        <charset val="204"/>
        <scheme val="minor"/>
      </rPr>
      <t>)</t>
    </r>
  </si>
  <si>
    <r>
      <t>1С:Бухгалтерия 8 вер.3 (</t>
    </r>
    <r>
      <rPr>
        <b/>
        <i/>
        <sz val="12"/>
        <color rgb="FFFF0000"/>
        <rFont val="Calibri"/>
        <family val="2"/>
        <charset val="204"/>
        <scheme val="minor"/>
      </rPr>
      <t>Вариант 1</t>
    </r>
    <r>
      <rPr>
        <b/>
        <i/>
        <sz val="12"/>
        <rFont val="Calibri"/>
        <family val="2"/>
        <charset val="204"/>
        <scheme val="minor"/>
      </rPr>
      <t xml:space="preserve">) Отображение   факта доходов и расходов, ДДС в проектном бюджетировании автоматически по данным «1С: Бухгалтерия 8 ПРОФ» </t>
    </r>
    <r>
      <rPr>
        <b/>
        <i/>
        <sz val="12"/>
        <color rgb="FFFF0000"/>
        <rFont val="Calibri"/>
        <family val="2"/>
        <charset val="204"/>
        <scheme val="minor"/>
      </rPr>
      <t xml:space="preserve"> (Возможно включение в Кейс с увеличением стоимости) Не применимо для целей 4.5; 4.6.)</t>
    </r>
  </si>
  <si>
    <t xml:space="preserve">1С:Зарплата и управление персоналом 8 вер.3 (или вер. 2.5) Выгрузка Данных для расчёта ЗП из контура PM в ЗУП </t>
  </si>
  <si>
    <r>
      <t>1С:Зарплата и управление персоналом 8 вер.3 (или вер. 2.5) Начисленная ЗП для распределения в контуре ERP (</t>
    </r>
    <r>
      <rPr>
        <b/>
        <i/>
        <sz val="12"/>
        <color rgb="FFFF0000"/>
        <rFont val="Calibri"/>
        <family val="2"/>
        <charset val="204"/>
        <scheme val="minor"/>
      </rPr>
      <t>используется для целей 7.6.</t>
    </r>
    <r>
      <rPr>
        <i/>
        <sz val="12"/>
        <rFont val="Calibri"/>
        <family val="2"/>
        <charset val="204"/>
        <scheme val="minor"/>
      </rPr>
      <t>)</t>
    </r>
  </si>
  <si>
    <t>Использование Модуля PM к ERP</t>
  </si>
  <si>
    <t>Использование Модуля PM к ERP+УХ</t>
  </si>
  <si>
    <t>Добавили строки прочего функицонала (Использование модулей для ERP и ERP+УХ</t>
  </si>
  <si>
    <t>Кейс по готовности PM5</t>
  </si>
  <si>
    <t>Затраты на продажу</t>
  </si>
  <si>
    <t>Резерв Компании</t>
  </si>
  <si>
    <t>Производственная оценка</t>
  </si>
  <si>
    <t>Процессы/Блоки</t>
  </si>
  <si>
    <t>Программные комплексы</t>
  </si>
  <si>
    <t>Отрасль, для которой актуально</t>
  </si>
  <si>
    <t>Заполняется</t>
  </si>
  <si>
    <t>1С:PM ПРОФ</t>
  </si>
  <si>
    <t>1С:PM КОРП</t>
  </si>
  <si>
    <t>1С:Девеломпент ПРОФ (1С:PM+Риелтор)</t>
  </si>
  <si>
    <t>1С:Девелопмент 3.0 (1С:PM+Смета)</t>
  </si>
  <si>
    <t>1С:Девеломпент КОРП (1С:ERP+PM+Смета+Риелтор
+Аренда и эксплуатация)</t>
  </si>
  <si>
    <t>1С:УСО+PM</t>
  </si>
  <si>
    <t>1С:BIM 6D</t>
  </si>
  <si>
    <t>Инвестор/Девелопер</t>
  </si>
  <si>
    <t>Застройщик</t>
  </si>
  <si>
    <t>Техзаказчик</t>
  </si>
  <si>
    <t>Генподрядчик</t>
  </si>
  <si>
    <t>Подрядчик</t>
  </si>
  <si>
    <t>Генпроектировщик</t>
  </si>
  <si>
    <t>Проектировщик</t>
  </si>
  <si>
    <t>Гражданское строительство (девелопмент)</t>
  </si>
  <si>
    <t>Промышленное строительство</t>
  </si>
  <si>
    <t>Требуется в Очередь 1</t>
  </si>
  <si>
    <t>Требуется в Очередь 2</t>
  </si>
  <si>
    <t>Требуется в Очередь 3</t>
  </si>
  <si>
    <t>Функциональный заказчик</t>
  </si>
  <si>
    <t>Примечание</t>
  </si>
  <si>
    <t>Финмодель, заявочная кампания, подбор площадок (инициация и оценка проектов/объектов)</t>
  </si>
  <si>
    <t>Управление заявками на проекты</t>
  </si>
  <si>
    <t>Инвестиционная оценка проектов (финмодель)</t>
  </si>
  <si>
    <t>Математическое нормирование</t>
  </si>
  <si>
    <t>Формирование инвестиционных программ</t>
  </si>
  <si>
    <t>Управление портфелями и программами проектов/объектов</t>
  </si>
  <si>
    <t>+/-</t>
  </si>
  <si>
    <t>Управление структурами программ и портфелей</t>
  </si>
  <si>
    <t>Оценка проекта и расчет цены (если строим под заказ)</t>
  </si>
  <si>
    <t>Сводный статус по продажам проектов (если строим под заказ)</t>
  </si>
  <si>
    <t>Многоуровневые проекты</t>
  </si>
  <si>
    <t>KPI портфелей, программ и темплана</t>
  </si>
  <si>
    <t>Панель руководителя</t>
  </si>
  <si>
    <t>Управление пространственными данными по объектам</t>
  </si>
  <si>
    <t>1С:GIS</t>
  </si>
  <si>
    <t>Календрано-сетевое планирование и жизненный цикл проекта</t>
  </si>
  <si>
    <t>Формирование списка проектов, рабочее место руководителя проектов</t>
  </si>
  <si>
    <t>Планирование содержания и сроков проекта, диаграмма Ганта</t>
  </si>
  <si>
    <t>Фазы и контрольные точки проекта</t>
  </si>
  <si>
    <t>Прогнозные сроки</t>
  </si>
  <si>
    <t>Версионирование проекта</t>
  </si>
  <si>
    <t>Сквозное версионирование проектов</t>
  </si>
  <si>
    <t>Актуализация проекта</t>
  </si>
  <si>
    <t>Анализ проектов с группировкой по портфелям и программам</t>
  </si>
  <si>
    <t>Бюджеты проектов</t>
  </si>
  <si>
    <t>Управление проектными договорами</t>
  </si>
  <si>
    <t>Регистрация фактических данных и событий проекта</t>
  </si>
  <si>
    <t>Отражение первичных документов в проектном бюджетировании</t>
  </si>
  <si>
    <t>План-фактный анализ проекта</t>
  </si>
  <si>
    <t>Управление ПИР и другими трудоемкими работами + проектный документооборот и MDR</t>
  </si>
  <si>
    <t>Проектная продукция (реестр проектных документов, MDR)</t>
  </si>
  <si>
    <t>Планирование персонала и трудозатрат проекта</t>
  </si>
  <si>
    <t>Управление ресурсами проектной команды</t>
  </si>
  <si>
    <t>Управление загрузкой и рабочим временем по проектам</t>
  </si>
  <si>
    <t>Согласование трудозатрат</t>
  </si>
  <si>
    <t>Работа архитектора, конструктора, инженера с моделью 3D</t>
  </si>
  <si>
    <t>Открытие проекта в формате RNP</t>
  </si>
  <si>
    <t>Работа с шаблоном проекта в формате RNT</t>
  </si>
  <si>
    <t>Инструменты Renga для моделирования здания</t>
  </si>
  <si>
    <t>Вставка из DWG/DXF и PDF</t>
  </si>
  <si>
    <t>Вставка из 3D-форматов 3DS, LightWave 3D, STL, OBJ, COLLADA, FBX</t>
  </si>
  <si>
    <t>Вставка из 3D-формата C3D</t>
  </si>
  <si>
    <t>Инструменты Renga для оформления документации</t>
  </si>
  <si>
    <t>Вставка форм в формате RTB</t>
  </si>
  <si>
    <t>Экспорт в формат CSV</t>
  </si>
  <si>
    <t>Экспорт в формат RTB</t>
  </si>
  <si>
    <t>Экспорт в форматы DWG, DXF, PDF и OXPS</t>
  </si>
  <si>
    <t>Экспорт в 3D-форматы OBJ, COLLADA, STL, C3D</t>
  </si>
  <si>
    <t>Открытие проекта в формате IFC</t>
  </si>
  <si>
    <t>Экспорт в формат IFC</t>
  </si>
  <si>
    <t>Добавление категорий объектов инженерных систем (STDL)</t>
  </si>
  <si>
    <t>Вставка из 3D-форматов ACIS, STEP, Parasolid, IGES, JT, VRML</t>
  </si>
  <si>
    <t>Экспорт в 3D-форматы ACIS, STEP, Parasolid, JT</t>
  </si>
  <si>
    <t>Совместная работа в режиме реального времени</t>
  </si>
  <si>
    <t>Подготовка комплекта проектно‑сметной документации в соответствии с действующими нормативными требованиями: локальные, объектные, сводные сметы;</t>
  </si>
  <si>
    <t>Определение стоимости строительства базисным методом с использованием сметно‑нормативных баз в уровне цен на 01.01.2000;</t>
  </si>
  <si>
    <t>Определение стоимости строительства ресурсным методом, учитывающим реальные условия производства и современную номенклатуру строительных ресурсов (текущие цены, замена ресурсов со сметных на современные);</t>
  </si>
  <si>
    <t>Определение стоимости строительства ресурсно-индексным методом с использованием сметных норм, сметных цен строительных ресурсов в базисном уровне цен и одновременным применением информации о сметных ценах, размещенной в ФГИС ЦС, а также индексов изменения сметной стоимости к составляющим единичных расценок в базисном уровне цен;</t>
  </si>
  <si>
    <t>Формирование ведомостей ресурсов необходимых для выполнения работ по любому типу сметы (стройка, объект, вид работ) для оперативного планирования поставок материалов, механизмов и трудозатрат</t>
  </si>
  <si>
    <t>Одновременное использование нескольких региональных сметно‑нормативных баз, создание и ведение собственной нормативной базы.</t>
  </si>
  <si>
    <t>Интерактивные функции по работе с составом смет, неучтенными ресурсами, оборудованием и калькуляциями в текущих ценах;</t>
  </si>
  <si>
    <t>Прикрепление внешних файлов к локальной смете;</t>
  </si>
  <si>
    <t>Групповая работа с позициями сметных документов;</t>
  </si>
  <si>
    <t>Редактирование поправок на условия выполнения работ, начислений к позициям (на стесненность, вредность, работу под напряжением, транспортно-заготовительские расходы и т.п.);</t>
  </si>
  <si>
    <t>Работа с составом ресурсов, замена ресурсов;</t>
  </si>
  <si>
    <t>Работа с внешними наборами индексов пересчета и каталогами текущих цен на ресурсы;</t>
  </si>
  <si>
    <t>Учет лимитированных затрат суммовых и в процентах от итогов сметы;</t>
  </si>
  <si>
    <t>Учет в текущих ценах, отличных от уровня цен локальной сметы;</t>
  </si>
  <si>
    <t>Полный набор печатных форм локальных смет и актов выполненных работ с расшифровкой показателей, начислений, ресурсов, индексов по разделам, позициям и смете/акту;</t>
  </si>
  <si>
    <t>Экспертиза сметной документации по выбранным параметрам с выводом подробного отчета;</t>
  </si>
  <si>
    <t xml:space="preserve">Управление СМР </t>
  </si>
  <si>
    <t>Планирование объемов и поставок проекта</t>
  </si>
  <si>
    <t>Управление этапом СМР на уровне Девелопера, Заказчика, Инвестора</t>
  </si>
  <si>
    <t>Ведение учета выполненных работ и фактически использованных ресурсов (формы КС‑6, КС‑3, М‑29);</t>
  </si>
  <si>
    <t>Учет выполненных работ в разрезе объектов строительства и локальных смет;</t>
  </si>
  <si>
    <t>Ввод актов по остаткам;</t>
  </si>
  <si>
    <t>Формирование недельно-суточных графиков работ за любой период времени</t>
  </si>
  <si>
    <t>Стройконтроль</t>
  </si>
  <si>
    <t>Управление основными средствами</t>
  </si>
  <si>
    <t>Бухгалтерский учет с учетом строительной специфики</t>
  </si>
  <si>
    <t>Исполнительная документация</t>
  </si>
  <si>
    <t>Централизованное хранение ИД</t>
  </si>
  <si>
    <t>Согласование ИД с участниками проекта</t>
  </si>
  <si>
    <t>Контроль задач исполнителей и закрытие выполненных объемов исполнительной документации</t>
  </si>
  <si>
    <t>Сдача ИД заказчику онлайн</t>
  </si>
  <si>
    <t>Контроль качества и устранения замечаний</t>
  </si>
  <si>
    <t>ЭЦП (электронно-цифровая подпись)</t>
  </si>
  <si>
    <t>Работа собственных сил и ресурсных центров</t>
  </si>
  <si>
    <t>Управление работами внутри подразделений</t>
  </si>
  <si>
    <t>Рабочее место руководителя подразделения</t>
  </si>
  <si>
    <t>Сводный прогноз трудозатрат по ролям</t>
  </si>
  <si>
    <t>Сводное планирование трудозатрат по трудовым ресурсам</t>
  </si>
  <si>
    <t>KPI работы подразделений/ресурсным центрам</t>
  </si>
  <si>
    <t>Работа с подрядчиками</t>
  </si>
  <si>
    <t>Планирование субподрядных работ проекта</t>
  </si>
  <si>
    <t>Оценка исполнителей и субподрядчиков</t>
  </si>
  <si>
    <t>Тендерные процедуры и отбор подрядчиков</t>
  </si>
  <si>
    <t>Тендерная работа</t>
  </si>
  <si>
    <t>KPI субподрядчиков</t>
  </si>
  <si>
    <t>Управление собственным материальным производством (при наличии)</t>
  </si>
  <si>
    <t>Использование производства без заказов</t>
  </si>
  <si>
    <t>Учет ремонта оборудования</t>
  </si>
  <si>
    <t>Позаказный учет</t>
  </si>
  <si>
    <t>Использование в качестве производственных заделов готовых ДСЕ* (выпущенные на склад ДСЕ) при формировании новых заказов на производство *ДСЕ – детали и сборочные единицы</t>
  </si>
  <si>
    <t>Использование одноэтапного и многоэтапного производства</t>
  </si>
  <si>
    <t>Учет этапов производства</t>
  </si>
  <si>
    <t>Учет передаточных партий</t>
  </si>
  <si>
    <t>Межцеховое планирование</t>
  </si>
  <si>
    <t>Учет обеспеченности товарно_x0002_материальными ценностями</t>
  </si>
  <si>
    <t>Внутрицеховое планирование</t>
  </si>
  <si>
    <t>Алгоритм планирования Барабан-буфер-веревка</t>
  </si>
  <si>
    <t>Формирование сменно-суточных заданий без планирования</t>
  </si>
  <si>
    <t>Возможность пропуска операций</t>
  </si>
  <si>
    <t>Использование терминалов для отметки факта выполнения операций</t>
  </si>
  <si>
    <t>Контроль качества продукции</t>
  </si>
  <si>
    <t>Использование в качестве производственных заделов незавершенных ДСЕ (ДСЕ, производство которой было остановлено на какой-либо из операций техпроцесса) при формировании новых заказов на производство</t>
  </si>
  <si>
    <t>1С:MES</t>
  </si>
  <si>
    <t>Объединение этапов производства одинаковых ДСЕ с разными видами консолидации в том числе из разных заказов на производство</t>
  </si>
  <si>
    <t>Учет при планировании времени на перемещение изделий между операциями (между подразделениями и отдельными рабочими центрами) в виде матрицы транспортировок</t>
  </si>
  <si>
    <t>Формирование сменно-суточных заданий по данным оперативного планирования</t>
  </si>
  <si>
    <t xml:space="preserve">Алгоритм планирования Жадный алгоритм </t>
  </si>
  <si>
    <t>13</t>
  </si>
  <si>
    <t>1</t>
  </si>
  <si>
    <t>Проведение плановых и выборочных инспекций по чек-листам</t>
  </si>
  <si>
    <t>2</t>
  </si>
  <si>
    <t>Фиксация и устранение замечаний качества и нарушений ОТиПБ</t>
  </si>
  <si>
    <t>3</t>
  </si>
  <si>
    <t>Генерация предписаний, уведомление ответственных</t>
  </si>
  <si>
    <t>4</t>
  </si>
  <si>
    <t>Расчет штрафов и удержаний</t>
  </si>
  <si>
    <t>5</t>
  </si>
  <si>
    <t>Передача помещений в эксплуатацию</t>
  </si>
  <si>
    <t>14</t>
  </si>
  <si>
    <t>Управление автотранспортом и строительными машинами</t>
  </si>
  <si>
    <t>Управление загрузкой техники на уровне машиночасов</t>
  </si>
  <si>
    <t>Оформление заявок на использование машин и механизмов, отслеживание статуса выполнения заявки.</t>
  </si>
  <si>
    <t>Автоматическое формирование следующих путевых листов и их печать: Путевой лист легкового автомобиля (Форма №3); Путевой лист специального автомобиля (Форма №3 спец.); Путевой лист легкового такси (Форма №4); Путевой лист грузового автомобиля (Форма №4-п); Путевой лист грузового автомобиля (Форма №4-с); Путевой лист автобуса (Форма №6); Путевой лист автобуса необщего пользования (Форма№6 спец.); Путевой лист строительной машины (Форма №ЭСМ- 2).</t>
  </si>
  <si>
    <t>Автоматическое формирование рапорта о работе башенного крана (Форма "ЭСМ-1).</t>
  </si>
  <si>
    <t>Расчет нормированного расхода топлива.</t>
  </si>
  <si>
    <t>6</t>
  </si>
  <si>
    <t>Расчет выработки машины (механизма) по различным параметрам.</t>
  </si>
  <si>
    <t>7</t>
  </si>
  <si>
    <t>Учет ГСМ и запчастей.</t>
  </si>
  <si>
    <t>8</t>
  </si>
  <si>
    <t>Оформление заказов на обслуживание машин и механизмов, отслеживание статуса выполнения заказа.</t>
  </si>
  <si>
    <t>9</t>
  </si>
  <si>
    <t>Планирование технических обслуживаний и ремонтов машин (механизмов), составление план-графиков технического обслуживания и ремонта.</t>
  </si>
  <si>
    <t>10</t>
  </si>
  <si>
    <t>Учет технического обслуживания и ремонта машин (механизмов).</t>
  </si>
  <si>
    <t>11</t>
  </si>
  <si>
    <t>Накопление и хранение информации о машине (механизме) и истории ее (его) использования.</t>
  </si>
  <si>
    <t>12</t>
  </si>
  <si>
    <t>Накопление и хранение информации об установленных узлах и агрегатах.</t>
  </si>
  <si>
    <t>Накопление и хранение информации о регистрационных документах машин (механизмов) и водителей (машинистов)</t>
  </si>
  <si>
    <t>Закупки и склад</t>
  </si>
  <si>
    <t>Планирование материальных затрат проекта</t>
  </si>
  <si>
    <t>Управление заказами поставщикам</t>
  </si>
  <si>
    <t>Учет фактических затрат по материальным ресурсам</t>
  </si>
  <si>
    <t>Учет остатков товарно-материальных ценностей в различных единицах измерения на множестве складов и в подразделениях</t>
  </si>
  <si>
    <t>Штрих-кодирование товарно-материальных ценностей</t>
  </si>
  <si>
    <t>Учет операций комплектации и разукомплектации товарно-материальных ценностей</t>
  </si>
  <si>
    <t>Управление резервами товарно-материальных ценностей на складах</t>
  </si>
  <si>
    <t>KPI ТМЦ</t>
  </si>
  <si>
    <t>Продажи объектов недвижимости</t>
  </si>
  <si>
    <t>Управление базой/реестром объектов недвижимости</t>
  </si>
  <si>
    <t>CRM - управление взаимоотношениями с клиентами</t>
  </si>
  <si>
    <t>Управление сделками по недвижимости</t>
  </si>
  <si>
    <t>Управление взаиморасчетами по сделкам и финансовым результатом</t>
  </si>
  <si>
    <t>Управление арендой помещений</t>
  </si>
  <si>
    <t>Управление реестром объектов недвижимости</t>
  </si>
  <si>
    <t>Ценообразование</t>
  </si>
  <si>
    <t>Управление договорами аренды</t>
  </si>
  <si>
    <t>Управление взаиморасчетами по аренде</t>
  </si>
  <si>
    <t>Эксплуатация объектов недвижимости</t>
  </si>
  <si>
    <t>Учет технических характеристик объектов недвижимости, инженерных систем и конструктивных элементов</t>
  </si>
  <si>
    <t>Проведение осмотров объектов недвижимости</t>
  </si>
  <si>
    <t>Планирование мероприятий по техническому обслуживанию объектов недвижимости (плановый и текущий ремонт, регламентные работы и т.п.)</t>
  </si>
  <si>
    <t>Ведение смет на работы  по техническому обслуживанию</t>
  </si>
  <si>
    <t>Оформление и контроль заявок на обслуживание</t>
  </si>
  <si>
    <t>Учет фактических затрат на эксплуатацию</t>
  </si>
  <si>
    <t>Учет услуг подрядных организаций по выполнению техобслуживания</t>
  </si>
  <si>
    <t>Привлечение собственного персонала для техобслуживания объектов</t>
  </si>
  <si>
    <t>Ведение истории мероприятий по техобслуживанию</t>
  </si>
  <si>
    <t>Планирование затрат на эксплуатацию, проведение план-фактного анализа</t>
  </si>
  <si>
    <t>Трекинг заданий и коммуникации</t>
  </si>
  <si>
    <t>Управление коммуникациями проекта</t>
  </si>
  <si>
    <t>Проектные задания</t>
  </si>
  <si>
    <t>Внепроектные задания</t>
  </si>
  <si>
    <t>Подчиненные задания</t>
  </si>
  <si>
    <t>История комментирования по заданию</t>
  </si>
  <si>
    <t>Чаты по заданиям</t>
  </si>
  <si>
    <t>Битрикс 24</t>
  </si>
  <si>
    <t>Видеоконференцсвязь</t>
  </si>
  <si>
    <t>1С:Взаимодействие</t>
  </si>
  <si>
    <t>Табелирование трудозатрат по заданиям</t>
  </si>
  <si>
    <t>Типы заданий (обсуждения, согласования, проектное решение)</t>
  </si>
  <si>
    <t>Автоматическое создание задания по условию</t>
  </si>
  <si>
    <t>Уведомления о выдаче заданий</t>
  </si>
  <si>
    <t>Прикрепление файлов к заданиям</t>
  </si>
  <si>
    <t>Версионирование файлов по заданиям</t>
  </si>
  <si>
    <t>Доступ через веб (чтобы можно было наружу выставить)</t>
  </si>
  <si>
    <t>Тэгирование заданий</t>
  </si>
  <si>
    <t>Битрикс 24, модуль "Проектный канбан"</t>
  </si>
  <si>
    <t>Канбан (произвольная статусная модель)</t>
  </si>
  <si>
    <t>Мобильное приложение</t>
  </si>
  <si>
    <t>Чек-листы по задачам</t>
  </si>
  <si>
    <t>Совместная работа над заданиями нескольких исполнителей</t>
  </si>
  <si>
    <t>Возможность работы с внешними пользователями  (Заказчики, Подрядчики</t>
  </si>
  <si>
    <t>Быстрое приглашение внешних пользователей (Заказчики, Подрядчики</t>
  </si>
  <si>
    <t>Интеграции с календарями</t>
  </si>
  <si>
    <t>Возможность ставить задачи по эл. почте</t>
  </si>
  <si>
    <t>Интеграции с почтой (управление задачами через интеграцию с почтовым клиентом)</t>
  </si>
  <si>
    <t>Знания, нормирование, риски</t>
  </si>
  <si>
    <t>Управление проектными знаниями, нормирование проектных работ</t>
  </si>
  <si>
    <t>Оценка стоимости, ресурсов, сроков проектов с использованием настраиваемой матмодели и нормативной базы</t>
  </si>
  <si>
    <t>Управление рисками проекта</t>
  </si>
  <si>
    <t>Библиотека шаблонных документов и файлов</t>
  </si>
  <si>
    <t>1С:Документооборот</t>
  </si>
  <si>
    <t>Общефирменное бюджетирование и казначейство</t>
  </si>
  <si>
    <t>Финансовый результат компании</t>
  </si>
  <si>
    <t>Корпоративная отчетность</t>
  </si>
  <si>
    <t>Документооборот (ОРД, ПСД, договорной)</t>
  </si>
  <si>
    <t>Управление документами проекта</t>
  </si>
  <si>
    <t>Организационно-распорядительный документооборот</t>
  </si>
  <si>
    <t>Договорной документооборот</t>
  </si>
  <si>
    <t>Внепроизводственные процессы и функции</t>
  </si>
  <si>
    <t>Бухгалтерский и налоговый учет</t>
  </si>
  <si>
    <t>Управление персоналом и расчет заработной платы</t>
  </si>
  <si>
    <t>Управление по целям (мотивация)</t>
  </si>
  <si>
    <t>Управление маркетинговыми мероприятиями и продвижением</t>
  </si>
  <si>
    <t>МСФО</t>
  </si>
  <si>
    <t>KPI, аналитика и BI</t>
  </si>
  <si>
    <t>Витрина данных для 1С:Аналитика (BI)</t>
  </si>
  <si>
    <t>Статус-отчеты по проектам</t>
  </si>
  <si>
    <t>KPI проекта</t>
  </si>
  <si>
    <t>Структура цены проекта (дерево ключевых показателей проекта)</t>
  </si>
  <si>
    <t>Обмен данными с Microsoft Project</t>
  </si>
  <si>
    <t>Обмен данными с Oracle Primavera</t>
  </si>
  <si>
    <t>Обработка</t>
  </si>
  <si>
    <t>Обмен данными (структуры работ) с 1С:PM Управление проектами</t>
  </si>
  <si>
    <t>BIM-плеер</t>
  </si>
  <si>
    <t>Интеграция с Битрикс24</t>
  </si>
  <si>
    <t>Интеграция с 1С:Документооборот</t>
  </si>
  <si>
    <t>Интеграция с 1С:CRM</t>
  </si>
  <si>
    <t>Модуль для ERP</t>
  </si>
  <si>
    <t>Обмен данными с 1С:Бухгалтерия предприятия</t>
  </si>
  <si>
    <t>Обмен данными с 1С:ЗУП</t>
  </si>
  <si>
    <t>Доступ к службе работы с нормативными базами данных ТЕР, ФЕР, ОЕР, ТСН</t>
  </si>
  <si>
    <t>Компонента</t>
  </si>
  <si>
    <t>Обмен в форматах смет (АРПС 1.2 и 2.0, EstML, KENML)</t>
  </si>
  <si>
    <t>Загрузка классификатора строительных ресурсов (КСР) из ФГИС ЦС</t>
  </si>
  <si>
    <t>Импорт документации в формате "Смета плюс"</t>
  </si>
  <si>
    <t>Размещение рекламных объявлений по объектам недвижимости на различных Интернет-площадках: ЦИАН, Avito, Из рук в руки, Яндекс.Недвижимость, Realty.dmir.ru, ГдеЭтотДом.РУ</t>
  </si>
  <si>
    <t>Получение чертежей и подготовка данных для расчетных комплексов (Лира, Scad Office и т.д.)</t>
  </si>
  <si>
    <t>Экспорт 3D-модели в форматы 3D-графики – OBJ, DAE, STL для рендеринга в популярных программах 3Ds Max, Blender, Lumion и т.д.</t>
  </si>
  <si>
    <t>Экспорт 3D-модели в формат ifc</t>
  </si>
  <si>
    <t>Интеграции под заказ</t>
  </si>
  <si>
    <t>Требования ФЗ</t>
  </si>
  <si>
    <t>Запросить отдельно у Тех. Специалистов</t>
  </si>
  <si>
    <t>11.18.</t>
  </si>
  <si>
    <t>11.19.</t>
  </si>
  <si>
    <t>11.20.</t>
  </si>
  <si>
    <t>11.21.</t>
  </si>
  <si>
    <t>11.22.</t>
  </si>
  <si>
    <t>11.23.</t>
  </si>
  <si>
    <t>11.24.</t>
  </si>
  <si>
    <t>11.25.</t>
  </si>
  <si>
    <t>11.26.</t>
  </si>
  <si>
    <t>11.27.</t>
  </si>
  <si>
    <t>Комментарии заполняем на личте "Краткое описание Интеграций</t>
  </si>
  <si>
    <r>
      <rPr>
        <b/>
        <u/>
        <sz val="11"/>
        <color theme="1"/>
        <rFont val="Calibri"/>
        <family val="2"/>
        <charset val="204"/>
        <scheme val="minor"/>
      </rPr>
      <t>Обменом</t>
    </r>
    <r>
      <rPr>
        <sz val="11"/>
        <color theme="1"/>
        <rFont val="Calibri"/>
        <family val="2"/>
        <charset val="204"/>
        <scheme val="minor"/>
      </rPr>
      <t xml:space="preserve"> (односторонним или двусторонним) считаем любую загрузку\выгрузку данных из одной системы  в другую, </t>
    </r>
    <r>
      <rPr>
        <b/>
        <u/>
        <sz val="11"/>
        <color theme="1"/>
        <rFont val="Calibri"/>
        <family val="2"/>
        <charset val="204"/>
        <scheme val="minor"/>
      </rPr>
      <t>при условии</t>
    </r>
    <r>
      <rPr>
        <sz val="11"/>
        <color theme="1"/>
        <rFont val="Calibri"/>
        <family val="2"/>
        <charset val="204"/>
        <scheme val="minor"/>
      </rPr>
      <t xml:space="preserve">, что данные, полученные целевой системой, </t>
    </r>
    <r>
      <rPr>
        <b/>
        <u/>
        <sz val="11"/>
        <color theme="1"/>
        <rFont val="Calibri"/>
        <family val="2"/>
        <charset val="204"/>
        <scheme val="minor"/>
      </rPr>
      <t>не обрабатываются дополнительно</t>
    </r>
    <r>
      <rPr>
        <sz val="11"/>
        <color theme="1"/>
        <rFont val="Calibri"/>
        <family val="2"/>
        <charset val="204"/>
        <scheme val="minor"/>
      </rPr>
      <t xml:space="preserve"> внутри целевой системы </t>
    </r>
    <r>
      <rPr>
        <b/>
        <u/>
        <sz val="11"/>
        <color theme="1"/>
        <rFont val="Calibri"/>
        <family val="2"/>
        <charset val="204"/>
        <scheme val="minor"/>
      </rPr>
      <t>автоматически и не порождают дополнительные данные</t>
    </r>
    <r>
      <rPr>
        <sz val="11"/>
        <color theme="1"/>
        <rFont val="Calibri"/>
        <family val="2"/>
        <charset val="204"/>
        <scheme val="minor"/>
      </rPr>
      <t xml:space="preserve">. Пример - загрузка Справочника "Контрагенты" из 1С Бухгалтерии. 
</t>
    </r>
    <r>
      <rPr>
        <b/>
        <u/>
        <sz val="11"/>
        <color theme="1"/>
        <rFont val="Calibri"/>
        <family val="2"/>
        <charset val="204"/>
        <scheme val="minor"/>
      </rPr>
      <t>Интеграцией</t>
    </r>
    <r>
      <rPr>
        <sz val="11"/>
        <color theme="1"/>
        <rFont val="Calibri"/>
        <family val="2"/>
        <charset val="204"/>
        <scheme val="minor"/>
      </rPr>
      <t xml:space="preserve">, как следствие, считаем такой обмен данными, </t>
    </r>
    <r>
      <rPr>
        <b/>
        <u/>
        <sz val="11"/>
        <color theme="1"/>
        <rFont val="Calibri"/>
        <family val="2"/>
        <charset val="204"/>
        <scheme val="minor"/>
      </rPr>
      <t>результат которого вызывает дополнительные процедуры обработки полученных данных или генерирует дополнительные данные</t>
    </r>
    <r>
      <rPr>
        <sz val="11"/>
        <color theme="1"/>
        <rFont val="Calibri"/>
        <family val="2"/>
        <charset val="204"/>
        <scheme val="minor"/>
      </rPr>
      <t xml:space="preserve"> средствами самой целевой системы. Пример - загрузка списка новых сотрудников, с автоматической генерацией средствами системы соответствующих им Трудовых ресурсов, Диспетчеров и тд.</t>
    </r>
  </si>
  <si>
    <t>Disclaimer:</t>
  </si>
  <si>
    <t>Юр лицо для контрактации</t>
  </si>
  <si>
    <t>Ставка НДС</t>
  </si>
  <si>
    <t>Оценка Базовая Без НДС</t>
  </si>
  <si>
    <t>Оценка "Совместный запуск" с НДС</t>
  </si>
  <si>
    <t>Оценка "Совместный запуск" Без НДС</t>
  </si>
  <si>
    <t>По умолчанияю 7%, если контрактуем от С/З ставить 20%</t>
  </si>
  <si>
    <t>Оценка "Кейс-проект" Без НДС</t>
  </si>
  <si>
    <t>Оценка "От" Без НДС</t>
  </si>
  <si>
    <t>Оценка "От" с НДС</t>
  </si>
  <si>
    <t>Оценка "ДО" с НДС</t>
  </si>
  <si>
    <t>Оценка "До" (в КП) без НДС</t>
  </si>
  <si>
    <r>
      <t xml:space="preserve">Ставка </t>
    </r>
    <r>
      <rPr>
        <b/>
        <sz val="11"/>
        <color rgb="FFFF0000"/>
        <rFont val="Calibri"/>
        <family val="2"/>
        <charset val="204"/>
        <scheme val="minor"/>
      </rPr>
      <t>без НДС</t>
    </r>
  </si>
  <si>
    <t>Оценка "Кейс" с НДС</t>
  </si>
  <si>
    <t>Оценка "От" 
с НДС</t>
  </si>
  <si>
    <t>Оценка "ДО" 
с НДС</t>
  </si>
  <si>
    <t>Суммы без НДС!!</t>
  </si>
  <si>
    <t>Ответственный</t>
  </si>
  <si>
    <t>АРМ для мэппинга сметы и элементов календарно-сетевого графика проекта</t>
  </si>
  <si>
    <t>Мэппинг КСП и Сметы</t>
  </si>
  <si>
    <t>ТОИР</t>
  </si>
  <si>
    <t>Учет оборудования и нормативов</t>
  </si>
  <si>
    <t>Учет показателей эксплуатации</t>
  </si>
  <si>
    <t>Планирование ТО и ремонтов</t>
  </si>
  <si>
    <t>Управление МТО ремонтов</t>
  </si>
  <si>
    <t>Управление персоналом</t>
  </si>
  <si>
    <t>Управление нарядами и работами</t>
  </si>
  <si>
    <t>Мониторинг KPI и отчетность</t>
  </si>
  <si>
    <t>Интеграции с другими системами</t>
  </si>
  <si>
    <t>15</t>
  </si>
  <si>
    <t>Расширенный дашборд с контролем состояния объектов</t>
  </si>
  <si>
    <t>Дашборд девелопера</t>
  </si>
  <si>
    <t>Индивидуальный дашборд на Java Script</t>
  </si>
  <si>
    <t>26</t>
  </si>
  <si>
    <t>СКУД</t>
  </si>
  <si>
    <t>1С:Девелопмент 4.0 (1С:PM+Смета ТИМ КОРП)</t>
  </si>
  <si>
    <t>Осмечивание и формирование объемов работ</t>
  </si>
  <si>
    <t>Создание и ведение собственных классификаторов видов работ, материалов и элементов для последующего их сопоставления со значениями параметров в элементах модели и наполнения ведомости объемов работ</t>
  </si>
  <si>
    <t>Параметризация и нормализация свойств элементов моделей</t>
  </si>
  <si>
    <t>Анализ изменений по загруженным информационным версиям модели и сравнение загруженных версий с помощью отчетов</t>
  </si>
  <si>
    <t>формирование ведомостей объема работ по назначенным видам работ на элементы информационных моделей, назначение расценок  из данных ведомости объема работ</t>
  </si>
  <si>
    <t>Автоматическое формирование локальной сметы по назначенным расценкам</t>
  </si>
  <si>
    <t>Проверка качества информационных моделей по заданным правилам</t>
  </si>
  <si>
    <t>Осмечивание сложных сборных конструкций (сборок)</t>
  </si>
  <si>
    <t>Формирование связанной с информационной моделью структуры сметной документации</t>
  </si>
  <si>
    <t>Коммерческие методики, возможность расчета смет в собственных (не государственных) расценках в текущем уровне цен</t>
  </si>
  <si>
    <t>Определение стоимости строительства базисно‑индексным методом с применением коэффициентов (индексов) пересчета как к полной стоимости, так и к элементам затрат, возможность применять индексы к полной стоимости или по элементам затрат;</t>
  </si>
  <si>
    <t>Формирование полного пакета документации: локальная, объектная, сводная смета</t>
  </si>
  <si>
    <t>Расчеты согласно методике определения стоимости строительной продукции на территории Российской Федерации приказ 421/пр, МДС 81-35.2004 и методологии ТСН г. Москва;</t>
  </si>
  <si>
    <t>Ароведение конъюнктурного анализа цен на материалы, оборудование и прочих затрат для выбора лучшего предложения, в том числе интеграция с номенклатурными справочниками</t>
  </si>
  <si>
    <t>Проведение классификации данных с элементами ИИ для повышения качества формирования сметной документации</t>
  </si>
  <si>
    <t>Формирование сметы контракта, определение стоимости конструктивных элементов</t>
  </si>
  <si>
    <t>Обмен данными с Renga, в т.ч. визуализация данных</t>
  </si>
  <si>
    <t>Обмен данными с Revit, в т.ч. визуализация данных</t>
  </si>
  <si>
    <t>Обмен данными с PilotBIM/IFC, в т.ч. визуализация данных</t>
  </si>
  <si>
    <t>Визуализация моделей в окне 1С</t>
  </si>
  <si>
    <t>Расширение визуализации</t>
  </si>
  <si>
    <t>Загрузка ФЕР и ГЭСН в базу 1С, версионирование, в том числе загрузка из ФГИС ЦС</t>
  </si>
  <si>
    <t>Обмен в форматах государственной экспертизы (GGE)</t>
  </si>
  <si>
    <t>Аргументы для Заказчика</t>
  </si>
  <si>
    <t>Целесообразно относить на 2-ю очередь т.к. для корректной работы этого технического механизма необходимы достоверные данные по проектам (База распределения), и по самим накладных расходам. 
По нашему опыту достовеные данные появляются у Заказчиков через пол-года-год после запуска системы. т.е. Механизм будет, на него будут потрачены деньги, но первых год он фактически использоваться не будет.</t>
  </si>
  <si>
    <t>1. Целесообразно в первую очереждь запускать только эту функцию, без распределения. т.к. для корректной работы этого технического механизма необходимы достоверные данные по проектам (База распределения), и по самим накладных расходам. 
По нашему опыту достовеные данные появляются у Заказчиков через пол-года-год после запуска системы.</t>
  </si>
  <si>
    <t>Среда общих данных</t>
  </si>
  <si>
    <t>Работа с консолидированными BIM-моделями</t>
  </si>
  <si>
    <t>Автоматизированная сборка и экспертиза консолидированной BIM-модели в мультиинструментальной среде</t>
  </si>
  <si>
    <t>Взаимодействие с внутренними участниками проектв</t>
  </si>
  <si>
    <t>Взаимодействие с заказчиками и подрядчиками</t>
  </si>
  <si>
    <t>Ведение истории изменения модели</t>
  </si>
  <si>
    <t>Версионирование, хранение, архивация модели</t>
  </si>
  <si>
    <t>Формирование замечаний к BIM-объектам</t>
  </si>
  <si>
    <t>Возможность использования модели на этапах строительства и эксплуатации</t>
  </si>
  <si>
    <t>Управление заданиями</t>
  </si>
  <si>
    <t>Подготовка документации к экспертизе</t>
  </si>
  <si>
    <t>Отчетность (Формирование управленческих отчетов по данным СОД)</t>
  </si>
  <si>
    <t>Мобильное приложение для iOS / Android с поддержкой онлайн-режима</t>
  </si>
  <si>
    <t>Мобильное приложение для iOS / Android с поддержкой оффлайн-режима для работы с площадки</t>
  </si>
  <si>
    <t>27</t>
  </si>
  <si>
    <t>Ставка с 25 года</t>
  </si>
  <si>
    <t>Сопровождение Базы данных на 1 год</t>
  </si>
  <si>
    <t>БЗ Проеткная дирекция</t>
  </si>
  <si>
    <t>БЗ Экономический блок</t>
  </si>
  <si>
    <t>Очередь</t>
  </si>
  <si>
    <t>Правообладатель РИД - Исполнитель</t>
  </si>
  <si>
    <t>Предполагается подписание отзыва по завершению проекта</t>
  </si>
  <si>
    <t>Фонд компании</t>
  </si>
  <si>
    <t>Версия PM</t>
  </si>
  <si>
    <t>PM4</t>
  </si>
  <si>
    <t>Фонд Компании</t>
  </si>
  <si>
    <t>Наценка на риски договора</t>
  </si>
  <si>
    <t>Конфиденциальная информация передается только с Грифом.</t>
  </si>
  <si>
    <t>В договоре ограничение по возмещению убытков не более 10 % от стоимости договора</t>
  </si>
  <si>
    <t>РПО Наценка на риски договора</t>
  </si>
  <si>
    <t>Фонд компании Наценка на риски договора</t>
  </si>
  <si>
    <t>ЗАПОЛНИТЬ</t>
  </si>
  <si>
    <t>Аванс</t>
  </si>
  <si>
    <t>Отсрочка платежа (р. Дней)</t>
  </si>
  <si>
    <t>Длительность максимального этапа</t>
  </si>
  <si>
    <t>ФОРМУЛА</t>
  </si>
  <si>
    <t>В договоре  (СОК) ограничение по возмещению убытков  Конф данных не более 10 % от стоимости договора</t>
  </si>
  <si>
    <t>Длительность максимального этапа в днях</t>
  </si>
  <si>
    <t>Аванс, и отсрочка платежа не более 10 р. Дней</t>
  </si>
  <si>
    <t>Добавили Фонд компании и резервы на риски договора</t>
  </si>
  <si>
    <t>Функциональный объем РМ5 и особенности реализации</t>
  </si>
  <si>
    <t>Частично! Свод по производственной программе- в панели руководителя и отчетах, отдельной сущности нет. Есть доходные объемы, а доходов собственно нет.
Есть БДР и БДДС в структуре, а так же в табличном редакторе, так же есть доходные объемы и расходные (ресурсы)</t>
  </si>
  <si>
    <t>Пока не весь функционал ПФА по программе есть как в РМ4. Нет необходимости в полном повторении РМ4, потому что по сценарию РМ5 он такой не нужен.
ПФА существует в виде отчетов, а так же с помощью таблиных редакторов, где присутствует план, а так же факт+прогноз.</t>
  </si>
  <si>
    <t>Как в РМ4 нет, но есть табличный редактор. Текущая реализация - очень неудобная. Технология ПРОФ-мини. 
С помощью настройки табличного редактора (выбрав подразделение операции или ресурса)</t>
  </si>
  <si>
    <t>не нужно в сценарии. Можно поставить допреквизитом</t>
  </si>
  <si>
    <t>Можно прикреплять файлы к объектам системы</t>
  </si>
  <si>
    <t>Признак "Ворота качества" у вехи имеется, фаз на данный момент нет</t>
  </si>
  <si>
    <t>с помощью панели руководителя, а так же отчетов (ПФА БДР, ПФА БДДС, ПФА Ресурсов)</t>
  </si>
  <si>
    <t>Карточка проекта/Карточка плана проекта</t>
  </si>
  <si>
    <t>Расчет «критического пути» проекта. Реализовано как в РМ4, без сложных расчетов как в Примавере</t>
  </si>
  <si>
    <t>Возможность добавить несколько планов и вывести в виде ДГ</t>
  </si>
  <si>
    <t>Все данные хранятся именно в версии, а не плане</t>
  </si>
  <si>
    <t>Сравнение версий планов</t>
  </si>
  <si>
    <t>Нет отдельного объекта = Шаблон. Эталонный проект такой же проект как и другие. 
Любой план можно назначить шаблоном</t>
  </si>
  <si>
    <t xml:space="preserve">Нет отдельного объекта = Шаблон. Эталонный проект такой же проект как и другие. </t>
  </si>
  <si>
    <t>Нет возможности предварительного моделирования проекта. Нет возможности заполнить НСИ и тд из шаблона</t>
  </si>
  <si>
    <t>В проработке концепция ограничений на действия с элементами плана в разных статусах. Вручную устанавливаем % и статусы задач</t>
  </si>
  <si>
    <t>Частично есть, требует уточнения</t>
  </si>
  <si>
    <t>Статус имеет как проект, так и план. Требует уточнения реализации!</t>
  </si>
  <si>
    <t>х</t>
  </si>
  <si>
    <t>В целом - нет. 
Табличный редактор ресурсов, декомпозиция работ проводиться в редакторе планов</t>
  </si>
  <si>
    <t>В целом - есть, но с ограничениями. Любой план можно назначить шаблоном</t>
  </si>
  <si>
    <t>Есть назначение сотрудников на задачи проекта. Планирование загрузки - через механизм заданий</t>
  </si>
  <si>
    <t xml:space="preserve">с ограничениями. Не для инжиниринга! </t>
  </si>
  <si>
    <t>с ограничениями! Табелирование для ресурсов с видом "Трудовые ресурсы (сотрудники)</t>
  </si>
  <si>
    <t>ПФА трудовых ресурсов</t>
  </si>
  <si>
    <t>С ограничениями! Документ фактические ресурсы, в привязке к элементу плана</t>
  </si>
  <si>
    <t>ПФА ресурсов и результатов работ</t>
  </si>
  <si>
    <t>Отчет Анализ показателей, либо настройка в панели руководителя</t>
  </si>
  <si>
    <t>Немного другое сутевое наполнение показателей KPI. Другие методические решения. Есть набор показателей, с которыми можно идти, как минимум, в пилот</t>
  </si>
  <si>
    <t>План результатов (ранее - план объемов) = План трудозатрат на предварительном уровне. Для планирования физ.объемов в результатах (план выпуска) нужно дополнительно моделировать. Изменений не ждем, думаем как с этим идти в пилот</t>
  </si>
  <si>
    <t>Редактор планов, либо табличный редактор ресурсы</t>
  </si>
  <si>
    <t>Редактор планов, либо табличный редактор ресурсы. В текущем сценарии нет</t>
  </si>
  <si>
    <t xml:space="preserve">Редактор планов, либо табличный редактор ресурсы.План результатов (ранее - план объемов) = План трудозатрат на предварительном уровне. </t>
  </si>
  <si>
    <t xml:space="preserve">С ограничениями! Редактор планов, либо табличный редактор ресурсы. </t>
  </si>
  <si>
    <t xml:space="preserve">С ограничениями! </t>
  </si>
  <si>
    <t>Документ фактические ресурсы, в привязке к элементу плана</t>
  </si>
  <si>
    <t>ПФА по ресурсам</t>
  </si>
  <si>
    <t>Табличный редактор ресурсов, декомпозиция работ проводиться в редакторе планов
При условии управления отдельным Планом Поздразделения силами РСП</t>
  </si>
  <si>
    <t>Выдача заданий присутствует, отдельно задания на планирование не выделены</t>
  </si>
  <si>
    <t>С ограничениями! 
Табличный редактор ресурсов, декомпозиция работ проводиться в редакторе планов
Ролевая модель частично готова. Готовы делать с частичным разделением прав доступа</t>
  </si>
  <si>
    <t>С ограничениями!</t>
  </si>
  <si>
    <t>Требует проверки в модели!</t>
  </si>
  <si>
    <t>С помощью отдельного плана внепроктной деятельности ? А далее типовыми инструментами: Табличный редактор доходов,расходов, факт доходов/расходов.</t>
  </si>
  <si>
    <t>Табличный редактор доходов,расходов, факт доходов/расходов.</t>
  </si>
  <si>
    <t>Для контррля исполнения работ субподряда можно использовать отдельный план</t>
  </si>
  <si>
    <t>Есть механизм, нужно проверять на модели</t>
  </si>
  <si>
    <t>Внесена колонка с функционалом и ограничениями реализации на РМ5</t>
  </si>
  <si>
    <t>Роли, для которых актуально (преимущественно)</t>
  </si>
  <si>
    <t>Могут использоваться данные ЦИМ</t>
  </si>
  <si>
    <t>Поставщик</t>
  </si>
  <si>
    <t>Риелтор</t>
  </si>
  <si>
    <t>Эксплуатация</t>
  </si>
  <si>
    <t>Фаза 5.1. Проектный аутсорсинг (1 роль на 6 месяцев)</t>
  </si>
  <si>
    <t>Ограничение</t>
  </si>
  <si>
    <t>Пояснение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</si>
</sst>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 #,##0\ &quot;₽&quot;_-;\-* #,##0\ &quot;₽&quot;_-;_-* &quot;-&quot;\ &quot;₽&quot;_-;_-@_-"/>
    <numFmt numFmtId="44" formatCode="_-* #,##0.00\ &quot;₽&quot;_-;\-* #,##0.00\ &quot;₽&quot;_-;_-* &quot;-&quot;??\ &quot;₽&quot;_-;_-@_-"/>
    <numFmt numFmtId="43" formatCode="_-* #,##0.00_-;\-* #,##0.00_-;_-* &quot;-&quot;??_-;_-@_-"/>
    <numFmt numFmtId="164" formatCode="_-* #,##0.00\ _₽_-;\-* #,##0.00\ _₽_-;_-* &quot;-&quot;??\ _₽_-;_-@_-"/>
    <numFmt numFmtId="165" formatCode="_-* #,##0_-;\-* #,##0_-;_-* &quot;-&quot;??_-;_-@_-"/>
    <numFmt numFmtId="166" formatCode="_-* #,##0.0_-;\-* #,##0.0_-;_-* &quot;-&quot;??_-;_-@_-"/>
    <numFmt numFmtId="167" formatCode="_-* #,##0\ &quot;₽&quot;_-;\-* #,##0\ &quot;₽&quot;_-;_-* &quot;-&quot;??\ &quot;₽&quot;_-;_-@_-"/>
    <numFmt numFmtId="168" formatCode="#,##0.00&quot;р.&quot;"/>
    <numFmt numFmtId="169" formatCode="#,##0.00_р_."/>
  </numFmts>
  <fonts count="128"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1"/>
      <color rgb="FF000000"/>
      <name val="Calibri"/>
      <family val="2"/>
      <charset val="204"/>
      <scheme val="minor"/>
    </font>
    <font>
      <sz val="12"/>
      <name val="Calibri"/>
      <family val="2"/>
      <charset val="204"/>
      <scheme val="minor"/>
    </font>
    <font>
      <b/>
      <sz val="12"/>
      <name val="Calibri"/>
      <family val="2"/>
      <charset val="204"/>
      <scheme val="minor"/>
    </font>
    <font>
      <sz val="11"/>
      <color theme="1"/>
      <name val="Calibri"/>
      <family val="2"/>
      <charset val="204"/>
    </font>
    <font>
      <b/>
      <sz val="11"/>
      <name val="Calibri"/>
      <family val="2"/>
      <charset val="204"/>
      <scheme val="minor"/>
    </font>
    <font>
      <sz val="11"/>
      <name val="Calibri"/>
      <family val="2"/>
      <charset val="204"/>
      <scheme val="minor"/>
    </font>
    <font>
      <b/>
      <i/>
      <sz val="11"/>
      <color theme="1"/>
      <name val="Calibri"/>
      <family val="2"/>
      <charset val="204"/>
      <scheme val="minor"/>
    </font>
    <font>
      <sz val="11"/>
      <color rgb="FF9C6500"/>
      <name val="Calibri"/>
      <family val="2"/>
      <charset val="204"/>
      <scheme val="minor"/>
    </font>
    <font>
      <b/>
      <i/>
      <sz val="12"/>
      <name val="Calibri"/>
      <family val="2"/>
      <charset val="204"/>
      <scheme val="minor"/>
    </font>
    <font>
      <b/>
      <i/>
      <sz val="11"/>
      <name val="Calibri"/>
      <family val="2"/>
      <charset val="204"/>
      <scheme val="minor"/>
    </font>
    <font>
      <b/>
      <sz val="12"/>
      <color theme="1"/>
      <name val="Calibri"/>
      <family val="2"/>
      <charset val="204"/>
      <scheme val="minor"/>
    </font>
    <font>
      <sz val="8"/>
      <name val="Calibri"/>
      <family val="2"/>
      <charset val="204"/>
      <scheme val="minor"/>
    </font>
    <font>
      <b/>
      <sz val="14"/>
      <color theme="1"/>
      <name val="Calibri"/>
      <family val="2"/>
      <charset val="204"/>
      <scheme val="minor"/>
    </font>
    <font>
      <b/>
      <sz val="12"/>
      <color rgb="FF000000"/>
      <name val="Calibri"/>
      <family val="2"/>
      <charset val="204"/>
      <scheme val="minor"/>
    </font>
    <font>
      <b/>
      <sz val="12"/>
      <color rgb="FF363636"/>
      <name val="Segoe UI"/>
      <family val="2"/>
      <charset val="204"/>
    </font>
    <font>
      <i/>
      <sz val="11"/>
      <color theme="1"/>
      <name val="Calibri"/>
      <family val="2"/>
      <charset val="204"/>
      <scheme val="minor"/>
    </font>
    <font>
      <i/>
      <sz val="11"/>
      <name val="Calibri"/>
      <family val="2"/>
      <charset val="204"/>
      <scheme val="minor"/>
    </font>
    <font>
      <sz val="9"/>
      <color indexed="81"/>
      <name val="Tahoma"/>
      <family val="2"/>
      <charset val="204"/>
    </font>
    <font>
      <b/>
      <sz val="9"/>
      <color indexed="81"/>
      <name val="Tahoma"/>
      <family val="2"/>
      <charset val="204"/>
    </font>
    <font>
      <sz val="11"/>
      <color rgb="FF000000"/>
      <name val="Calibri"/>
      <family val="2"/>
      <charset val="204"/>
      <scheme val="minor"/>
    </font>
    <font>
      <b/>
      <sz val="11"/>
      <color rgb="FFFF0000"/>
      <name val="Calibri"/>
      <family val="2"/>
      <charset val="204"/>
      <scheme val="minor"/>
    </font>
    <font>
      <sz val="11"/>
      <color rgb="FF9C0006"/>
      <name val="Calibri"/>
      <family val="2"/>
      <charset val="204"/>
      <scheme val="minor"/>
    </font>
    <font>
      <sz val="11"/>
      <color rgb="FFFF0000"/>
      <name val="Calibri"/>
      <family val="2"/>
      <charset val="204"/>
      <scheme val="minor"/>
    </font>
    <font>
      <b/>
      <i/>
      <sz val="12"/>
      <color theme="1"/>
      <name val="Calibri"/>
      <family val="2"/>
      <charset val="204"/>
      <scheme val="minor"/>
    </font>
    <font>
      <sz val="12"/>
      <color theme="1"/>
      <name val="Calibri"/>
      <family val="2"/>
      <charset val="204"/>
      <scheme val="minor"/>
    </font>
    <font>
      <i/>
      <sz val="12"/>
      <name val="Calibri"/>
      <family val="2"/>
      <charset val="204"/>
      <scheme val="minor"/>
    </font>
    <font>
      <b/>
      <sz val="14"/>
      <color rgb="FFFF0000"/>
      <name val="Calibri"/>
      <family val="2"/>
      <charset val="204"/>
      <scheme val="minor"/>
    </font>
    <font>
      <b/>
      <sz val="14"/>
      <name val="Calibri"/>
      <family val="2"/>
      <charset val="204"/>
      <scheme val="minor"/>
    </font>
    <font>
      <sz val="12"/>
      <color rgb="FFFF0000"/>
      <name val="Calibri"/>
      <family val="2"/>
      <charset val="204"/>
      <scheme val="minor"/>
    </font>
    <font>
      <sz val="11"/>
      <color rgb="FF00B0F0"/>
      <name val="Calibri"/>
      <family val="2"/>
      <charset val="204"/>
      <scheme val="minor"/>
    </font>
    <font>
      <b/>
      <i/>
      <sz val="12"/>
      <color rgb="FFFF0000"/>
      <name val="Calibri"/>
      <family val="2"/>
      <charset val="204"/>
      <scheme val="minor"/>
    </font>
    <font>
      <sz val="11"/>
      <color rgb="FF9C5700"/>
      <name val="Calibri"/>
      <family val="2"/>
      <charset val="204"/>
      <scheme val="minor"/>
    </font>
    <font>
      <b/>
      <i/>
      <sz val="12"/>
      <color rgb="FF000000"/>
      <name val="Times New Roman"/>
      <family val="1"/>
      <charset val="204"/>
    </font>
    <font>
      <b/>
      <i/>
      <sz val="7"/>
      <color rgb="FF000000"/>
      <name val="Times New Roman"/>
      <family val="1"/>
      <charset val="204"/>
    </font>
    <font>
      <b/>
      <sz val="10"/>
      <color theme="1"/>
      <name val="Times New Roman"/>
      <family val="1"/>
      <charset val="204"/>
    </font>
    <font>
      <sz val="10"/>
      <color theme="1"/>
      <name val="Times New Roman"/>
      <family val="1"/>
      <charset val="204"/>
    </font>
    <font>
      <sz val="10"/>
      <color rgb="FF000000"/>
      <name val="Times New Roman"/>
      <family val="1"/>
      <charset val="204"/>
    </font>
    <font>
      <sz val="8"/>
      <color rgb="FF000000"/>
      <name val="Times New Roman"/>
      <family val="1"/>
      <charset val="204"/>
    </font>
    <font>
      <sz val="7"/>
      <color theme="1"/>
      <name val="Times New Roman"/>
      <family val="1"/>
      <charset val="204"/>
    </font>
    <font>
      <sz val="11"/>
      <color theme="1"/>
      <name val="Times New Roman"/>
      <family val="1"/>
      <charset val="204"/>
    </font>
    <font>
      <sz val="11"/>
      <color rgb="FF000000"/>
      <name val="Times New Roman"/>
      <family val="1"/>
      <charset val="204"/>
    </font>
    <font>
      <sz val="8"/>
      <name val="Times New Roman"/>
      <family val="1"/>
      <charset val="204"/>
    </font>
    <font>
      <sz val="8"/>
      <color theme="1"/>
      <name val="Times New Roman"/>
      <family val="1"/>
      <charset val="204"/>
    </font>
    <font>
      <sz val="9"/>
      <name val="Verdana"/>
      <family val="2"/>
      <charset val="204"/>
    </font>
    <font>
      <b/>
      <sz val="16"/>
      <color theme="1"/>
      <name val="Calibri"/>
      <family val="2"/>
      <charset val="204"/>
      <scheme val="minor"/>
    </font>
    <font>
      <i/>
      <sz val="12"/>
      <color theme="1"/>
      <name val="Calibri"/>
      <family val="2"/>
      <charset val="204"/>
      <scheme val="minor"/>
    </font>
    <font>
      <i/>
      <sz val="10"/>
      <color theme="1"/>
      <name val="Calibri"/>
      <family val="2"/>
      <charset val="204"/>
      <scheme val="minor"/>
    </font>
    <font>
      <b/>
      <sz val="10"/>
      <color theme="1"/>
      <name val="Calibri"/>
      <family val="2"/>
      <charset val="204"/>
      <scheme val="minor"/>
    </font>
    <font>
      <sz val="10"/>
      <color theme="1"/>
      <name val="Calibri"/>
      <family val="2"/>
      <charset val="204"/>
      <scheme val="minor"/>
    </font>
    <font>
      <b/>
      <sz val="9"/>
      <color theme="1"/>
      <name val="Calibri"/>
      <family val="2"/>
      <charset val="204"/>
      <scheme val="minor"/>
    </font>
    <font>
      <sz val="8"/>
      <color theme="1"/>
      <name val="Calibri"/>
      <family val="2"/>
      <charset val="204"/>
      <scheme val="minor"/>
    </font>
    <font>
      <b/>
      <sz val="12"/>
      <color rgb="FFFF0000"/>
      <name val="Calibri"/>
      <family val="2"/>
      <charset val="204"/>
      <scheme val="minor"/>
    </font>
    <font>
      <i/>
      <sz val="12"/>
      <color rgb="FFFF0000"/>
      <name val="Calibri"/>
      <family val="2"/>
      <charset val="204"/>
      <scheme val="minor"/>
    </font>
    <font>
      <sz val="14"/>
      <color theme="1"/>
      <name val="Calibri"/>
      <family val="2"/>
      <charset val="204"/>
      <scheme val="minor"/>
    </font>
    <font>
      <b/>
      <sz val="8"/>
      <color theme="1"/>
      <name val="Verdana"/>
      <family val="2"/>
      <charset val="204"/>
    </font>
    <font>
      <sz val="8"/>
      <color theme="1"/>
      <name val="Verdana"/>
      <family val="2"/>
      <charset val="204"/>
    </font>
    <font>
      <sz val="10"/>
      <name val="Times New Roman"/>
      <family val="1"/>
      <charset val="204"/>
    </font>
    <font>
      <b/>
      <sz val="16"/>
      <name val="Times New Roman"/>
      <family val="1"/>
      <charset val="204"/>
    </font>
    <font>
      <vertAlign val="superscript"/>
      <sz val="10"/>
      <name val="Times New Roman"/>
      <family val="1"/>
      <charset val="204"/>
    </font>
    <font>
      <b/>
      <sz val="10"/>
      <name val="Times New Roman"/>
      <family val="1"/>
      <charset val="204"/>
    </font>
    <font>
      <b/>
      <sz val="14"/>
      <color theme="1"/>
      <name val="Times New Roman"/>
      <family val="1"/>
      <charset val="204"/>
    </font>
    <font>
      <b/>
      <vertAlign val="superscript"/>
      <sz val="14"/>
      <color indexed="8"/>
      <name val="Times New Roman"/>
      <family val="1"/>
      <charset val="204"/>
    </font>
    <font>
      <b/>
      <sz val="12"/>
      <name val="Times New Roman"/>
      <family val="1"/>
      <charset val="204"/>
    </font>
    <font>
      <b/>
      <sz val="14"/>
      <name val="Times New Roman"/>
      <family val="1"/>
      <charset val="204"/>
    </font>
    <font>
      <b/>
      <i/>
      <sz val="14"/>
      <name val="Times New Roman"/>
      <family val="1"/>
      <charset val="204"/>
    </font>
    <font>
      <sz val="12"/>
      <name val="Times New Roman"/>
      <family val="1"/>
      <charset val="204"/>
    </font>
    <font>
      <vertAlign val="superscript"/>
      <sz val="12"/>
      <name val="Times New Roman"/>
      <family val="1"/>
      <charset val="204"/>
    </font>
    <font>
      <sz val="12"/>
      <color theme="1"/>
      <name val="Times New Roman"/>
      <family val="1"/>
      <charset val="204"/>
    </font>
    <font>
      <b/>
      <sz val="12"/>
      <color theme="1"/>
      <name val="Times New Roman"/>
      <family val="1"/>
      <charset val="204"/>
    </font>
    <font>
      <sz val="8"/>
      <color theme="0" tint="-0.34998626667073579"/>
      <name val="Times New Roman"/>
      <family val="1"/>
      <charset val="204"/>
    </font>
    <font>
      <i/>
      <sz val="9"/>
      <name val="Times New Roman"/>
      <family val="1"/>
      <charset val="204"/>
    </font>
    <font>
      <sz val="10"/>
      <color rgb="FF333333"/>
      <name val="Verdana"/>
      <family val="2"/>
      <charset val="204"/>
    </font>
    <font>
      <b/>
      <vertAlign val="superscript"/>
      <sz val="14"/>
      <name val="Times New Roman"/>
      <family val="1"/>
      <charset val="204"/>
    </font>
    <font>
      <b/>
      <vertAlign val="superscript"/>
      <sz val="12"/>
      <name val="Times New Roman"/>
      <family val="1"/>
      <charset val="204"/>
    </font>
    <font>
      <i/>
      <sz val="12"/>
      <name val="Times New Roman"/>
      <family val="1"/>
      <charset val="204"/>
    </font>
    <font>
      <sz val="9"/>
      <name val="Times New Roman"/>
      <family val="1"/>
      <charset val="204"/>
    </font>
    <font>
      <vertAlign val="superscript"/>
      <sz val="14"/>
      <name val="Times New Roman"/>
      <family val="1"/>
      <charset val="204"/>
    </font>
    <font>
      <i/>
      <u/>
      <sz val="12"/>
      <name val="Times New Roman"/>
      <family val="1"/>
      <charset val="204"/>
    </font>
    <font>
      <sz val="12"/>
      <color indexed="8"/>
      <name val="Times New Roman"/>
      <family val="1"/>
      <charset val="204"/>
    </font>
    <font>
      <vertAlign val="superscript"/>
      <sz val="12"/>
      <color indexed="8"/>
      <name val="Times New Roman"/>
      <family val="1"/>
      <charset val="204"/>
    </font>
    <font>
      <sz val="10"/>
      <color indexed="8"/>
      <name val="Times New Roman"/>
      <family val="1"/>
      <charset val="204"/>
    </font>
    <font>
      <strike/>
      <sz val="12"/>
      <color indexed="8"/>
      <name val="Times New Roman"/>
      <family val="1"/>
      <charset val="204"/>
    </font>
    <font>
      <strike/>
      <vertAlign val="superscript"/>
      <sz val="12"/>
      <color indexed="8"/>
      <name val="Times New Roman"/>
      <family val="1"/>
      <charset val="204"/>
    </font>
    <font>
      <b/>
      <vertAlign val="superscript"/>
      <sz val="12"/>
      <color indexed="8"/>
      <name val="Times New Roman"/>
      <family val="1"/>
      <charset val="204"/>
    </font>
    <font>
      <sz val="12"/>
      <color theme="0" tint="-0.34998626667073579"/>
      <name val="Times New Roman"/>
      <family val="1"/>
      <charset val="204"/>
    </font>
    <font>
      <b/>
      <i/>
      <sz val="12"/>
      <name val="Times New Roman"/>
      <family val="1"/>
      <charset val="204"/>
    </font>
    <font>
      <i/>
      <sz val="12"/>
      <color theme="1"/>
      <name val="Times New Roman"/>
      <family val="1"/>
      <charset val="204"/>
    </font>
    <font>
      <b/>
      <sz val="12"/>
      <color indexed="8"/>
      <name val="Times New Roman"/>
      <family val="1"/>
      <charset val="204"/>
    </font>
    <font>
      <i/>
      <sz val="12"/>
      <color indexed="8"/>
      <name val="Times New Roman"/>
      <family val="1"/>
      <charset val="204"/>
    </font>
    <font>
      <i/>
      <vertAlign val="superscript"/>
      <sz val="12"/>
      <name val="Times New Roman"/>
      <family val="1"/>
      <charset val="204"/>
    </font>
    <font>
      <sz val="14"/>
      <color indexed="8"/>
      <name val="Times New Roman"/>
      <family val="1"/>
      <charset val="204"/>
    </font>
    <font>
      <sz val="12"/>
      <name val="Times New Roman"/>
      <family val="1"/>
      <charset val="204"/>
    </font>
    <font>
      <b/>
      <sz val="12"/>
      <color rgb="FFFF0000"/>
      <name val="Segoe UI"/>
      <family val="2"/>
      <charset val="204"/>
    </font>
    <font>
      <b/>
      <sz val="12"/>
      <color theme="9"/>
      <name val="Segoe UI"/>
      <family val="2"/>
      <charset val="204"/>
    </font>
    <font>
      <b/>
      <sz val="8"/>
      <name val="Verdana"/>
      <family val="2"/>
      <charset val="204"/>
    </font>
    <font>
      <b/>
      <u/>
      <sz val="8"/>
      <color theme="1"/>
      <name val="Verdana"/>
      <family val="2"/>
      <charset val="204"/>
    </font>
    <font>
      <sz val="8"/>
      <name val="Verdana"/>
      <family val="2"/>
      <charset val="204"/>
    </font>
    <font>
      <sz val="8"/>
      <color theme="9" tint="-0.249977111117893"/>
      <name val="Verdana"/>
      <family val="2"/>
      <charset val="204"/>
    </font>
    <font>
      <sz val="8"/>
      <color rgb="FFFF0000"/>
      <name val="Verdana"/>
      <family val="2"/>
      <charset val="204"/>
    </font>
    <font>
      <b/>
      <sz val="8"/>
      <color rgb="FFFF0000"/>
      <name val="Verdana"/>
      <family val="2"/>
      <charset val="204"/>
    </font>
    <font>
      <sz val="9"/>
      <color theme="1"/>
      <name val="Verdana"/>
      <family val="2"/>
      <charset val="204"/>
    </font>
    <font>
      <b/>
      <sz val="9"/>
      <color theme="1"/>
      <name val="Verdana"/>
      <family val="2"/>
      <charset val="204"/>
    </font>
    <font>
      <b/>
      <sz val="9"/>
      <name val="Verdana"/>
      <family val="2"/>
      <charset val="204"/>
    </font>
    <font>
      <b/>
      <u/>
      <sz val="9"/>
      <color theme="1"/>
      <name val="Verdana"/>
      <family val="2"/>
      <charset val="204"/>
    </font>
    <font>
      <sz val="9"/>
      <color rgb="FFFF0000"/>
      <name val="Verdana"/>
      <family val="2"/>
      <charset val="204"/>
    </font>
    <font>
      <strike/>
      <sz val="9"/>
      <color rgb="FFFF0000"/>
      <name val="Verdana"/>
      <family val="2"/>
      <charset val="204"/>
    </font>
    <font>
      <sz val="12"/>
      <color rgb="FF000000"/>
      <name val="Calibri"/>
      <family val="2"/>
      <charset val="204"/>
      <scheme val="minor"/>
    </font>
    <font>
      <b/>
      <sz val="11"/>
      <color theme="0"/>
      <name val="Calibri"/>
      <family val="2"/>
      <charset val="204"/>
      <scheme val="minor"/>
    </font>
    <font>
      <sz val="11"/>
      <color rgb="FF006100"/>
      <name val="Calibri"/>
      <family val="2"/>
      <charset val="204"/>
      <scheme val="minor"/>
    </font>
    <font>
      <b/>
      <sz val="11"/>
      <color rgb="FF006100"/>
      <name val="Calibri"/>
      <family val="2"/>
      <charset val="204"/>
      <scheme val="minor"/>
    </font>
    <font>
      <b/>
      <sz val="11"/>
      <color rgb="FF9C5700"/>
      <name val="Calibri"/>
      <family val="2"/>
      <charset val="204"/>
      <scheme val="minor"/>
    </font>
    <font>
      <b/>
      <sz val="11"/>
      <color rgb="FF9C0006"/>
      <name val="Calibri"/>
      <family val="2"/>
      <charset val="204"/>
      <scheme val="minor"/>
    </font>
    <font>
      <b/>
      <i/>
      <u/>
      <sz val="12"/>
      <color theme="1"/>
      <name val="Calibri"/>
      <family val="2"/>
      <charset val="204"/>
      <scheme val="minor"/>
    </font>
    <font>
      <b/>
      <i/>
      <sz val="10"/>
      <color rgb="FFFF0000"/>
      <name val="Calibri"/>
      <family val="2"/>
      <charset val="204"/>
      <scheme val="minor"/>
    </font>
    <font>
      <i/>
      <sz val="10"/>
      <color rgb="FFFF0000"/>
      <name val="Calibri"/>
      <family val="2"/>
      <charset val="204"/>
      <scheme val="minor"/>
    </font>
    <font>
      <b/>
      <sz val="9"/>
      <name val="Roboto"/>
      <charset val="204"/>
    </font>
    <font>
      <sz val="9"/>
      <name val="Roboto"/>
      <charset val="204"/>
    </font>
    <font>
      <b/>
      <sz val="9"/>
      <color rgb="FF222222"/>
      <name val="Roboto"/>
      <charset val="204"/>
    </font>
    <font>
      <sz val="9"/>
      <color rgb="FF555555"/>
      <name val="Roboto"/>
      <charset val="204"/>
    </font>
    <font>
      <b/>
      <sz val="20"/>
      <color rgb="FFFF0000"/>
      <name val="Calibri"/>
      <family val="2"/>
      <charset val="204"/>
      <scheme val="minor"/>
    </font>
    <font>
      <b/>
      <u/>
      <sz val="11"/>
      <color theme="1"/>
      <name val="Calibri"/>
      <family val="2"/>
      <charset val="204"/>
      <scheme val="minor"/>
    </font>
    <font>
      <b/>
      <i/>
      <sz val="14"/>
      <color theme="1"/>
      <name val="Calibri"/>
      <family val="2"/>
      <charset val="204"/>
      <scheme val="minor"/>
    </font>
    <font>
      <b/>
      <sz val="16"/>
      <color rgb="FFFF0000"/>
      <name val="Calibri"/>
      <family val="2"/>
      <charset val="204"/>
      <scheme val="minor"/>
    </font>
    <font>
      <b/>
      <i/>
      <sz val="10"/>
      <name val="Calibri"/>
      <family val="2"/>
      <charset val="204"/>
      <scheme val="minor"/>
    </font>
    <font>
      <sz val="9"/>
      <color rgb="FF555555"/>
      <name val="Roboto"/>
      <charset val="204"/>
    </font>
  </fonts>
  <fills count="41">
    <fill>
      <patternFill patternType="none"/>
    </fill>
    <fill>
      <patternFill patternType="gray125"/>
    </fill>
    <fill>
      <patternFill patternType="solid">
        <fgColor rgb="FFFFEB9C"/>
      </patternFill>
    </fill>
    <fill>
      <patternFill patternType="solid">
        <fgColor rgb="FFDFE3E8"/>
        <bgColor indexed="64"/>
      </patternFill>
    </fill>
    <fill>
      <patternFill patternType="solid">
        <fgColor rgb="FFFFFFFF"/>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CCCCFF"/>
        <bgColor indexed="64"/>
      </patternFill>
    </fill>
    <fill>
      <patternFill patternType="solid">
        <fgColor theme="0"/>
        <bgColor indexed="64"/>
      </patternFill>
    </fill>
    <fill>
      <patternFill patternType="solid">
        <fgColor rgb="FFDAC2EC"/>
        <bgColor indexed="64"/>
      </patternFill>
    </fill>
    <fill>
      <patternFill patternType="solid">
        <fgColor rgb="FFFFFF00"/>
        <bgColor indexed="64"/>
      </patternFill>
    </fill>
    <fill>
      <patternFill patternType="solid">
        <fgColor theme="2"/>
        <bgColor indexed="64"/>
      </patternFill>
    </fill>
    <fill>
      <patternFill patternType="solid">
        <fgColor rgb="FFFFC7CE"/>
      </patternFill>
    </fill>
    <fill>
      <patternFill patternType="solid">
        <fgColor rgb="FFFF0000"/>
        <bgColor indexed="64"/>
      </patternFill>
    </fill>
    <fill>
      <patternFill patternType="solid">
        <fgColor theme="5" tint="0.79998168889431442"/>
        <bgColor indexed="64"/>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F2CC"/>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CCFFCC"/>
        <bgColor indexed="64"/>
      </patternFill>
    </fill>
    <fill>
      <patternFill patternType="solid">
        <fgColor rgb="FFFFFFCC"/>
        <bgColor indexed="64"/>
      </patternFill>
    </fill>
    <fill>
      <patternFill patternType="solid">
        <fgColor rgb="FF81FF81"/>
        <bgColor indexed="64"/>
      </patternFill>
    </fill>
    <fill>
      <patternFill patternType="solid">
        <fgColor theme="8" tint="0.79998168889431442"/>
        <bgColor indexed="64"/>
      </patternFill>
    </fill>
    <fill>
      <patternFill patternType="solid">
        <fgColor rgb="FF99FF66"/>
        <bgColor indexed="64"/>
      </patternFill>
    </fill>
    <fill>
      <patternFill patternType="solid">
        <fgColor rgb="FF92D050"/>
        <bgColor indexed="64"/>
      </patternFill>
    </fill>
    <fill>
      <patternFill patternType="solid">
        <fgColor rgb="FFE2EFD8"/>
        <bgColor indexed="64"/>
      </patternFill>
    </fill>
    <fill>
      <patternFill patternType="solid">
        <fgColor theme="0" tint="-4.9989318521683403E-2"/>
        <bgColor indexed="64"/>
      </patternFill>
    </fill>
    <fill>
      <patternFill patternType="solid">
        <fgColor rgb="FFC6EFCE"/>
      </patternFill>
    </fill>
    <fill>
      <patternFill patternType="solid">
        <fgColor rgb="FFF2F2F2"/>
        <bgColor indexed="64"/>
      </patternFill>
    </fill>
    <fill>
      <patternFill patternType="solid">
        <fgColor rgb="FFEFF5F7"/>
        <bgColor indexed="64"/>
      </patternFill>
    </fill>
    <fill>
      <patternFill patternType="solid">
        <fgColor rgb="FFFFC000"/>
        <bgColor indexed="64"/>
      </patternFill>
    </fill>
    <fill>
      <patternFill patternType="solid">
        <fgColor theme="6" tint="0.59999389629810485"/>
        <bgColor indexed="64"/>
      </patternFill>
    </fill>
    <fill>
      <patternFill patternType="solid">
        <fgColor theme="6" tint="0.39997558519241921"/>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top style="thin">
        <color indexed="64"/>
      </top>
      <bottom style="thin">
        <color indexed="64"/>
      </bottom>
      <diagonal/>
    </border>
    <border>
      <left/>
      <right style="medium">
        <color rgb="FFFF0000"/>
      </right>
      <top style="thin">
        <color indexed="64"/>
      </top>
      <bottom style="thin">
        <color indexed="64"/>
      </bottom>
      <diagonal/>
    </border>
    <border>
      <left style="thin">
        <color indexed="64"/>
      </left>
      <right style="medium">
        <color rgb="FFFF0000"/>
      </right>
      <top style="medium">
        <color indexed="64"/>
      </top>
      <bottom style="medium">
        <color indexed="64"/>
      </bottom>
      <diagonal/>
    </border>
    <border>
      <left style="medium">
        <color rgb="FFFF0000"/>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style="thin">
        <color indexed="64"/>
      </top>
      <bottom/>
      <diagonal/>
    </border>
    <border>
      <left style="thin">
        <color rgb="FFB1BBCC"/>
      </left>
      <right style="thin">
        <color rgb="FFB1BBCC"/>
      </right>
      <top style="thin">
        <color rgb="FFB1BBCC"/>
      </top>
      <bottom style="thin">
        <color rgb="FFB1BBCC"/>
      </bottom>
      <diagonal/>
    </border>
    <border>
      <left/>
      <right style="thin">
        <color indexed="64"/>
      </right>
      <top style="medium">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style="thin">
        <color theme="0" tint="-0.14999847407452621"/>
      </left>
      <right/>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right style="thin">
        <color theme="0" tint="-0.14999847407452621"/>
      </right>
      <top/>
      <bottom style="thin">
        <color theme="0" tint="-0.14999847407452621"/>
      </bottom>
      <diagonal/>
    </border>
    <border>
      <left style="thin">
        <color indexed="64"/>
      </left>
      <right/>
      <top style="thin">
        <color indexed="64"/>
      </top>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0" fontId="10" fillId="2" borderId="0" applyNumberFormat="0" applyBorder="0" applyAlignment="0" applyProtection="0"/>
    <xf numFmtId="9" fontId="1" fillId="0" borderId="0" applyFont="0" applyFill="0" applyBorder="0" applyAlignment="0" applyProtection="0"/>
    <xf numFmtId="0" fontId="24" fillId="12" borderId="0" applyNumberFormat="0" applyBorder="0" applyAlignment="0" applyProtection="0"/>
    <xf numFmtId="0" fontId="34" fillId="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44" fontId="1" fillId="0" borderId="0" applyFont="0" applyFill="0" applyBorder="0" applyAlignment="0" applyProtection="0"/>
    <xf numFmtId="0" fontId="111" fillId="35" borderId="0" applyNumberFormat="0" applyBorder="0" applyAlignment="0" applyProtection="0"/>
  </cellStyleXfs>
  <cellXfs count="1299">
    <xf numFmtId="0" fontId="0" fillId="0" borderId="0" xfId="0"/>
    <xf numFmtId="0" fontId="0" fillId="0" borderId="0" xfId="0" applyAlignment="1">
      <alignment wrapText="1"/>
    </xf>
    <xf numFmtId="0" fontId="2" fillId="0" borderId="0" xfId="0" applyFont="1" applyAlignment="1">
      <alignment wrapText="1"/>
    </xf>
    <xf numFmtId="0" fontId="9" fillId="6"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5" fillId="7" borderId="1" xfId="0" applyFont="1" applyFill="1" applyBorder="1" applyAlignment="1">
      <alignment horizontal="left" vertical="center" wrapText="1" readingOrder="1"/>
    </xf>
    <xf numFmtId="0" fontId="12" fillId="5" borderId="1" xfId="0" applyFont="1" applyFill="1" applyBorder="1" applyAlignment="1">
      <alignment horizontal="left" vertical="center" wrapText="1"/>
    </xf>
    <xf numFmtId="0" fontId="1" fillId="8" borderId="1" xfId="3" applyFont="1" applyFill="1" applyBorder="1" applyAlignment="1">
      <alignment horizontal="left" vertical="center" wrapText="1"/>
    </xf>
    <xf numFmtId="0" fontId="9" fillId="6" borderId="1" xfId="3" applyFont="1" applyFill="1" applyBorder="1" applyAlignment="1">
      <alignment horizontal="left" vertical="center" wrapText="1"/>
    </xf>
    <xf numFmtId="0" fontId="8" fillId="0" borderId="1" xfId="0" applyFont="1" applyBorder="1" applyAlignment="1">
      <alignment horizontal="left" vertical="center" wrapText="1"/>
    </xf>
    <xf numFmtId="0" fontId="9"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center" wrapText="1" readingOrder="1"/>
    </xf>
    <xf numFmtId="0" fontId="8" fillId="8" borderId="1" xfId="0" applyFont="1" applyFill="1" applyBorder="1" applyAlignment="1">
      <alignment horizontal="left" vertical="center" wrapText="1" readingOrder="1"/>
    </xf>
    <xf numFmtId="0" fontId="4" fillId="5" borderId="1" xfId="0" applyFont="1" applyFill="1" applyBorder="1" applyAlignment="1">
      <alignment horizontal="left" vertical="center" wrapText="1" readingOrder="1"/>
    </xf>
    <xf numFmtId="0" fontId="4" fillId="8" borderId="1" xfId="0" applyFont="1" applyFill="1" applyBorder="1" applyAlignment="1">
      <alignment horizontal="left" vertical="center" wrapText="1" readingOrder="1"/>
    </xf>
    <xf numFmtId="0" fontId="4" fillId="6" borderId="1" xfId="0" applyFont="1" applyFill="1" applyBorder="1" applyAlignment="1">
      <alignment horizontal="left" vertical="center" wrapText="1" readingOrder="1"/>
    </xf>
    <xf numFmtId="0" fontId="8" fillId="8" borderId="1" xfId="0" applyFont="1" applyFill="1" applyBorder="1" applyAlignment="1">
      <alignment horizontal="left" vertical="center"/>
    </xf>
    <xf numFmtId="0" fontId="7" fillId="9" borderId="1" xfId="0" applyFont="1" applyFill="1" applyBorder="1" applyAlignment="1">
      <alignment vertical="center" wrapText="1" readingOrder="1"/>
    </xf>
    <xf numFmtId="0" fontId="7" fillId="9" borderId="1" xfId="0" applyFont="1" applyFill="1" applyBorder="1" applyAlignment="1">
      <alignment horizontal="left" vertical="center" wrapText="1" readingOrder="1"/>
    </xf>
    <xf numFmtId="0" fontId="0" fillId="8" borderId="1" xfId="0" applyFill="1" applyBorder="1" applyAlignment="1">
      <alignment horizontal="left" vertical="center" wrapText="1"/>
    </xf>
    <xf numFmtId="0" fontId="6" fillId="8" borderId="1" xfId="0" applyFont="1" applyFill="1" applyBorder="1" applyAlignment="1">
      <alignment horizontal="left" vertical="center" wrapText="1"/>
    </xf>
    <xf numFmtId="0" fontId="0" fillId="0" borderId="1" xfId="0" applyBorder="1" applyAlignment="1">
      <alignment horizontal="left" vertical="center" wrapText="1"/>
    </xf>
    <xf numFmtId="0" fontId="8" fillId="8" borderId="1" xfId="0" applyFont="1" applyFill="1" applyBorder="1" applyAlignment="1">
      <alignment horizontal="left" vertical="center" wrapText="1"/>
    </xf>
    <xf numFmtId="0" fontId="0" fillId="0" borderId="1" xfId="0" applyBorder="1" applyAlignment="1">
      <alignment horizontal="left" vertical="center"/>
    </xf>
    <xf numFmtId="0" fontId="2" fillId="0" borderId="0" xfId="0" applyFont="1" applyAlignment="1">
      <alignment horizontal="left" wrapText="1"/>
    </xf>
    <xf numFmtId="0" fontId="2" fillId="0" borderId="0" xfId="0" applyFont="1" applyAlignment="1">
      <alignment horizontal="left" vertical="center" wrapText="1"/>
    </xf>
    <xf numFmtId="44" fontId="2" fillId="0" borderId="0" xfId="2" applyFont="1" applyAlignment="1">
      <alignment horizontal="left" wrapText="1"/>
    </xf>
    <xf numFmtId="44" fontId="2" fillId="0" borderId="0" xfId="0" applyNumberFormat="1" applyFont="1" applyAlignment="1">
      <alignment wrapText="1"/>
    </xf>
    <xf numFmtId="0" fontId="13" fillId="0" borderId="0" xfId="0" applyFont="1" applyAlignment="1">
      <alignment wrapText="1"/>
    </xf>
    <xf numFmtId="0" fontId="0" fillId="0" borderId="1" xfId="0" applyBorder="1" applyAlignment="1">
      <alignment wrapText="1"/>
    </xf>
    <xf numFmtId="0" fontId="0" fillId="0" borderId="0" xfId="0" applyAlignment="1">
      <alignment horizontal="left" wrapText="1" indent="1"/>
    </xf>
    <xf numFmtId="9" fontId="0" fillId="0" borderId="1" xfId="0" applyNumberFormat="1" applyBorder="1" applyAlignment="1">
      <alignment wrapText="1"/>
    </xf>
    <xf numFmtId="165" fontId="0" fillId="0" borderId="0" xfId="1" applyNumberFormat="1" applyFont="1" applyAlignment="1">
      <alignment wrapText="1"/>
    </xf>
    <xf numFmtId="0" fontId="8" fillId="9" borderId="1" xfId="0" applyFont="1" applyFill="1" applyBorder="1" applyAlignment="1">
      <alignment horizontal="center" vertical="center" wrapText="1" readingOrder="1"/>
    </xf>
    <xf numFmtId="0" fontId="7" fillId="9" borderId="1" xfId="0" applyFont="1" applyFill="1" applyBorder="1" applyAlignment="1">
      <alignment horizontal="center" vertical="center" wrapText="1" readingOrder="1"/>
    </xf>
    <xf numFmtId="0" fontId="0" fillId="0" borderId="0" xfId="0" applyAlignment="1">
      <alignment horizontal="left" wrapText="1" indent="2"/>
    </xf>
    <xf numFmtId="0" fontId="19" fillId="8"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17" fillId="3" borderId="13" xfId="0" applyFont="1" applyFill="1" applyBorder="1" applyAlignment="1">
      <alignment horizontal="center" vertical="center" wrapText="1"/>
    </xf>
    <xf numFmtId="0" fontId="13" fillId="0" borderId="13" xfId="0" applyFont="1" applyBorder="1" applyAlignment="1">
      <alignment horizontal="center" vertical="top" wrapText="1"/>
    </xf>
    <xf numFmtId="0" fontId="0" fillId="0" borderId="6" xfId="0" applyBorder="1" applyAlignment="1">
      <alignment horizontal="left" wrapText="1"/>
    </xf>
    <xf numFmtId="0" fontId="2" fillId="0" borderId="16" xfId="0" applyFont="1" applyBorder="1" applyAlignment="1">
      <alignment horizontal="left" wrapText="1"/>
    </xf>
    <xf numFmtId="0" fontId="13" fillId="0" borderId="14" xfId="0" applyFont="1" applyBorder="1" applyAlignment="1">
      <alignment horizontal="center" vertical="top" wrapText="1"/>
    </xf>
    <xf numFmtId="0" fontId="7" fillId="9" borderId="6" xfId="0" applyFont="1" applyFill="1" applyBorder="1" applyAlignment="1">
      <alignment horizontal="left" vertical="center" wrapText="1" indent="1" readingOrder="1"/>
    </xf>
    <xf numFmtId="0" fontId="13" fillId="0" borderId="19" xfId="0" applyFont="1" applyBorder="1" applyAlignment="1">
      <alignment horizontal="center" vertical="top" wrapText="1"/>
    </xf>
    <xf numFmtId="0" fontId="0" fillId="0" borderId="0" xfId="0" applyAlignment="1">
      <alignment horizontal="left" vertical="top" wrapText="1"/>
    </xf>
    <xf numFmtId="0" fontId="2" fillId="11" borderId="3"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readingOrder="1"/>
    </xf>
    <xf numFmtId="0" fontId="15" fillId="11" borderId="13" xfId="0" applyFont="1" applyFill="1" applyBorder="1" applyAlignment="1">
      <alignment horizontal="center" vertical="center" wrapText="1"/>
    </xf>
    <xf numFmtId="0" fontId="15" fillId="11" borderId="14" xfId="0" applyFont="1" applyFill="1" applyBorder="1" applyAlignment="1">
      <alignment horizontal="center" vertical="center" wrapText="1"/>
    </xf>
    <xf numFmtId="0" fontId="5" fillId="11" borderId="7" xfId="0" applyFont="1" applyFill="1" applyBorder="1" applyAlignment="1">
      <alignment horizontal="center" vertical="center" wrapText="1" readingOrder="1"/>
    </xf>
    <xf numFmtId="0" fontId="5" fillId="11" borderId="16" xfId="0" applyFont="1" applyFill="1" applyBorder="1" applyAlignment="1">
      <alignment horizontal="left" vertical="center" wrapText="1" readingOrder="1"/>
    </xf>
    <xf numFmtId="0" fontId="5" fillId="11" borderId="6" xfId="0" applyFont="1" applyFill="1" applyBorder="1" applyAlignment="1">
      <alignment horizontal="left" vertical="center" wrapText="1" readingOrder="1"/>
    </xf>
    <xf numFmtId="1" fontId="16" fillId="8" borderId="13" xfId="2" applyNumberFormat="1" applyFont="1" applyFill="1" applyBorder="1" applyAlignment="1">
      <alignment horizontal="center" vertical="center" wrapText="1"/>
    </xf>
    <xf numFmtId="1" fontId="16" fillId="11" borderId="12" xfId="2" applyNumberFormat="1" applyFont="1" applyFill="1" applyBorder="1" applyAlignment="1">
      <alignment horizontal="center" vertical="center" wrapText="1"/>
    </xf>
    <xf numFmtId="1" fontId="16" fillId="11" borderId="13" xfId="2" applyNumberFormat="1" applyFont="1" applyFill="1" applyBorder="1" applyAlignment="1">
      <alignment horizontal="center" vertical="center" wrapText="1"/>
    </xf>
    <xf numFmtId="1" fontId="16" fillId="11" borderId="14" xfId="2" applyNumberFormat="1" applyFont="1" applyFill="1" applyBorder="1" applyAlignment="1">
      <alignment horizontal="center" vertical="center" wrapText="1"/>
    </xf>
    <xf numFmtId="0" fontId="17" fillId="3" borderId="25" xfId="0" applyFont="1" applyFill="1" applyBorder="1" applyAlignment="1">
      <alignment vertical="center" wrapText="1"/>
    </xf>
    <xf numFmtId="0" fontId="16" fillId="4" borderId="25" xfId="0" applyFont="1" applyFill="1" applyBorder="1" applyAlignment="1">
      <alignment horizontal="left" vertical="center" wrapText="1" indent="1"/>
    </xf>
    <xf numFmtId="0" fontId="3" fillId="4" borderId="26" xfId="0" applyFont="1" applyFill="1" applyBorder="1" applyAlignment="1">
      <alignment horizontal="left" vertical="center" wrapText="1" indent="1"/>
    </xf>
    <xf numFmtId="0" fontId="3" fillId="4" borderId="27" xfId="0" applyFont="1" applyFill="1" applyBorder="1" applyAlignment="1">
      <alignment horizontal="left" vertical="center" wrapText="1" indent="1"/>
    </xf>
    <xf numFmtId="44" fontId="16" fillId="8" borderId="14" xfId="2" applyFont="1" applyFill="1" applyBorder="1" applyAlignment="1">
      <alignment horizontal="left" vertical="center" wrapText="1" indent="1"/>
    </xf>
    <xf numFmtId="0" fontId="22" fillId="8" borderId="15" xfId="0" applyFont="1" applyFill="1" applyBorder="1" applyAlignment="1">
      <alignment horizontal="left" vertical="center" wrapText="1" indent="1"/>
    </xf>
    <xf numFmtId="1" fontId="22" fillId="8" borderId="10" xfId="0" applyNumberFormat="1" applyFont="1" applyFill="1" applyBorder="1" applyAlignment="1">
      <alignment horizontal="center" vertical="center" wrapText="1"/>
    </xf>
    <xf numFmtId="44" fontId="22" fillId="8" borderId="18" xfId="2" applyFont="1" applyFill="1" applyBorder="1" applyAlignment="1">
      <alignment horizontal="left" vertical="center" wrapText="1" indent="1"/>
    </xf>
    <xf numFmtId="44" fontId="22" fillId="8" borderId="7" xfId="2" applyFont="1" applyFill="1" applyBorder="1" applyAlignment="1">
      <alignment vertical="center" wrapText="1"/>
    </xf>
    <xf numFmtId="44" fontId="22" fillId="8" borderId="7" xfId="2" applyFont="1" applyFill="1" applyBorder="1" applyAlignment="1">
      <alignment horizontal="left" vertical="center" wrapText="1" indent="1"/>
    </xf>
    <xf numFmtId="44" fontId="1" fillId="8" borderId="7" xfId="2" applyFont="1" applyFill="1" applyBorder="1" applyAlignment="1">
      <alignment horizontal="left" wrapText="1" indent="1"/>
    </xf>
    <xf numFmtId="1" fontId="1" fillId="8" borderId="1" xfId="1" applyNumberFormat="1" applyFont="1" applyFill="1" applyBorder="1" applyAlignment="1">
      <alignment horizontal="center" wrapText="1"/>
    </xf>
    <xf numFmtId="44" fontId="22" fillId="8" borderId="7" xfId="0" applyNumberFormat="1" applyFont="1" applyFill="1" applyBorder="1" applyAlignment="1">
      <alignment horizontal="left" vertical="center" wrapText="1" indent="1"/>
    </xf>
    <xf numFmtId="1" fontId="22" fillId="8" borderId="11" xfId="1" applyNumberFormat="1" applyFont="1" applyFill="1" applyBorder="1" applyAlignment="1">
      <alignment horizontal="center" vertical="center" wrapText="1"/>
    </xf>
    <xf numFmtId="9" fontId="22" fillId="8" borderId="4" xfId="4" applyFont="1" applyFill="1" applyBorder="1" applyAlignment="1">
      <alignment horizontal="center" vertical="center" wrapText="1"/>
    </xf>
    <xf numFmtId="9" fontId="22" fillId="8" borderId="10" xfId="4" applyFont="1" applyFill="1" applyBorder="1" applyAlignment="1">
      <alignment horizontal="center" vertical="center" wrapText="1"/>
    </xf>
    <xf numFmtId="9" fontId="22" fillId="8" borderId="5" xfId="4" applyFont="1" applyFill="1" applyBorder="1" applyAlignment="1">
      <alignment horizontal="center" vertical="center" wrapText="1"/>
    </xf>
    <xf numFmtId="9" fontId="22" fillId="8" borderId="6" xfId="4" applyFont="1" applyFill="1" applyBorder="1" applyAlignment="1">
      <alignment horizontal="center" vertical="center" wrapText="1"/>
    </xf>
    <xf numFmtId="9" fontId="22" fillId="8" borderId="1" xfId="4" applyFont="1" applyFill="1" applyBorder="1" applyAlignment="1">
      <alignment horizontal="center" vertical="center" wrapText="1"/>
    </xf>
    <xf numFmtId="9" fontId="22" fillId="8" borderId="8" xfId="4" applyFont="1" applyFill="1" applyBorder="1" applyAlignment="1">
      <alignment horizontal="center" vertical="center" wrapText="1"/>
    </xf>
    <xf numFmtId="9" fontId="22" fillId="8" borderId="11" xfId="4" applyFont="1" applyFill="1" applyBorder="1" applyAlignment="1">
      <alignment horizontal="center" vertical="center" wrapText="1"/>
    </xf>
    <xf numFmtId="9" fontId="22" fillId="8" borderId="9" xfId="4" applyFont="1" applyFill="1" applyBorder="1" applyAlignment="1">
      <alignment horizontal="center" vertical="center" wrapText="1"/>
    </xf>
    <xf numFmtId="0" fontId="5" fillId="11" borderId="21" xfId="0" applyFont="1" applyFill="1" applyBorder="1" applyAlignment="1">
      <alignment horizontal="center" vertical="center" wrapText="1" readingOrder="1"/>
    </xf>
    <xf numFmtId="9" fontId="22" fillId="8" borderId="17" xfId="4" applyFont="1" applyFill="1" applyBorder="1" applyAlignment="1">
      <alignment horizontal="center" vertical="center" wrapText="1"/>
    </xf>
    <xf numFmtId="9" fontId="22" fillId="8" borderId="7" xfId="4" applyFont="1" applyFill="1" applyBorder="1" applyAlignment="1">
      <alignment horizontal="center" vertical="center" wrapText="1"/>
    </xf>
    <xf numFmtId="9" fontId="22" fillId="8" borderId="2" xfId="4" applyFont="1" applyFill="1" applyBorder="1" applyAlignment="1">
      <alignment horizontal="center" vertical="center" wrapText="1"/>
    </xf>
    <xf numFmtId="0" fontId="2" fillId="10" borderId="7" xfId="0" applyFont="1" applyFill="1" applyBorder="1" applyAlignment="1">
      <alignment horizontal="center" vertical="center" wrapText="1"/>
    </xf>
    <xf numFmtId="44" fontId="22" fillId="8" borderId="17" xfId="0" applyNumberFormat="1" applyFont="1" applyFill="1" applyBorder="1" applyAlignment="1">
      <alignment horizontal="center" vertical="center" wrapText="1"/>
    </xf>
    <xf numFmtId="0" fontId="2" fillId="11" borderId="4" xfId="0" applyFont="1" applyFill="1" applyBorder="1" applyAlignment="1">
      <alignment wrapText="1"/>
    </xf>
    <xf numFmtId="0" fontId="2" fillId="11" borderId="6" xfId="0" applyFont="1" applyFill="1" applyBorder="1" applyAlignment="1">
      <alignment wrapText="1"/>
    </xf>
    <xf numFmtId="0" fontId="0" fillId="0" borderId="7" xfId="0" applyBorder="1" applyAlignment="1">
      <alignment wrapText="1"/>
    </xf>
    <xf numFmtId="0" fontId="2" fillId="11" borderId="8" xfId="0" applyFont="1" applyFill="1" applyBorder="1" applyAlignment="1">
      <alignment wrapText="1"/>
    </xf>
    <xf numFmtId="0" fontId="0" fillId="0" borderId="11" xfId="0" applyBorder="1" applyAlignment="1">
      <alignment wrapText="1"/>
    </xf>
    <xf numFmtId="0" fontId="0" fillId="0" borderId="9" xfId="0" applyBorder="1" applyAlignment="1">
      <alignment wrapText="1"/>
    </xf>
    <xf numFmtId="0" fontId="2" fillId="0" borderId="10" xfId="0" applyFont="1" applyBorder="1" applyAlignment="1">
      <alignment wrapText="1"/>
    </xf>
    <xf numFmtId="0" fontId="2" fillId="0" borderId="5" xfId="0" applyFont="1" applyBorder="1" applyAlignment="1">
      <alignment wrapText="1"/>
    </xf>
    <xf numFmtId="0" fontId="17" fillId="11" borderId="14" xfId="0" applyFont="1" applyFill="1" applyBorder="1" applyAlignment="1">
      <alignment horizontal="center" vertical="center" wrapText="1"/>
    </xf>
    <xf numFmtId="0" fontId="17" fillId="3" borderId="4" xfId="0" applyFont="1" applyFill="1" applyBorder="1" applyAlignment="1">
      <alignment vertical="center" wrapText="1"/>
    </xf>
    <xf numFmtId="0" fontId="17" fillId="11" borderId="5" xfId="0" applyFont="1" applyFill="1" applyBorder="1" applyAlignment="1">
      <alignment horizontal="center" vertical="center" wrapText="1"/>
    </xf>
    <xf numFmtId="0" fontId="2" fillId="10" borderId="9" xfId="0" applyFont="1" applyFill="1" applyBorder="1" applyAlignment="1">
      <alignment horizontal="center" vertical="center" wrapText="1"/>
    </xf>
    <xf numFmtId="44" fontId="22" fillId="10" borderId="7" xfId="2" applyFont="1" applyFill="1" applyBorder="1" applyAlignment="1">
      <alignment horizontal="left" vertical="center" wrapText="1" indent="1"/>
    </xf>
    <xf numFmtId="0" fontId="17" fillId="3" borderId="14"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1" borderId="19" xfId="0" applyFont="1" applyFill="1" applyBorder="1" applyAlignment="1">
      <alignment horizontal="center" vertical="center" wrapText="1"/>
    </xf>
    <xf numFmtId="44" fontId="16" fillId="8" borderId="19" xfId="2" applyFont="1" applyFill="1" applyBorder="1" applyAlignment="1">
      <alignment horizontal="left" vertical="center" wrapText="1" indent="1"/>
    </xf>
    <xf numFmtId="0" fontId="3" fillId="4" borderId="28" xfId="0" applyFont="1" applyFill="1" applyBorder="1" applyAlignment="1">
      <alignment horizontal="left" vertical="center" wrapText="1" indent="1"/>
    </xf>
    <xf numFmtId="44" fontId="22" fillId="8" borderId="9" xfId="2" applyFont="1" applyFill="1" applyBorder="1" applyAlignment="1">
      <alignment horizontal="left" vertical="center" wrapText="1" indent="1"/>
    </xf>
    <xf numFmtId="0" fontId="24" fillId="12" borderId="1" xfId="5" applyBorder="1" applyAlignment="1">
      <alignment horizontal="center" vertical="center" wrapText="1"/>
    </xf>
    <xf numFmtId="0" fontId="5"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3" applyFont="1" applyFill="1" applyBorder="1" applyAlignment="1">
      <alignment horizontal="center" vertical="center" wrapText="1"/>
    </xf>
    <xf numFmtId="0" fontId="7" fillId="9" borderId="6" xfId="0" applyFont="1" applyFill="1" applyBorder="1" applyAlignment="1">
      <alignment horizontal="left" vertical="center" wrapText="1" readingOrder="1"/>
    </xf>
    <xf numFmtId="0" fontId="11" fillId="5" borderId="1" xfId="0" applyFont="1" applyFill="1" applyBorder="1" applyAlignment="1">
      <alignment horizontal="left" vertical="center" wrapText="1" indent="1"/>
    </xf>
    <xf numFmtId="0" fontId="26" fillId="6" borderId="1" xfId="0" applyFont="1" applyFill="1" applyBorder="1" applyAlignment="1">
      <alignment horizontal="left" vertical="center" wrapText="1" indent="1"/>
    </xf>
    <xf numFmtId="0" fontId="11" fillId="6" borderId="1" xfId="0" applyFont="1" applyFill="1" applyBorder="1" applyAlignment="1">
      <alignment horizontal="left" vertical="center" wrapText="1" indent="1" readingOrder="1"/>
    </xf>
    <xf numFmtId="0" fontId="11" fillId="6" borderId="1" xfId="0" applyFont="1" applyFill="1" applyBorder="1" applyAlignment="1">
      <alignment horizontal="left" vertical="center" wrapText="1" indent="1"/>
    </xf>
    <xf numFmtId="0" fontId="26" fillId="6" borderId="1" xfId="3" applyFont="1" applyFill="1" applyBorder="1" applyAlignment="1">
      <alignment horizontal="left" vertical="center" wrapText="1" indent="1"/>
    </xf>
    <xf numFmtId="0" fontId="0" fillId="11" borderId="1" xfId="0" applyFill="1" applyBorder="1"/>
    <xf numFmtId="0" fontId="5" fillId="11" borderId="1" xfId="0" applyFont="1" applyFill="1" applyBorder="1" applyAlignment="1">
      <alignment horizontal="left" vertical="center" wrapText="1" readingOrder="1"/>
    </xf>
    <xf numFmtId="0" fontId="7" fillId="9" borderId="1" xfId="0" applyFont="1" applyFill="1" applyBorder="1" applyAlignment="1">
      <alignment horizontal="left" vertical="center" wrapText="1" indent="1" readingOrder="1"/>
    </xf>
    <xf numFmtId="0" fontId="8" fillId="9" borderId="1" xfId="0" applyFont="1" applyFill="1" applyBorder="1" applyAlignment="1">
      <alignment horizontal="left" vertical="center" wrapText="1" indent="1" readingOrder="1"/>
    </xf>
    <xf numFmtId="0" fontId="0" fillId="11" borderId="7" xfId="0" applyFill="1" applyBorder="1"/>
    <xf numFmtId="0" fontId="19" fillId="8" borderId="7"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19" fillId="11" borderId="7" xfId="0" applyFont="1" applyFill="1" applyBorder="1" applyAlignment="1">
      <alignment horizontal="center" vertical="center" wrapText="1"/>
    </xf>
    <xf numFmtId="0" fontId="5" fillId="11" borderId="3" xfId="0" applyFont="1" applyFill="1" applyBorder="1" applyAlignment="1">
      <alignment horizontal="left" vertical="center" wrapText="1" readingOrder="1"/>
    </xf>
    <xf numFmtId="0" fontId="0" fillId="11" borderId="3" xfId="0" applyFill="1" applyBorder="1"/>
    <xf numFmtId="0" fontId="0" fillId="11" borderId="15" xfId="0" applyFill="1" applyBorder="1"/>
    <xf numFmtId="0" fontId="0" fillId="0" borderId="0" xfId="0" applyAlignment="1">
      <alignment horizontal="left"/>
    </xf>
    <xf numFmtId="0" fontId="13" fillId="0" borderId="12" xfId="0" applyFont="1" applyBorder="1" applyAlignment="1">
      <alignment horizontal="left" vertical="top" wrapText="1"/>
    </xf>
    <xf numFmtId="49" fontId="2" fillId="5" borderId="6" xfId="0" applyNumberFormat="1" applyFont="1" applyFill="1" applyBorder="1" applyAlignment="1">
      <alignment horizontal="left" vertical="center" wrapText="1"/>
    </xf>
    <xf numFmtId="49" fontId="2" fillId="11" borderId="6" xfId="0" applyNumberFormat="1" applyFont="1" applyFill="1" applyBorder="1" applyAlignment="1">
      <alignment horizontal="left" vertical="center" wrapText="1"/>
    </xf>
    <xf numFmtId="49" fontId="2" fillId="11" borderId="6" xfId="0" applyNumberFormat="1" applyFont="1" applyFill="1" applyBorder="1" applyAlignment="1">
      <alignment horizontal="left" vertical="center"/>
    </xf>
    <xf numFmtId="49" fontId="2" fillId="6" borderId="6" xfId="0" applyNumberFormat="1" applyFont="1" applyFill="1" applyBorder="1" applyAlignment="1">
      <alignment horizontal="left" vertical="center"/>
    </xf>
    <xf numFmtId="49" fontId="2" fillId="5" borderId="6" xfId="0" applyNumberFormat="1" applyFont="1" applyFill="1" applyBorder="1" applyAlignment="1">
      <alignment horizontal="left" vertical="center"/>
    </xf>
    <xf numFmtId="49" fontId="2" fillId="11" borderId="6" xfId="3" applyNumberFormat="1" applyFont="1" applyFill="1" applyBorder="1" applyAlignment="1">
      <alignment horizontal="left" vertical="center"/>
    </xf>
    <xf numFmtId="49" fontId="2" fillId="6" borderId="6" xfId="3" applyNumberFormat="1" applyFont="1" applyFill="1" applyBorder="1" applyAlignment="1">
      <alignment horizontal="left" vertical="center"/>
    </xf>
    <xf numFmtId="49" fontId="10" fillId="11" borderId="6" xfId="3" applyNumberFormat="1" applyFill="1" applyBorder="1" applyAlignment="1">
      <alignment horizontal="left" vertical="center"/>
    </xf>
    <xf numFmtId="0" fontId="0" fillId="11" borderId="6" xfId="0" applyFill="1" applyBorder="1" applyAlignment="1">
      <alignment horizontal="left"/>
    </xf>
    <xf numFmtId="0" fontId="12" fillId="8" borderId="1" xfId="0" applyFont="1" applyFill="1" applyBorder="1" applyAlignment="1">
      <alignment horizontal="center" vertical="center" wrapText="1"/>
    </xf>
    <xf numFmtId="0" fontId="0" fillId="0" borderId="38" xfId="0" applyBorder="1" applyAlignment="1">
      <alignment horizontal="left"/>
    </xf>
    <xf numFmtId="0" fontId="15" fillId="11" borderId="30" xfId="0" applyFont="1" applyFill="1" applyBorder="1" applyAlignment="1">
      <alignment wrapText="1"/>
    </xf>
    <xf numFmtId="0" fontId="15" fillId="11" borderId="31" xfId="0" applyFont="1" applyFill="1" applyBorder="1" applyAlignment="1">
      <alignment horizontal="center" vertical="center" wrapText="1"/>
    </xf>
    <xf numFmtId="0" fontId="7" fillId="8" borderId="1" xfId="3" applyFont="1" applyFill="1" applyBorder="1" applyAlignment="1">
      <alignment horizontal="center" vertical="center" wrapText="1"/>
    </xf>
    <xf numFmtId="49" fontId="0" fillId="6" borderId="6" xfId="0" applyNumberFormat="1" applyFill="1" applyBorder="1" applyAlignment="1">
      <alignment horizontal="left" vertical="center"/>
    </xf>
    <xf numFmtId="0" fontId="28" fillId="6" borderId="1" xfId="0" applyFont="1" applyFill="1" applyBorder="1" applyAlignment="1">
      <alignment horizontal="left" vertical="center" wrapText="1" indent="1" readingOrder="1"/>
    </xf>
    <xf numFmtId="0" fontId="0" fillId="6" borderId="1" xfId="0" applyFill="1" applyBorder="1" applyAlignment="1">
      <alignment horizontal="center" vertical="center" wrapText="1"/>
    </xf>
    <xf numFmtId="0" fontId="0" fillId="11" borderId="40" xfId="0" applyFill="1" applyBorder="1"/>
    <xf numFmtId="0" fontId="19" fillId="8" borderId="40" xfId="0" applyFont="1" applyFill="1" applyBorder="1" applyAlignment="1">
      <alignment horizontal="center" vertical="center" wrapText="1"/>
    </xf>
    <xf numFmtId="0" fontId="5" fillId="11" borderId="4" xfId="0" applyFont="1" applyFill="1" applyBorder="1" applyAlignment="1">
      <alignment horizontal="left" vertical="center" wrapText="1" readingOrder="1"/>
    </xf>
    <xf numFmtId="0" fontId="5" fillId="11" borderId="10" xfId="0" applyFont="1" applyFill="1" applyBorder="1" applyAlignment="1">
      <alignment horizontal="left" vertical="center" wrapText="1" readingOrder="1"/>
    </xf>
    <xf numFmtId="0" fontId="5" fillId="11" borderId="10" xfId="0" applyFont="1" applyFill="1" applyBorder="1" applyAlignment="1">
      <alignment horizontal="center" vertical="center" wrapText="1" readingOrder="1"/>
    </xf>
    <xf numFmtId="0" fontId="12" fillId="8" borderId="10" xfId="0" applyFont="1" applyFill="1" applyBorder="1" applyAlignment="1">
      <alignment horizontal="center" vertical="center" wrapText="1"/>
    </xf>
    <xf numFmtId="0" fontId="0" fillId="11" borderId="5" xfId="0" applyFill="1" applyBorder="1"/>
    <xf numFmtId="0" fontId="8" fillId="9" borderId="11" xfId="0" applyFont="1" applyFill="1" applyBorder="1" applyAlignment="1">
      <alignment horizontal="left" vertical="center" wrapText="1" indent="1" readingOrder="1"/>
    </xf>
    <xf numFmtId="0" fontId="8" fillId="9" borderId="11" xfId="0" applyFont="1" applyFill="1" applyBorder="1" applyAlignment="1">
      <alignment horizontal="center" vertical="center" wrapText="1" readingOrder="1"/>
    </xf>
    <xf numFmtId="0" fontId="7" fillId="8" borderId="11" xfId="3" applyFont="1" applyFill="1" applyBorder="1" applyAlignment="1">
      <alignment horizontal="center" vertical="center" wrapText="1"/>
    </xf>
    <xf numFmtId="0" fontId="19" fillId="8" borderId="11" xfId="0" applyFont="1" applyFill="1" applyBorder="1" applyAlignment="1">
      <alignment horizontal="center" vertical="center" wrapText="1"/>
    </xf>
    <xf numFmtId="16" fontId="7" fillId="9" borderId="6" xfId="0" applyNumberFormat="1" applyFont="1" applyFill="1" applyBorder="1" applyAlignment="1">
      <alignment horizontal="left" vertical="center" wrapText="1" readingOrder="1"/>
    </xf>
    <xf numFmtId="0" fontId="5" fillId="11" borderId="43" xfId="0" applyFont="1" applyFill="1" applyBorder="1" applyAlignment="1">
      <alignment horizontal="center" vertical="center" wrapText="1" readingOrder="1"/>
    </xf>
    <xf numFmtId="1" fontId="22" fillId="8" borderId="1" xfId="1" applyNumberFormat="1" applyFont="1" applyFill="1" applyBorder="1" applyAlignment="1">
      <alignment horizontal="center" vertical="center" wrapText="1"/>
    </xf>
    <xf numFmtId="0" fontId="2" fillId="0" borderId="6" xfId="0" applyFont="1" applyBorder="1" applyAlignment="1">
      <alignment wrapText="1"/>
    </xf>
    <xf numFmtId="165" fontId="2" fillId="11" borderId="7" xfId="1" applyNumberFormat="1" applyFont="1" applyFill="1" applyBorder="1" applyAlignment="1">
      <alignment horizontal="right" vertical="center" wrapText="1"/>
    </xf>
    <xf numFmtId="0" fontId="2" fillId="0" borderId="6" xfId="0" applyFont="1" applyBorder="1" applyAlignment="1">
      <alignment horizontal="left" wrapText="1" indent="1"/>
    </xf>
    <xf numFmtId="9" fontId="2" fillId="11" borderId="7" xfId="2" applyNumberFormat="1" applyFont="1" applyFill="1" applyBorder="1" applyAlignment="1">
      <alignment horizontal="right" vertical="center" wrapText="1"/>
    </xf>
    <xf numFmtId="0" fontId="2" fillId="0" borderId="8" xfId="0" applyFont="1" applyBorder="1" applyAlignment="1">
      <alignment wrapText="1"/>
    </xf>
    <xf numFmtId="9" fontId="2" fillId="10" borderId="9" xfId="2" applyNumberFormat="1" applyFont="1" applyFill="1" applyBorder="1" applyAlignment="1">
      <alignment horizontal="right" vertical="center" wrapText="1"/>
    </xf>
    <xf numFmtId="0" fontId="18" fillId="8" borderId="21" xfId="0" applyFont="1" applyFill="1" applyBorder="1" applyAlignment="1">
      <alignment horizontal="center" vertical="center" wrapText="1"/>
    </xf>
    <xf numFmtId="0" fontId="17" fillId="11" borderId="32" xfId="0" applyFont="1" applyFill="1" applyBorder="1" applyAlignment="1">
      <alignment horizontal="center" vertical="center" wrapText="1"/>
    </xf>
    <xf numFmtId="44" fontId="16" fillId="8" borderId="32" xfId="2" applyFont="1" applyFill="1" applyBorder="1" applyAlignment="1">
      <alignment horizontal="left" vertical="center" wrapText="1" indent="1"/>
    </xf>
    <xf numFmtId="1" fontId="16" fillId="8" borderId="39" xfId="2" applyNumberFormat="1" applyFont="1" applyFill="1" applyBorder="1" applyAlignment="1">
      <alignment horizontal="center" vertical="center" wrapText="1"/>
    </xf>
    <xf numFmtId="0" fontId="2" fillId="11" borderId="22" xfId="0" applyFont="1" applyFill="1" applyBorder="1" applyAlignment="1">
      <alignment wrapText="1"/>
    </xf>
    <xf numFmtId="0" fontId="2" fillId="10" borderId="17" xfId="0" applyFont="1" applyFill="1" applyBorder="1" applyAlignment="1">
      <alignment horizontal="center" vertical="center" wrapText="1"/>
    </xf>
    <xf numFmtId="0" fontId="2" fillId="0" borderId="22" xfId="0" applyFont="1" applyBorder="1" applyAlignment="1">
      <alignment horizontal="left" wrapText="1" indent="1"/>
    </xf>
    <xf numFmtId="165" fontId="2" fillId="11" borderId="17" xfId="1" applyNumberFormat="1" applyFont="1" applyFill="1" applyBorder="1" applyAlignment="1">
      <alignment horizontal="right" vertical="center" wrapText="1"/>
    </xf>
    <xf numFmtId="0" fontId="2" fillId="0" borderId="16" xfId="0" applyFont="1" applyBorder="1" applyAlignment="1">
      <alignment wrapText="1"/>
    </xf>
    <xf numFmtId="44" fontId="2" fillId="10" borderId="15" xfId="2" applyFont="1" applyFill="1" applyBorder="1" applyAlignment="1">
      <alignment horizontal="right" vertical="center" wrapText="1"/>
    </xf>
    <xf numFmtId="0" fontId="2" fillId="10" borderId="5" xfId="0" applyFont="1" applyFill="1" applyBorder="1" applyAlignment="1">
      <alignment horizontal="center"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50" xfId="0" applyFont="1" applyBorder="1" applyAlignment="1">
      <alignment wrapText="1"/>
    </xf>
    <xf numFmtId="165" fontId="2" fillId="11" borderId="18" xfId="1" applyNumberFormat="1" applyFont="1" applyFill="1" applyBorder="1" applyAlignment="1">
      <alignment horizontal="right" vertical="center" wrapText="1"/>
    </xf>
    <xf numFmtId="0" fontId="2" fillId="0" borderId="4" xfId="0" applyFont="1" applyBorder="1" applyAlignment="1">
      <alignment wrapText="1"/>
    </xf>
    <xf numFmtId="165" fontId="2" fillId="11" borderId="5" xfId="1" applyNumberFormat="1" applyFont="1" applyFill="1" applyBorder="1" applyAlignment="1">
      <alignment horizontal="right" vertical="center" wrapText="1"/>
    </xf>
    <xf numFmtId="0" fontId="2" fillId="0" borderId="12" xfId="0" applyFont="1" applyBorder="1" applyAlignment="1">
      <alignment horizontal="left" wrapText="1"/>
    </xf>
    <xf numFmtId="165" fontId="2" fillId="11" borderId="14" xfId="1" applyNumberFormat="1" applyFont="1" applyFill="1" applyBorder="1" applyAlignment="1">
      <alignment horizontal="right" vertical="center" wrapText="1"/>
    </xf>
    <xf numFmtId="0" fontId="2" fillId="11" borderId="51" xfId="0" applyFont="1" applyFill="1" applyBorder="1" applyAlignment="1">
      <alignment wrapText="1"/>
    </xf>
    <xf numFmtId="0" fontId="2" fillId="11" borderId="27" xfId="0" applyFont="1" applyFill="1" applyBorder="1" applyAlignment="1">
      <alignment wrapText="1"/>
    </xf>
    <xf numFmtId="0" fontId="2" fillId="11" borderId="28" xfId="0" applyFont="1" applyFill="1" applyBorder="1" applyAlignment="1">
      <alignment wrapText="1"/>
    </xf>
    <xf numFmtId="0" fontId="0" fillId="0" borderId="6" xfId="0" applyBorder="1" applyAlignment="1">
      <alignment wrapText="1"/>
    </xf>
    <xf numFmtId="0" fontId="0" fillId="0" borderId="8" xfId="0" applyBorder="1" applyAlignment="1">
      <alignment wrapText="1"/>
    </xf>
    <xf numFmtId="0" fontId="17" fillId="3" borderId="32" xfId="0" applyFont="1" applyFill="1" applyBorder="1" applyAlignment="1">
      <alignment horizontal="center" vertical="center" wrapText="1"/>
    </xf>
    <xf numFmtId="1" fontId="16" fillId="8" borderId="32" xfId="2" applyNumberFormat="1" applyFont="1" applyFill="1" applyBorder="1" applyAlignment="1">
      <alignment horizontal="center" vertical="center" wrapText="1"/>
    </xf>
    <xf numFmtId="1" fontId="22" fillId="8" borderId="44" xfId="0" applyNumberFormat="1" applyFont="1" applyFill="1" applyBorder="1" applyAlignment="1">
      <alignment horizontal="center" vertical="center" wrapText="1"/>
    </xf>
    <xf numFmtId="1" fontId="22" fillId="8" borderId="23" xfId="1" applyNumberFormat="1" applyFont="1" applyFill="1" applyBorder="1" applyAlignment="1">
      <alignment horizontal="center" vertical="center" wrapText="1"/>
    </xf>
    <xf numFmtId="1" fontId="1" fillId="8" borderId="23" xfId="1" applyNumberFormat="1" applyFont="1" applyFill="1" applyBorder="1" applyAlignment="1">
      <alignment horizontal="center" wrapText="1"/>
    </xf>
    <xf numFmtId="1" fontId="22" fillId="8" borderId="24" xfId="1" applyNumberFormat="1" applyFont="1" applyFill="1" applyBorder="1" applyAlignment="1">
      <alignment horizontal="center" vertical="center" wrapText="1"/>
    </xf>
    <xf numFmtId="0" fontId="13" fillId="0" borderId="12" xfId="0" applyFont="1" applyBorder="1" applyAlignment="1">
      <alignment horizontal="center" vertical="top" wrapText="1"/>
    </xf>
    <xf numFmtId="0" fontId="5" fillId="11" borderId="6" xfId="0" applyFont="1" applyFill="1" applyBorder="1" applyAlignment="1">
      <alignment horizontal="center" vertical="center" wrapText="1" readingOrder="1"/>
    </xf>
    <xf numFmtId="0" fontId="7" fillId="8" borderId="6" xfId="3" applyFont="1" applyFill="1" applyBorder="1" applyAlignment="1">
      <alignment horizontal="center" vertical="center" wrapText="1"/>
    </xf>
    <xf numFmtId="0" fontId="7" fillId="8" borderId="7" xfId="3" applyFont="1" applyFill="1" applyBorder="1" applyAlignment="1">
      <alignment horizontal="center" vertical="center" wrapText="1"/>
    </xf>
    <xf numFmtId="0" fontId="0" fillId="0" borderId="36" xfId="0" applyBorder="1"/>
    <xf numFmtId="0" fontId="0" fillId="0" borderId="37" xfId="0" applyBorder="1"/>
    <xf numFmtId="0" fontId="15" fillId="11" borderId="30" xfId="0" applyFont="1" applyFill="1" applyBorder="1" applyAlignment="1">
      <alignment horizontal="center" vertical="center" wrapText="1"/>
    </xf>
    <xf numFmtId="0" fontId="15" fillId="11" borderId="53" xfId="0" applyFont="1" applyFill="1" applyBorder="1" applyAlignment="1">
      <alignment horizontal="center" vertical="center" wrapText="1"/>
    </xf>
    <xf numFmtId="0" fontId="7" fillId="8" borderId="8" xfId="3" applyFont="1" applyFill="1" applyBorder="1" applyAlignment="1">
      <alignment horizontal="center" vertical="center" wrapText="1"/>
    </xf>
    <xf numFmtId="0" fontId="7" fillId="8" borderId="9" xfId="3" applyFont="1" applyFill="1" applyBorder="1" applyAlignment="1">
      <alignment horizontal="center" vertical="center" wrapText="1"/>
    </xf>
    <xf numFmtId="0" fontId="12" fillId="8" borderId="7"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19" fillId="8" borderId="8" xfId="0" applyFont="1" applyFill="1" applyBorder="1" applyAlignment="1">
      <alignment horizontal="center" vertical="center" wrapText="1"/>
    </xf>
    <xf numFmtId="0" fontId="7" fillId="8" borderId="16" xfId="3" applyFont="1" applyFill="1" applyBorder="1" applyAlignment="1">
      <alignment horizontal="center" vertical="center" wrapText="1"/>
    </xf>
    <xf numFmtId="0" fontId="7" fillId="8" borderId="3" xfId="3" applyFont="1" applyFill="1" applyBorder="1" applyAlignment="1">
      <alignment horizontal="center" vertical="center" wrapText="1"/>
    </xf>
    <xf numFmtId="0" fontId="7" fillId="8" borderId="15" xfId="3" applyFont="1" applyFill="1" applyBorder="1" applyAlignment="1">
      <alignment horizontal="center" vertical="center" wrapText="1"/>
    </xf>
    <xf numFmtId="0" fontId="19" fillId="8" borderId="16"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5" fillId="11" borderId="12" xfId="0" applyFont="1" applyFill="1" applyBorder="1" applyAlignment="1">
      <alignment horizontal="center" vertical="center" wrapText="1" readingOrder="1"/>
    </xf>
    <xf numFmtId="0" fontId="5" fillId="11" borderId="13" xfId="0" applyFont="1" applyFill="1" applyBorder="1" applyAlignment="1">
      <alignment horizontal="center" vertical="center" wrapText="1" readingOrder="1"/>
    </xf>
    <xf numFmtId="0" fontId="5" fillId="11" borderId="14" xfId="0" applyFont="1" applyFill="1" applyBorder="1" applyAlignment="1">
      <alignment horizontal="center" vertical="center" wrapText="1" readingOrder="1"/>
    </xf>
    <xf numFmtId="0" fontId="12" fillId="8" borderId="13"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5" fillId="11" borderId="55"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19" fillId="8" borderId="20" xfId="0" applyFont="1" applyFill="1" applyBorder="1" applyAlignment="1">
      <alignment horizontal="center" vertical="center" wrapText="1"/>
    </xf>
    <xf numFmtId="0" fontId="19" fillId="8" borderId="29" xfId="0" applyFont="1" applyFill="1" applyBorder="1" applyAlignment="1">
      <alignment horizontal="center" vertical="center" wrapText="1"/>
    </xf>
    <xf numFmtId="0" fontId="13" fillId="0" borderId="54" xfId="0" applyFont="1" applyBorder="1" applyAlignment="1">
      <alignment horizontal="center" vertical="top" wrapText="1"/>
    </xf>
    <xf numFmtId="0" fontId="5" fillId="11" borderId="42" xfId="0" applyFont="1" applyFill="1" applyBorder="1" applyAlignment="1">
      <alignment horizontal="center" vertical="center" wrapText="1" readingOrder="1"/>
    </xf>
    <xf numFmtId="0" fontId="7" fillId="8" borderId="42" xfId="3" applyFont="1" applyFill="1" applyBorder="1" applyAlignment="1">
      <alignment horizontal="center" vertical="center" wrapText="1"/>
    </xf>
    <xf numFmtId="0" fontId="15" fillId="11" borderId="56" xfId="0" applyFont="1" applyFill="1" applyBorder="1" applyAlignment="1">
      <alignment horizontal="center" vertical="center" wrapText="1"/>
    </xf>
    <xf numFmtId="0" fontId="5" fillId="11" borderId="52" xfId="0" applyFont="1" applyFill="1" applyBorder="1" applyAlignment="1">
      <alignment horizontal="center" vertical="center" wrapText="1" readingOrder="1"/>
    </xf>
    <xf numFmtId="0" fontId="7" fillId="8" borderId="57" xfId="3" applyFont="1" applyFill="1" applyBorder="1" applyAlignment="1">
      <alignment horizontal="center" vertical="center" wrapText="1"/>
    </xf>
    <xf numFmtId="0" fontId="7" fillId="8" borderId="58" xfId="3" applyFont="1" applyFill="1" applyBorder="1" applyAlignment="1">
      <alignment horizontal="center" vertical="center" wrapText="1"/>
    </xf>
    <xf numFmtId="0" fontId="7" fillId="8" borderId="21" xfId="3" applyFont="1" applyFill="1" applyBorder="1" applyAlignment="1">
      <alignment horizontal="center" vertical="center" wrapText="1"/>
    </xf>
    <xf numFmtId="0" fontId="5" fillId="11" borderId="19" xfId="0" applyFont="1" applyFill="1" applyBorder="1" applyAlignment="1">
      <alignment horizontal="center" vertical="center" wrapText="1" readingOrder="1"/>
    </xf>
    <xf numFmtId="0" fontId="7" fillId="8" borderId="20" xfId="3" applyFont="1" applyFill="1" applyBorder="1" applyAlignment="1">
      <alignment horizontal="center" vertical="center" wrapText="1"/>
    </xf>
    <xf numFmtId="0" fontId="7" fillId="8" borderId="29" xfId="3" applyFont="1" applyFill="1" applyBorder="1" applyAlignment="1">
      <alignment horizontal="center" vertical="center" wrapText="1"/>
    </xf>
    <xf numFmtId="0" fontId="13" fillId="13" borderId="19" xfId="0" applyFont="1" applyFill="1" applyBorder="1" applyAlignment="1">
      <alignment horizontal="center" vertical="top" wrapText="1"/>
    </xf>
    <xf numFmtId="0" fontId="13" fillId="13" borderId="14" xfId="0" applyFont="1" applyFill="1" applyBorder="1" applyAlignment="1">
      <alignment horizontal="center" vertical="top" wrapText="1"/>
    </xf>
    <xf numFmtId="0" fontId="11" fillId="6" borderId="1" xfId="0" applyFont="1" applyFill="1" applyBorder="1" applyAlignment="1">
      <alignment horizontal="center" vertical="center" wrapText="1" readingOrder="1"/>
    </xf>
    <xf numFmtId="0" fontId="2" fillId="6" borderId="1" xfId="0" applyFont="1" applyFill="1" applyBorder="1" applyAlignment="1">
      <alignment horizontal="left" vertical="center" wrapText="1"/>
    </xf>
    <xf numFmtId="0" fontId="33" fillId="6" borderId="1" xfId="0" applyFont="1" applyFill="1" applyBorder="1" applyAlignment="1">
      <alignment horizontal="left" vertical="center" wrapText="1" indent="1" readingOrder="1"/>
    </xf>
    <xf numFmtId="0" fontId="26" fillId="5" borderId="1" xfId="0" applyFont="1" applyFill="1" applyBorder="1" applyAlignment="1">
      <alignment horizontal="left" vertical="center" wrapText="1" indent="1"/>
    </xf>
    <xf numFmtId="0" fontId="2" fillId="5" borderId="1" xfId="0" applyFont="1" applyFill="1" applyBorder="1" applyAlignment="1">
      <alignment horizontal="center" vertical="center" wrapText="1"/>
    </xf>
    <xf numFmtId="49" fontId="2" fillId="10" borderId="6" xfId="0" applyNumberFormat="1" applyFont="1" applyFill="1" applyBorder="1" applyAlignment="1">
      <alignment horizontal="left" vertical="center"/>
    </xf>
    <xf numFmtId="0" fontId="2" fillId="5" borderId="1" xfId="3" applyFont="1" applyFill="1" applyBorder="1" applyAlignment="1">
      <alignment horizontal="center" vertical="center" wrapText="1"/>
    </xf>
    <xf numFmtId="0" fontId="2" fillId="8" borderId="1" xfId="3" applyFont="1" applyFill="1" applyBorder="1" applyAlignment="1">
      <alignment horizontal="center" vertical="center" wrapText="1"/>
    </xf>
    <xf numFmtId="0" fontId="18" fillId="8" borderId="1" xfId="0" applyFont="1" applyFill="1" applyBorder="1" applyAlignment="1">
      <alignment horizontal="center" vertical="center" wrapText="1"/>
    </xf>
    <xf numFmtId="0" fontId="8" fillId="11" borderId="21" xfId="0" applyFont="1" applyFill="1" applyBorder="1" applyAlignment="1">
      <alignment vertical="center" wrapText="1"/>
    </xf>
    <xf numFmtId="0" fontId="8" fillId="11" borderId="41" xfId="0" applyFont="1" applyFill="1" applyBorder="1" applyAlignment="1">
      <alignment vertical="center" wrapText="1"/>
    </xf>
    <xf numFmtId="0" fontId="8" fillId="11" borderId="42" xfId="0" applyFont="1" applyFill="1" applyBorder="1" applyAlignment="1">
      <alignment vertical="center" wrapText="1"/>
    </xf>
    <xf numFmtId="0" fontId="0" fillId="11" borderId="21" xfId="0" applyFill="1" applyBorder="1" applyAlignment="1">
      <alignment vertical="center" wrapText="1"/>
    </xf>
    <xf numFmtId="0" fontId="0" fillId="11" borderId="41" xfId="0" applyFill="1" applyBorder="1" applyAlignment="1">
      <alignment vertical="center" wrapText="1"/>
    </xf>
    <xf numFmtId="0" fontId="0" fillId="11" borderId="42" xfId="0" applyFill="1" applyBorder="1" applyAlignment="1">
      <alignment vertical="center" wrapText="1"/>
    </xf>
    <xf numFmtId="0" fontId="32" fillId="11" borderId="21" xfId="0" applyFont="1" applyFill="1" applyBorder="1" applyAlignment="1">
      <alignment vertical="center" wrapText="1"/>
    </xf>
    <xf numFmtId="0" fontId="32" fillId="11" borderId="41" xfId="0" applyFont="1" applyFill="1" applyBorder="1" applyAlignment="1">
      <alignment vertical="center" wrapText="1"/>
    </xf>
    <xf numFmtId="0" fontId="32" fillId="11" borderId="42" xfId="0" applyFont="1" applyFill="1" applyBorder="1" applyAlignment="1">
      <alignment vertical="center" wrapText="1"/>
    </xf>
    <xf numFmtId="0" fontId="0" fillId="10" borderId="21" xfId="0" applyFill="1" applyBorder="1" applyAlignment="1">
      <alignment vertical="center" wrapText="1"/>
    </xf>
    <xf numFmtId="0" fontId="0" fillId="10" borderId="41" xfId="0" applyFill="1" applyBorder="1" applyAlignment="1">
      <alignment vertical="center" wrapText="1"/>
    </xf>
    <xf numFmtId="0" fontId="0" fillId="10" borderId="42" xfId="0" applyFill="1" applyBorder="1" applyAlignment="1">
      <alignment vertical="center" wrapText="1"/>
    </xf>
    <xf numFmtId="0" fontId="6" fillId="11" borderId="21" xfId="0" applyFont="1" applyFill="1" applyBorder="1" applyAlignment="1">
      <alignment vertical="center" wrapText="1"/>
    </xf>
    <xf numFmtId="0" fontId="6" fillId="11" borderId="41" xfId="0" applyFont="1" applyFill="1" applyBorder="1" applyAlignment="1">
      <alignment vertical="center" wrapText="1"/>
    </xf>
    <xf numFmtId="0" fontId="6" fillId="11" borderId="42" xfId="0" applyFont="1" applyFill="1" applyBorder="1" applyAlignment="1">
      <alignment vertical="center" wrapText="1"/>
    </xf>
    <xf numFmtId="0" fontId="25" fillId="11" borderId="21" xfId="0" applyFont="1" applyFill="1" applyBorder="1" applyAlignment="1">
      <alignment vertical="center" wrapText="1"/>
    </xf>
    <xf numFmtId="0" fontId="25" fillId="11" borderId="41" xfId="0" applyFont="1" applyFill="1" applyBorder="1" applyAlignment="1">
      <alignment vertical="center" wrapText="1"/>
    </xf>
    <xf numFmtId="0" fontId="25" fillId="11" borderId="42" xfId="0" applyFont="1" applyFill="1" applyBorder="1" applyAlignment="1">
      <alignment vertical="center" wrapText="1"/>
    </xf>
    <xf numFmtId="0" fontId="1" fillId="11" borderId="21" xfId="3" applyFont="1" applyFill="1" applyBorder="1" applyAlignment="1">
      <alignment vertical="center" wrapText="1"/>
    </xf>
    <xf numFmtId="0" fontId="1" fillId="11" borderId="41" xfId="3" applyFont="1" applyFill="1" applyBorder="1" applyAlignment="1">
      <alignment vertical="center" wrapText="1"/>
    </xf>
    <xf numFmtId="0" fontId="1" fillId="11" borderId="42" xfId="3" applyFont="1" applyFill="1" applyBorder="1" applyAlignment="1">
      <alignment vertical="center" wrapText="1"/>
    </xf>
    <xf numFmtId="0" fontId="27" fillId="11" borderId="21" xfId="3" applyFont="1" applyFill="1" applyBorder="1" applyAlignment="1">
      <alignment vertical="center" wrapText="1"/>
    </xf>
    <xf numFmtId="0" fontId="27" fillId="11" borderId="41" xfId="3" applyFont="1" applyFill="1" applyBorder="1" applyAlignment="1">
      <alignment vertical="center" wrapText="1"/>
    </xf>
    <xf numFmtId="0" fontId="27" fillId="11" borderId="42" xfId="3" applyFont="1" applyFill="1" applyBorder="1" applyAlignment="1">
      <alignment vertical="center" wrapText="1"/>
    </xf>
    <xf numFmtId="0" fontId="0" fillId="11" borderId="21" xfId="3" applyFont="1" applyFill="1" applyBorder="1" applyAlignment="1">
      <alignment vertical="center" wrapText="1"/>
    </xf>
    <xf numFmtId="0" fontId="0" fillId="11" borderId="41" xfId="3" applyFont="1" applyFill="1" applyBorder="1" applyAlignment="1">
      <alignment vertical="center" wrapText="1"/>
    </xf>
    <xf numFmtId="0" fontId="0" fillId="11" borderId="42" xfId="3" applyFont="1" applyFill="1" applyBorder="1" applyAlignment="1">
      <alignment vertical="center" wrapText="1"/>
    </xf>
    <xf numFmtId="0" fontId="8" fillId="11" borderId="21" xfId="0" applyFont="1" applyFill="1" applyBorder="1" applyAlignment="1">
      <alignment vertical="center" wrapText="1" readingOrder="1"/>
    </xf>
    <xf numFmtId="0" fontId="8" fillId="11" borderId="41" xfId="0" applyFont="1" applyFill="1" applyBorder="1" applyAlignment="1">
      <alignment vertical="center" wrapText="1" readingOrder="1"/>
    </xf>
    <xf numFmtId="0" fontId="8" fillId="11" borderId="42" xfId="0" applyFont="1" applyFill="1" applyBorder="1" applyAlignment="1">
      <alignment vertical="center" wrapText="1" readingOrder="1"/>
    </xf>
    <xf numFmtId="0" fontId="0" fillId="11" borderId="21" xfId="0" applyFill="1" applyBorder="1" applyAlignment="1">
      <alignment wrapText="1"/>
    </xf>
    <xf numFmtId="0" fontId="0" fillId="11" borderId="41" xfId="0" applyFill="1" applyBorder="1" applyAlignment="1">
      <alignment wrapText="1"/>
    </xf>
    <xf numFmtId="0" fontId="0" fillId="11" borderId="42" xfId="0" applyFill="1" applyBorder="1" applyAlignment="1">
      <alignment wrapText="1"/>
    </xf>
    <xf numFmtId="0" fontId="25" fillId="11" borderId="21" xfId="0" applyFont="1" applyFill="1" applyBorder="1" applyAlignment="1">
      <alignment vertical="center" wrapText="1" readingOrder="1"/>
    </xf>
    <xf numFmtId="0" fontId="25" fillId="11" borderId="41" xfId="0" applyFont="1" applyFill="1" applyBorder="1" applyAlignment="1">
      <alignment vertical="center" wrapText="1" readingOrder="1"/>
    </xf>
    <xf numFmtId="0" fontId="25" fillId="11" borderId="42" xfId="0" applyFont="1" applyFill="1" applyBorder="1" applyAlignment="1">
      <alignment vertical="center" wrapText="1" readingOrder="1"/>
    </xf>
    <xf numFmtId="0" fontId="10" fillId="11" borderId="21" xfId="3" applyFill="1" applyBorder="1" applyAlignment="1">
      <alignment vertical="center" wrapText="1" readingOrder="1"/>
    </xf>
    <xf numFmtId="0" fontId="10" fillId="11" borderId="41" xfId="3" applyFill="1" applyBorder="1" applyAlignment="1">
      <alignment vertical="center" wrapText="1" readingOrder="1"/>
    </xf>
    <xf numFmtId="0" fontId="10" fillId="11" borderId="42" xfId="3" applyFill="1" applyBorder="1" applyAlignment="1">
      <alignment vertical="center" wrapText="1" readingOrder="1"/>
    </xf>
    <xf numFmtId="0" fontId="4" fillId="11" borderId="21" xfId="0" applyFont="1" applyFill="1" applyBorder="1" applyAlignment="1">
      <alignment vertical="center" wrapText="1" readingOrder="1"/>
    </xf>
    <xf numFmtId="0" fontId="4" fillId="11" borderId="41" xfId="0" applyFont="1" applyFill="1" applyBorder="1" applyAlignment="1">
      <alignment vertical="center" wrapText="1" readingOrder="1"/>
    </xf>
    <xf numFmtId="0" fontId="4" fillId="11" borderId="42" xfId="0" applyFont="1" applyFill="1" applyBorder="1" applyAlignment="1">
      <alignment vertical="center" wrapText="1" readingOrder="1"/>
    </xf>
    <xf numFmtId="0" fontId="19" fillId="8" borderId="0" xfId="0" applyFont="1" applyFill="1" applyAlignment="1">
      <alignment horizontal="center" vertical="center" wrapText="1"/>
    </xf>
    <xf numFmtId="0" fontId="3"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1" fillId="18" borderId="1" xfId="10" applyBorder="1" applyAlignment="1">
      <alignment horizontal="left" vertical="center" wrapText="1"/>
    </xf>
    <xf numFmtId="0" fontId="1" fillId="16" borderId="1" xfId="8" applyBorder="1" applyAlignment="1">
      <alignment horizontal="center" vertical="center" wrapText="1"/>
    </xf>
    <xf numFmtId="0" fontId="0" fillId="17" borderId="1" xfId="9" applyFont="1" applyBorder="1" applyAlignment="1">
      <alignment horizontal="left" vertical="center" wrapText="1"/>
    </xf>
    <xf numFmtId="0" fontId="34" fillId="2" borderId="21" xfId="6" applyBorder="1" applyAlignment="1">
      <alignment vertical="center" wrapText="1"/>
    </xf>
    <xf numFmtId="0" fontId="1" fillId="15" borderId="0" xfId="7" applyAlignment="1">
      <alignment horizontal="left" vertical="top" wrapText="1"/>
    </xf>
    <xf numFmtId="0" fontId="0" fillId="18" borderId="1" xfId="10" applyFont="1" applyBorder="1" applyAlignment="1">
      <alignment horizontal="left" vertical="center" wrapText="1"/>
    </xf>
    <xf numFmtId="0" fontId="0" fillId="14" borderId="1" xfId="0" applyFill="1" applyBorder="1" applyAlignment="1">
      <alignment horizontal="left" vertical="center" wrapText="1"/>
    </xf>
    <xf numFmtId="0" fontId="22" fillId="4" borderId="1" xfId="0" applyFont="1" applyFill="1" applyBorder="1" applyAlignment="1">
      <alignment horizontal="left" vertical="center" wrapText="1"/>
    </xf>
    <xf numFmtId="0" fontId="8" fillId="2" borderId="21" xfId="6" applyFont="1" applyBorder="1" applyAlignment="1">
      <alignment vertical="center" wrapText="1"/>
    </xf>
    <xf numFmtId="0" fontId="8" fillId="2" borderId="1" xfId="6" applyFont="1" applyBorder="1" applyAlignment="1">
      <alignment horizontal="left" vertical="center" wrapText="1"/>
    </xf>
    <xf numFmtId="0" fontId="37" fillId="0" borderId="32" xfId="0" applyFont="1" applyBorder="1" applyAlignment="1">
      <alignment horizontal="center" vertical="center" wrapText="1"/>
    </xf>
    <xf numFmtId="0" fontId="37" fillId="0" borderId="39" xfId="0" applyFont="1" applyBorder="1" applyAlignment="1">
      <alignment horizontal="center" vertical="center" wrapText="1"/>
    </xf>
    <xf numFmtId="0" fontId="38" fillId="19" borderId="37" xfId="0" applyFont="1" applyFill="1" applyBorder="1" applyAlignment="1">
      <alignment horizontal="justify" vertical="center" wrapText="1"/>
    </xf>
    <xf numFmtId="0" fontId="39" fillId="19" borderId="37" xfId="0" applyFont="1" applyFill="1" applyBorder="1" applyAlignment="1">
      <alignment horizontal="justify" vertical="center" wrapText="1"/>
    </xf>
    <xf numFmtId="0" fontId="39" fillId="19" borderId="60" xfId="0" applyFont="1" applyFill="1" applyBorder="1" applyAlignment="1">
      <alignment horizontal="justify" vertical="center" wrapText="1"/>
    </xf>
    <xf numFmtId="0" fontId="41" fillId="19" borderId="37" xfId="0" applyFont="1" applyFill="1" applyBorder="1" applyAlignment="1">
      <alignment horizontal="justify" vertical="center" wrapText="1"/>
    </xf>
    <xf numFmtId="0" fontId="42" fillId="19" borderId="37" xfId="0" applyFont="1" applyFill="1" applyBorder="1" applyAlignment="1">
      <alignment horizontal="justify" vertical="center" wrapText="1"/>
    </xf>
    <xf numFmtId="0" fontId="38" fillId="10" borderId="60" xfId="0" applyFont="1" applyFill="1" applyBorder="1" applyAlignment="1">
      <alignment horizontal="justify" vertical="center" wrapText="1"/>
    </xf>
    <xf numFmtId="0" fontId="38" fillId="10" borderId="37" xfId="0" applyFont="1" applyFill="1" applyBorder="1" applyAlignment="1">
      <alignment horizontal="justify" vertical="center" wrapText="1"/>
    </xf>
    <xf numFmtId="0" fontId="39" fillId="10" borderId="37" xfId="0" applyFont="1" applyFill="1" applyBorder="1" applyAlignment="1">
      <alignment horizontal="justify" vertical="center" wrapText="1"/>
    </xf>
    <xf numFmtId="0" fontId="41" fillId="10" borderId="37" xfId="0" applyFont="1" applyFill="1" applyBorder="1" applyAlignment="1">
      <alignment horizontal="justify" vertical="center" wrapText="1"/>
    </xf>
    <xf numFmtId="0" fontId="41" fillId="10" borderId="60" xfId="0" applyFont="1" applyFill="1" applyBorder="1" applyAlignment="1">
      <alignment horizontal="justify" vertical="center" wrapText="1"/>
    </xf>
    <xf numFmtId="0" fontId="42" fillId="10" borderId="60" xfId="0" applyFont="1" applyFill="1" applyBorder="1" applyAlignment="1">
      <alignment horizontal="justify" vertical="center" wrapText="1"/>
    </xf>
    <xf numFmtId="0" fontId="39" fillId="10" borderId="59" xfId="0" applyFont="1" applyFill="1" applyBorder="1" applyAlignment="1">
      <alignment horizontal="center" vertical="center" wrapText="1"/>
    </xf>
    <xf numFmtId="0" fontId="39" fillId="10" borderId="60" xfId="0" applyFont="1" applyFill="1" applyBorder="1" applyAlignment="1">
      <alignment horizontal="justify" vertical="center" wrapText="1"/>
    </xf>
    <xf numFmtId="0" fontId="35" fillId="0" borderId="0" xfId="0" applyFont="1" applyAlignment="1">
      <alignment horizontal="justify" vertical="center" wrapText="1"/>
    </xf>
    <xf numFmtId="0" fontId="45" fillId="0" borderId="0" xfId="0" applyFont="1" applyAlignment="1">
      <alignment vertical="center" wrapText="1"/>
    </xf>
    <xf numFmtId="0" fontId="38" fillId="0" borderId="0" xfId="0" applyFont="1" applyAlignment="1">
      <alignment horizontal="left" vertical="center" wrapText="1"/>
    </xf>
    <xf numFmtId="0" fontId="38" fillId="0" borderId="0" xfId="0" applyFont="1" applyAlignment="1">
      <alignment vertical="center" wrapText="1"/>
    </xf>
    <xf numFmtId="0" fontId="0" fillId="14" borderId="21" xfId="0" applyFill="1" applyBorder="1" applyAlignment="1">
      <alignment vertical="center" wrapText="1"/>
    </xf>
    <xf numFmtId="0" fontId="0" fillId="14" borderId="42" xfId="0" applyFill="1" applyBorder="1" applyAlignment="1">
      <alignment vertical="center" wrapText="1"/>
    </xf>
    <xf numFmtId="0" fontId="13" fillId="0" borderId="52" xfId="0" applyFont="1" applyBorder="1" applyAlignment="1">
      <alignment horizontal="center" vertical="top" wrapText="1"/>
    </xf>
    <xf numFmtId="0" fontId="8" fillId="11" borderId="27" xfId="0" applyFont="1" applyFill="1" applyBorder="1" applyAlignment="1">
      <alignment vertical="center" wrapText="1"/>
    </xf>
    <xf numFmtId="0" fontId="8" fillId="11" borderId="40" xfId="0" applyFont="1" applyFill="1" applyBorder="1" applyAlignment="1">
      <alignment vertical="center" wrapText="1"/>
    </xf>
    <xf numFmtId="0" fontId="0" fillId="11" borderId="27" xfId="0" applyFill="1" applyBorder="1" applyAlignment="1">
      <alignment vertical="center" wrapText="1"/>
    </xf>
    <xf numFmtId="0" fontId="0" fillId="11" borderId="40" xfId="0" applyFill="1" applyBorder="1" applyAlignment="1">
      <alignment vertical="center" wrapText="1"/>
    </xf>
    <xf numFmtId="0" fontId="32" fillId="11" borderId="27" xfId="0" applyFont="1" applyFill="1" applyBorder="1" applyAlignment="1">
      <alignment vertical="center" wrapText="1"/>
    </xf>
    <xf numFmtId="0" fontId="32" fillId="11" borderId="40" xfId="0" applyFont="1" applyFill="1" applyBorder="1" applyAlignment="1">
      <alignment vertical="center" wrapText="1"/>
    </xf>
    <xf numFmtId="0" fontId="0" fillId="10" borderId="27" xfId="0" applyFill="1" applyBorder="1" applyAlignment="1">
      <alignment vertical="center" wrapText="1"/>
    </xf>
    <xf numFmtId="0" fontId="0" fillId="10" borderId="40" xfId="0" applyFill="1" applyBorder="1" applyAlignment="1">
      <alignment vertical="center" wrapText="1"/>
    </xf>
    <xf numFmtId="0" fontId="6" fillId="11" borderId="27" xfId="0" applyFont="1" applyFill="1" applyBorder="1" applyAlignment="1">
      <alignment vertical="center" wrapText="1"/>
    </xf>
    <xf numFmtId="0" fontId="6" fillId="11" borderId="40" xfId="0" applyFont="1" applyFill="1" applyBorder="1" applyAlignment="1">
      <alignment vertical="center" wrapText="1"/>
    </xf>
    <xf numFmtId="0" fontId="25" fillId="11" borderId="27" xfId="0" applyFont="1" applyFill="1" applyBorder="1" applyAlignment="1">
      <alignment vertical="center" wrapText="1"/>
    </xf>
    <xf numFmtId="0" fontId="25" fillId="11" borderId="40" xfId="0" applyFont="1" applyFill="1" applyBorder="1" applyAlignment="1">
      <alignment vertical="center" wrapText="1"/>
    </xf>
    <xf numFmtId="0" fontId="2" fillId="8" borderId="6" xfId="3" applyFont="1" applyFill="1" applyBorder="1" applyAlignment="1">
      <alignment horizontal="center" vertical="center" wrapText="1"/>
    </xf>
    <xf numFmtId="0" fontId="1" fillId="11" borderId="27" xfId="3" applyFont="1" applyFill="1" applyBorder="1" applyAlignment="1">
      <alignment vertical="center" wrapText="1"/>
    </xf>
    <xf numFmtId="0" fontId="1" fillId="11" borderId="40" xfId="3" applyFont="1" applyFill="1" applyBorder="1" applyAlignment="1">
      <alignment vertical="center" wrapText="1"/>
    </xf>
    <xf numFmtId="0" fontId="27" fillId="11" borderId="27" xfId="3" applyFont="1" applyFill="1" applyBorder="1" applyAlignment="1">
      <alignment vertical="center" wrapText="1"/>
    </xf>
    <xf numFmtId="0" fontId="27" fillId="11" borderId="40" xfId="3" applyFont="1" applyFill="1" applyBorder="1" applyAlignment="1">
      <alignment vertical="center" wrapText="1"/>
    </xf>
    <xf numFmtId="0" fontId="0" fillId="11" borderId="27" xfId="3" applyFont="1" applyFill="1" applyBorder="1" applyAlignment="1">
      <alignment vertical="center" wrapText="1"/>
    </xf>
    <xf numFmtId="0" fontId="0" fillId="11" borderId="40" xfId="3" applyFont="1" applyFill="1" applyBorder="1" applyAlignment="1">
      <alignment vertical="center" wrapText="1"/>
    </xf>
    <xf numFmtId="0" fontId="8" fillId="11" borderId="27" xfId="0" applyFont="1" applyFill="1" applyBorder="1" applyAlignment="1">
      <alignment vertical="center" wrapText="1" readingOrder="1"/>
    </xf>
    <xf numFmtId="0" fontId="8" fillId="11" borderId="40" xfId="0" applyFont="1" applyFill="1" applyBorder="1" applyAlignment="1">
      <alignment vertical="center" wrapText="1" readingOrder="1"/>
    </xf>
    <xf numFmtId="0" fontId="25" fillId="11" borderId="27" xfId="0" applyFont="1" applyFill="1" applyBorder="1" applyAlignment="1">
      <alignment vertical="center" wrapText="1" readingOrder="1"/>
    </xf>
    <xf numFmtId="0" fontId="25" fillId="11" borderId="40" xfId="0" applyFont="1" applyFill="1" applyBorder="1" applyAlignment="1">
      <alignment vertical="center" wrapText="1" readingOrder="1"/>
    </xf>
    <xf numFmtId="0" fontId="0" fillId="11" borderId="27" xfId="0" applyFill="1" applyBorder="1" applyAlignment="1">
      <alignment wrapText="1"/>
    </xf>
    <xf numFmtId="0" fontId="0" fillId="11" borderId="40" xfId="0" applyFill="1" applyBorder="1" applyAlignment="1">
      <alignment wrapText="1"/>
    </xf>
    <xf numFmtId="0" fontId="10" fillId="11" borderId="27" xfId="3" applyFill="1" applyBorder="1" applyAlignment="1">
      <alignment vertical="center" wrapText="1" readingOrder="1"/>
    </xf>
    <xf numFmtId="0" fontId="10" fillId="11" borderId="40" xfId="3" applyFill="1" applyBorder="1" applyAlignment="1">
      <alignment vertical="center" wrapText="1" readingOrder="1"/>
    </xf>
    <xf numFmtId="0" fontId="4" fillId="11" borderId="27" xfId="0" applyFont="1" applyFill="1" applyBorder="1" applyAlignment="1">
      <alignment vertical="center" wrapText="1" readingOrder="1"/>
    </xf>
    <xf numFmtId="0" fontId="4" fillId="11" borderId="40" xfId="0" applyFont="1" applyFill="1" applyBorder="1" applyAlignment="1">
      <alignment vertical="center" wrapText="1" readingOrder="1"/>
    </xf>
    <xf numFmtId="0" fontId="7" fillId="8" borderId="63" xfId="3" applyFont="1" applyFill="1" applyBorder="1" applyAlignment="1">
      <alignment horizontal="center" vertical="center" wrapText="1"/>
    </xf>
    <xf numFmtId="0" fontId="7" fillId="8" borderId="64" xfId="3" applyFont="1" applyFill="1" applyBorder="1" applyAlignment="1">
      <alignment horizontal="center" vertical="center" wrapText="1"/>
    </xf>
    <xf numFmtId="0" fontId="8" fillId="11" borderId="65" xfId="0" applyFont="1" applyFill="1" applyBorder="1" applyAlignment="1">
      <alignment vertical="center" wrapText="1"/>
    </xf>
    <xf numFmtId="0" fontId="8" fillId="11" borderId="66" xfId="0" applyFont="1" applyFill="1" applyBorder="1" applyAlignment="1">
      <alignment vertical="center" wrapText="1"/>
    </xf>
    <xf numFmtId="0" fontId="0" fillId="11" borderId="65" xfId="0" applyFill="1" applyBorder="1" applyAlignment="1">
      <alignment vertical="center" wrapText="1"/>
    </xf>
    <xf numFmtId="0" fontId="0" fillId="11" borderId="66" xfId="0" applyFill="1" applyBorder="1" applyAlignment="1">
      <alignment vertical="center" wrapText="1"/>
    </xf>
    <xf numFmtId="0" fontId="32" fillId="11" borderId="65" xfId="0" applyFont="1" applyFill="1" applyBorder="1" applyAlignment="1">
      <alignment vertical="center" wrapText="1"/>
    </xf>
    <xf numFmtId="0" fontId="32" fillId="11" borderId="66" xfId="0" applyFont="1" applyFill="1" applyBorder="1" applyAlignment="1">
      <alignment vertical="center" wrapText="1"/>
    </xf>
    <xf numFmtId="0" fontId="0" fillId="10" borderId="65" xfId="0" applyFill="1" applyBorder="1" applyAlignment="1">
      <alignment vertical="center" wrapText="1"/>
    </xf>
    <xf numFmtId="0" fontId="0" fillId="10" borderId="66" xfId="0" applyFill="1" applyBorder="1" applyAlignment="1">
      <alignment vertical="center" wrapText="1"/>
    </xf>
    <xf numFmtId="0" fontId="6" fillId="11" borderId="65" xfId="0" applyFont="1" applyFill="1" applyBorder="1" applyAlignment="1">
      <alignment vertical="center" wrapText="1"/>
    </xf>
    <xf numFmtId="0" fontId="6" fillId="11" borderId="66" xfId="0" applyFont="1" applyFill="1" applyBorder="1" applyAlignment="1">
      <alignment vertical="center" wrapText="1"/>
    </xf>
    <xf numFmtId="0" fontId="25" fillId="11" borderId="65" xfId="0" applyFont="1" applyFill="1" applyBorder="1" applyAlignment="1">
      <alignment vertical="center" wrapText="1"/>
    </xf>
    <xf numFmtId="0" fontId="25" fillId="11" borderId="66" xfId="0" applyFont="1" applyFill="1" applyBorder="1" applyAlignment="1">
      <alignment vertical="center" wrapText="1"/>
    </xf>
    <xf numFmtId="0" fontId="2" fillId="8" borderId="63" xfId="3" applyFont="1" applyFill="1" applyBorder="1" applyAlignment="1">
      <alignment horizontal="center" vertical="center" wrapText="1"/>
    </xf>
    <xf numFmtId="0" fontId="1" fillId="11" borderId="65" xfId="3" applyFont="1" applyFill="1" applyBorder="1" applyAlignment="1">
      <alignment vertical="center" wrapText="1"/>
    </xf>
    <xf numFmtId="0" fontId="1" fillId="11" borderId="66" xfId="3" applyFont="1" applyFill="1" applyBorder="1" applyAlignment="1">
      <alignment vertical="center" wrapText="1"/>
    </xf>
    <xf numFmtId="0" fontId="27" fillId="11" borderId="65" xfId="3" applyFont="1" applyFill="1" applyBorder="1" applyAlignment="1">
      <alignment vertical="center" wrapText="1"/>
    </xf>
    <xf numFmtId="0" fontId="27" fillId="11" borderId="66" xfId="3" applyFont="1" applyFill="1" applyBorder="1" applyAlignment="1">
      <alignment vertical="center" wrapText="1"/>
    </xf>
    <xf numFmtId="0" fontId="0" fillId="11" borderId="65" xfId="3" applyFont="1" applyFill="1" applyBorder="1" applyAlignment="1">
      <alignment vertical="center" wrapText="1"/>
    </xf>
    <xf numFmtId="0" fontId="0" fillId="11" borderId="66" xfId="3" applyFont="1" applyFill="1" applyBorder="1" applyAlignment="1">
      <alignment vertical="center" wrapText="1"/>
    </xf>
    <xf numFmtId="0" fontId="8" fillId="11" borderId="65" xfId="0" applyFont="1" applyFill="1" applyBorder="1" applyAlignment="1">
      <alignment vertical="center" wrapText="1" readingOrder="1"/>
    </xf>
    <xf numFmtId="0" fontId="8" fillId="11" borderId="66" xfId="0" applyFont="1" applyFill="1" applyBorder="1" applyAlignment="1">
      <alignment vertical="center" wrapText="1" readingOrder="1"/>
    </xf>
    <xf numFmtId="0" fontId="25" fillId="11" borderId="65" xfId="0" applyFont="1" applyFill="1" applyBorder="1" applyAlignment="1">
      <alignment vertical="center" wrapText="1" readingOrder="1"/>
    </xf>
    <xf numFmtId="0" fontId="25" fillId="11" borderId="66" xfId="0" applyFont="1" applyFill="1" applyBorder="1" applyAlignment="1">
      <alignment vertical="center" wrapText="1" readingOrder="1"/>
    </xf>
    <xf numFmtId="0" fontId="0" fillId="11" borderId="65" xfId="0" applyFill="1" applyBorder="1" applyAlignment="1">
      <alignment wrapText="1"/>
    </xf>
    <xf numFmtId="0" fontId="0" fillId="11" borderId="66" xfId="0" applyFill="1" applyBorder="1" applyAlignment="1">
      <alignment wrapText="1"/>
    </xf>
    <xf numFmtId="0" fontId="10" fillId="11" borderId="65" xfId="3" applyFill="1" applyBorder="1" applyAlignment="1">
      <alignment vertical="center" wrapText="1" readingOrder="1"/>
    </xf>
    <xf numFmtId="0" fontId="10" fillId="11" borderId="66" xfId="3" applyFill="1" applyBorder="1" applyAlignment="1">
      <alignment vertical="center" wrapText="1" readingOrder="1"/>
    </xf>
    <xf numFmtId="0" fontId="4" fillId="11" borderId="65" xfId="0" applyFont="1" applyFill="1" applyBorder="1" applyAlignment="1">
      <alignment vertical="center" wrapText="1" readingOrder="1"/>
    </xf>
    <xf numFmtId="0" fontId="4" fillId="11" borderId="66" xfId="0" applyFont="1" applyFill="1" applyBorder="1" applyAlignment="1">
      <alignment vertical="center" wrapText="1" readingOrder="1"/>
    </xf>
    <xf numFmtId="0" fontId="12" fillId="8" borderId="42" xfId="0" applyFont="1" applyFill="1" applyBorder="1" applyAlignment="1">
      <alignment horizontal="center" vertical="center" wrapText="1"/>
    </xf>
    <xf numFmtId="0" fontId="19" fillId="8" borderId="42" xfId="0" applyFont="1" applyFill="1" applyBorder="1" applyAlignment="1">
      <alignment horizontal="center" vertical="center" wrapText="1"/>
    </xf>
    <xf numFmtId="0" fontId="18" fillId="8" borderId="42" xfId="0" applyFont="1" applyFill="1" applyBorder="1" applyAlignment="1">
      <alignment horizontal="center" vertical="center" wrapText="1"/>
    </xf>
    <xf numFmtId="0" fontId="12" fillId="8" borderId="62" xfId="0" applyFont="1" applyFill="1" applyBorder="1" applyAlignment="1">
      <alignment horizontal="center" vertical="center" wrapText="1"/>
    </xf>
    <xf numFmtId="0" fontId="13" fillId="0" borderId="67" xfId="0" applyFont="1" applyBorder="1" applyAlignment="1">
      <alignment horizontal="center" vertical="top" wrapText="1"/>
    </xf>
    <xf numFmtId="0" fontId="13" fillId="0" borderId="68" xfId="0" applyFont="1" applyBorder="1" applyAlignment="1">
      <alignment horizontal="center" vertical="top" wrapText="1"/>
    </xf>
    <xf numFmtId="0" fontId="18" fillId="8" borderId="46" xfId="0" applyFont="1" applyFill="1" applyBorder="1" applyAlignment="1">
      <alignment horizontal="center" vertical="center" wrapText="1"/>
    </xf>
    <xf numFmtId="9" fontId="22" fillId="8" borderId="22" xfId="4" applyFont="1" applyFill="1" applyBorder="1" applyAlignment="1">
      <alignment horizontal="center" vertical="center" wrapText="1"/>
    </xf>
    <xf numFmtId="0" fontId="15" fillId="11" borderId="25" xfId="0" applyFont="1" applyFill="1" applyBorder="1" applyAlignment="1">
      <alignment wrapText="1"/>
    </xf>
    <xf numFmtId="0" fontId="5" fillId="11" borderId="25" xfId="0" applyFont="1" applyFill="1" applyBorder="1" applyAlignment="1">
      <alignment horizontal="left" vertical="center" wrapText="1" readingOrder="1"/>
    </xf>
    <xf numFmtId="0" fontId="15" fillId="11" borderId="12" xfId="0" applyFont="1" applyFill="1" applyBorder="1" applyAlignment="1">
      <alignment horizontal="center" vertical="center" wrapText="1"/>
    </xf>
    <xf numFmtId="0" fontId="2" fillId="0" borderId="8" xfId="0" applyFont="1" applyBorder="1" applyAlignment="1">
      <alignment horizontal="left" vertical="center" wrapText="1"/>
    </xf>
    <xf numFmtId="44" fontId="22" fillId="8" borderId="17" xfId="0" applyNumberFormat="1" applyFont="1" applyFill="1" applyBorder="1" applyAlignment="1">
      <alignment vertical="center" wrapText="1"/>
    </xf>
    <xf numFmtId="0" fontId="2" fillId="11" borderId="15" xfId="0" applyFont="1" applyFill="1" applyBorder="1" applyAlignment="1">
      <alignment horizontal="center" vertical="center" wrapText="1"/>
    </xf>
    <xf numFmtId="0" fontId="0" fillId="10" borderId="7" xfId="0" applyFill="1" applyBorder="1" applyAlignment="1">
      <alignment horizontal="center" vertical="center" wrapText="1"/>
    </xf>
    <xf numFmtId="0" fontId="2" fillId="0" borderId="8" xfId="0" applyFont="1" applyBorder="1" applyAlignment="1">
      <alignment horizontal="left" wrapText="1"/>
    </xf>
    <xf numFmtId="0" fontId="2" fillId="11" borderId="11" xfId="0" applyFont="1" applyFill="1" applyBorder="1" applyAlignment="1">
      <alignment horizontal="center" vertical="center" wrapText="1"/>
    </xf>
    <xf numFmtId="0" fontId="0" fillId="10" borderId="11" xfId="0" applyFill="1" applyBorder="1" applyAlignment="1">
      <alignment horizontal="center" vertical="center" wrapText="1"/>
    </xf>
    <xf numFmtId="0" fontId="0" fillId="10" borderId="9" xfId="0" applyFill="1" applyBorder="1" applyAlignment="1">
      <alignment horizontal="center" vertical="center" wrapText="1"/>
    </xf>
    <xf numFmtId="0" fontId="0" fillId="0" borderId="12" xfId="0" applyBorder="1" applyAlignment="1">
      <alignment vertical="top" wrapText="1"/>
    </xf>
    <xf numFmtId="0" fontId="0" fillId="20" borderId="1" xfId="0" applyFill="1" applyBorder="1" applyAlignment="1">
      <alignment horizontal="center" vertical="center" wrapText="1"/>
    </xf>
    <xf numFmtId="0" fontId="0" fillId="20" borderId="7" xfId="0" applyFill="1" applyBorder="1" applyAlignment="1">
      <alignment horizontal="center" vertical="center" wrapText="1"/>
    </xf>
    <xf numFmtId="0" fontId="0" fillId="20" borderId="11" xfId="0" applyFill="1" applyBorder="1" applyAlignment="1">
      <alignment horizontal="center" vertical="center" wrapText="1"/>
    </xf>
    <xf numFmtId="0" fontId="0" fillId="20" borderId="9" xfId="0" applyFill="1" applyBorder="1" applyAlignment="1">
      <alignment horizontal="center" vertical="center" wrapText="1"/>
    </xf>
    <xf numFmtId="0" fontId="0" fillId="20" borderId="32" xfId="0" applyFill="1" applyBorder="1" applyAlignment="1">
      <alignment horizontal="center" vertical="center" wrapText="1"/>
    </xf>
    <xf numFmtId="0" fontId="2" fillId="11" borderId="0" xfId="0" applyFont="1" applyFill="1" applyAlignment="1">
      <alignment wrapText="1"/>
    </xf>
    <xf numFmtId="0" fontId="2" fillId="10" borderId="0" xfId="0" applyFont="1" applyFill="1" applyAlignment="1">
      <alignment horizontal="center" vertical="center" wrapText="1"/>
    </xf>
    <xf numFmtId="0" fontId="17" fillId="21" borderId="39" xfId="0" applyFont="1" applyFill="1" applyBorder="1" applyAlignment="1">
      <alignment horizontal="center" vertical="center" wrapText="1"/>
    </xf>
    <xf numFmtId="0" fontId="2" fillId="0" borderId="22" xfId="0" applyFont="1" applyBorder="1" applyAlignment="1">
      <alignment vertical="center" wrapText="1"/>
    </xf>
    <xf numFmtId="0" fontId="2" fillId="0" borderId="16" xfId="0" applyFont="1" applyBorder="1" applyAlignment="1">
      <alignment horizontal="left" vertical="center" wrapText="1"/>
    </xf>
    <xf numFmtId="0" fontId="0" fillId="0" borderId="6" xfId="0" applyBorder="1" applyAlignment="1">
      <alignment horizontal="left" vertical="center" wrapText="1"/>
    </xf>
    <xf numFmtId="166" fontId="2" fillId="11" borderId="7" xfId="1" applyNumberFormat="1" applyFont="1" applyFill="1" applyBorder="1" applyAlignment="1">
      <alignment horizontal="right" vertical="center" wrapText="1"/>
    </xf>
    <xf numFmtId="166" fontId="2" fillId="11" borderId="17" xfId="1" applyNumberFormat="1" applyFont="1" applyFill="1" applyBorder="1" applyAlignment="1">
      <alignment horizontal="right" vertical="center" wrapText="1"/>
    </xf>
    <xf numFmtId="0" fontId="17" fillId="3" borderId="69" xfId="0" applyFont="1" applyFill="1" applyBorder="1" applyAlignment="1">
      <alignment vertical="center" wrapText="1"/>
    </xf>
    <xf numFmtId="0" fontId="17" fillId="11" borderId="70" xfId="0" applyFont="1" applyFill="1" applyBorder="1" applyAlignment="1">
      <alignment horizontal="center" vertical="center" wrapText="1"/>
    </xf>
    <xf numFmtId="0" fontId="17" fillId="3" borderId="25" xfId="0" applyFont="1" applyFill="1" applyBorder="1" applyAlignment="1">
      <alignment horizontal="center" vertical="center" wrapText="1"/>
    </xf>
    <xf numFmtId="165" fontId="2" fillId="10" borderId="17" xfId="1" applyNumberFormat="1" applyFont="1" applyFill="1" applyBorder="1" applyAlignment="1">
      <alignment horizontal="right" vertical="center" wrapText="1"/>
    </xf>
    <xf numFmtId="0" fontId="2" fillId="0" borderId="12" xfId="0" applyFont="1" applyBorder="1" applyAlignment="1">
      <alignment horizontal="left" wrapText="1" indent="1"/>
    </xf>
    <xf numFmtId="0" fontId="2" fillId="0" borderId="50" xfId="0" applyFont="1" applyBorder="1" applyAlignment="1">
      <alignment vertical="center" wrapText="1"/>
    </xf>
    <xf numFmtId="165" fontId="2" fillId="10" borderId="18" xfId="1" applyNumberFormat="1" applyFont="1" applyFill="1" applyBorder="1" applyAlignment="1">
      <alignment horizontal="right" vertical="center" wrapText="1"/>
    </xf>
    <xf numFmtId="165" fontId="2" fillId="10" borderId="14" xfId="1" applyNumberFormat="1" applyFont="1" applyFill="1" applyBorder="1" applyAlignment="1">
      <alignment horizontal="right" vertical="center" wrapText="1"/>
    </xf>
    <xf numFmtId="165" fontId="2" fillId="10" borderId="5" xfId="1" applyNumberFormat="1" applyFont="1" applyFill="1" applyBorder="1" applyAlignment="1">
      <alignment horizontal="right" vertical="center" wrapText="1"/>
    </xf>
    <xf numFmtId="165" fontId="2" fillId="10" borderId="7" xfId="1" applyNumberFormat="1" applyFont="1" applyFill="1" applyBorder="1" applyAlignment="1">
      <alignment horizontal="right" vertical="center" wrapText="1"/>
    </xf>
    <xf numFmtId="0" fontId="0" fillId="0" borderId="0" xfId="0" applyAlignment="1">
      <alignment vertical="top" wrapText="1"/>
    </xf>
    <xf numFmtId="0" fontId="0" fillId="0" borderId="14"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10" borderId="7" xfId="0" applyFill="1" applyBorder="1" applyAlignment="1">
      <alignment vertical="top" wrapText="1"/>
    </xf>
    <xf numFmtId="0" fontId="46" fillId="0" borderId="7" xfId="0" applyFont="1" applyBorder="1" applyAlignment="1">
      <alignment horizontal="left" vertical="top" wrapText="1"/>
    </xf>
    <xf numFmtId="0" fontId="46" fillId="0" borderId="9" xfId="0" applyFont="1" applyBorder="1" applyAlignment="1">
      <alignment horizontal="left" vertical="top" wrapText="1"/>
    </xf>
    <xf numFmtId="0" fontId="17" fillId="3" borderId="14" xfId="0" applyFont="1" applyFill="1" applyBorder="1" applyAlignment="1">
      <alignment horizontal="center" vertical="top" wrapText="1"/>
    </xf>
    <xf numFmtId="0" fontId="0" fillId="0" borderId="9" xfId="0" applyBorder="1" applyAlignment="1">
      <alignment vertical="top" wrapText="1"/>
    </xf>
    <xf numFmtId="0" fontId="16" fillId="4" borderId="69" xfId="0" applyFont="1" applyFill="1" applyBorder="1" applyAlignment="1">
      <alignment horizontal="left" vertical="center" wrapText="1"/>
    </xf>
    <xf numFmtId="0" fontId="0" fillId="0" borderId="70" xfId="0" applyBorder="1" applyAlignment="1">
      <alignment vertical="top" wrapText="1"/>
    </xf>
    <xf numFmtId="0" fontId="3" fillId="4" borderId="69"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0" fillId="10" borderId="9" xfId="0" applyFill="1" applyBorder="1" applyAlignment="1">
      <alignment vertical="top" wrapText="1"/>
    </xf>
    <xf numFmtId="0" fontId="46" fillId="0" borderId="5" xfId="0" applyFont="1" applyBorder="1" applyAlignment="1">
      <alignment horizontal="left" vertical="top" wrapText="1"/>
    </xf>
    <xf numFmtId="0" fontId="46" fillId="0" borderId="14" xfId="0" applyFont="1" applyBorder="1" applyAlignment="1">
      <alignment horizontal="left" vertical="top" wrapText="1"/>
    </xf>
    <xf numFmtId="0" fontId="46" fillId="0" borderId="70" xfId="0" applyFont="1" applyBorder="1" applyAlignment="1">
      <alignment horizontal="left" vertical="top" wrapText="1"/>
    </xf>
    <xf numFmtId="0" fontId="0" fillId="0" borderId="44" xfId="0" applyBorder="1" applyAlignment="1">
      <alignment vertical="top" wrapText="1"/>
    </xf>
    <xf numFmtId="0" fontId="0" fillId="0" borderId="24" xfId="0" applyBorder="1" applyAlignment="1">
      <alignment vertical="top" wrapText="1"/>
    </xf>
    <xf numFmtId="0" fontId="0" fillId="10" borderId="5" xfId="0" applyFill="1" applyBorder="1" applyAlignment="1">
      <alignment vertical="top" wrapText="1"/>
    </xf>
    <xf numFmtId="0" fontId="18" fillId="24" borderId="1" xfId="0" applyFont="1" applyFill="1" applyBorder="1" applyAlignment="1">
      <alignment horizontal="left" vertical="center" wrapText="1"/>
    </xf>
    <xf numFmtId="0" fontId="18" fillId="24" borderId="7" xfId="0" applyFont="1" applyFill="1" applyBorder="1" applyAlignment="1">
      <alignment horizontal="left" vertical="center" wrapText="1"/>
    </xf>
    <xf numFmtId="0" fontId="18" fillId="24" borderId="11" xfId="0" applyFont="1" applyFill="1" applyBorder="1" applyAlignment="1">
      <alignment horizontal="left" vertical="center" wrapText="1"/>
    </xf>
    <xf numFmtId="14" fontId="18" fillId="24" borderId="9" xfId="0" applyNumberFormat="1" applyFont="1" applyFill="1" applyBorder="1" applyAlignment="1">
      <alignment horizontal="left" vertical="center" wrapText="1"/>
    </xf>
    <xf numFmtId="0" fontId="49" fillId="24" borderId="40" xfId="0" applyFont="1" applyFill="1" applyBorder="1" applyAlignment="1">
      <alignment horizontal="left" vertical="center" wrapText="1"/>
    </xf>
    <xf numFmtId="0" fontId="0" fillId="0" borderId="0" xfId="0" applyAlignment="1">
      <alignment horizontal="center"/>
    </xf>
    <xf numFmtId="0" fontId="49" fillId="24" borderId="7" xfId="0" applyFont="1" applyFill="1" applyBorder="1" applyAlignment="1">
      <alignment horizontal="left" vertical="center" wrapText="1"/>
    </xf>
    <xf numFmtId="0" fontId="49" fillId="24" borderId="9" xfId="0" applyFont="1" applyFill="1" applyBorder="1" applyAlignment="1">
      <alignment horizontal="left" vertical="center" wrapText="1"/>
    </xf>
    <xf numFmtId="0" fontId="0" fillId="24" borderId="6" xfId="0" applyFill="1" applyBorder="1" applyAlignment="1">
      <alignment horizontal="left" vertical="center" wrapText="1"/>
    </xf>
    <xf numFmtId="0" fontId="0" fillId="24" borderId="1" xfId="0" applyFill="1" applyBorder="1" applyAlignment="1">
      <alignment horizontal="left" vertical="center" wrapText="1"/>
    </xf>
    <xf numFmtId="0" fontId="0" fillId="24" borderId="8" xfId="0" applyFill="1" applyBorder="1" applyAlignment="1">
      <alignment horizontal="left" vertical="center" wrapText="1"/>
    </xf>
    <xf numFmtId="0" fontId="0" fillId="24" borderId="11" xfId="0" applyFill="1" applyBorder="1" applyAlignment="1">
      <alignment horizontal="left" vertical="center" wrapText="1"/>
    </xf>
    <xf numFmtId="0" fontId="0" fillId="21" borderId="1" xfId="0" applyFill="1" applyBorder="1" applyAlignment="1">
      <alignment horizontal="left" vertical="center" wrapText="1"/>
    </xf>
    <xf numFmtId="0" fontId="53" fillId="21" borderId="1" xfId="0" applyFont="1" applyFill="1" applyBorder="1" applyAlignment="1">
      <alignment vertical="center" wrapText="1"/>
    </xf>
    <xf numFmtId="0" fontId="53" fillId="24" borderId="1" xfId="0" applyFont="1" applyFill="1" applyBorder="1" applyAlignment="1">
      <alignment vertical="center" wrapText="1"/>
    </xf>
    <xf numFmtId="0" fontId="53" fillId="24" borderId="11" xfId="0" applyFont="1" applyFill="1" applyBorder="1" applyAlignment="1">
      <alignment vertical="center" wrapText="1"/>
    </xf>
    <xf numFmtId="14" fontId="18" fillId="24" borderId="7" xfId="0" applyNumberFormat="1" applyFont="1" applyFill="1" applyBorder="1" applyAlignment="1">
      <alignment horizontal="left" vertical="center" wrapText="1"/>
    </xf>
    <xf numFmtId="0" fontId="53" fillId="21" borderId="1" xfId="0" applyFont="1" applyFill="1" applyBorder="1" applyAlignment="1">
      <alignment horizontal="left" vertical="center" wrapText="1"/>
    </xf>
    <xf numFmtId="0" fontId="18" fillId="24" borderId="9" xfId="0" applyFont="1" applyFill="1" applyBorder="1" applyAlignment="1">
      <alignment horizontal="left" vertical="center" wrapText="1"/>
    </xf>
    <xf numFmtId="0" fontId="49" fillId="24" borderId="47" xfId="0" applyFont="1" applyFill="1" applyBorder="1" applyAlignment="1">
      <alignment horizontal="left" vertical="center" wrapText="1"/>
    </xf>
    <xf numFmtId="0" fontId="50" fillId="0" borderId="0" xfId="0" applyFont="1" applyAlignment="1">
      <alignment horizontal="left" vertical="center"/>
    </xf>
    <xf numFmtId="0" fontId="51" fillId="0" borderId="0" xfId="0" applyFont="1" applyAlignment="1">
      <alignment horizontal="left" vertical="center"/>
    </xf>
    <xf numFmtId="0" fontId="2" fillId="21" borderId="15" xfId="0" applyFont="1" applyFill="1" applyBorder="1" applyAlignment="1">
      <alignment horizontal="center" vertical="center" wrapText="1"/>
    </xf>
    <xf numFmtId="0" fontId="2" fillId="24" borderId="15" xfId="0" applyFont="1" applyFill="1" applyBorder="1" applyAlignment="1">
      <alignment horizontal="center" vertical="center" wrapText="1"/>
    </xf>
    <xf numFmtId="0" fontId="0" fillId="24" borderId="9" xfId="0" applyFill="1" applyBorder="1" applyAlignment="1">
      <alignment horizontal="left" vertical="center" wrapText="1"/>
    </xf>
    <xf numFmtId="0" fontId="0" fillId="21" borderId="6" xfId="0" applyFill="1" applyBorder="1" applyAlignment="1">
      <alignment horizontal="left" vertical="center" wrapText="1" indent="2"/>
    </xf>
    <xf numFmtId="0" fontId="0" fillId="21" borderId="8" xfId="0" applyFill="1" applyBorder="1" applyAlignment="1">
      <alignment horizontal="left" vertical="center" wrapText="1" indent="2"/>
    </xf>
    <xf numFmtId="0" fontId="49" fillId="24" borderId="15" xfId="0" applyFont="1" applyFill="1" applyBorder="1" applyAlignment="1">
      <alignment horizontal="left" vertical="center" wrapText="1"/>
    </xf>
    <xf numFmtId="0" fontId="2" fillId="21" borderId="14" xfId="0" applyFont="1" applyFill="1" applyBorder="1" applyAlignment="1">
      <alignment horizontal="center" vertical="center" wrapText="1"/>
    </xf>
    <xf numFmtId="0" fontId="18" fillId="24" borderId="15" xfId="0" applyFont="1" applyFill="1" applyBorder="1" applyAlignment="1">
      <alignment horizontal="left" vertical="center" wrapText="1"/>
    </xf>
    <xf numFmtId="0" fontId="2" fillId="21" borderId="16"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18" fillId="24" borderId="3" xfId="0" applyFont="1" applyFill="1" applyBorder="1" applyAlignment="1">
      <alignment horizontal="left" vertical="center" wrapText="1"/>
    </xf>
    <xf numFmtId="0" fontId="0" fillId="24" borderId="15" xfId="0" applyFill="1" applyBorder="1" applyAlignment="1">
      <alignment horizontal="left" vertical="center" wrapText="1"/>
    </xf>
    <xf numFmtId="0" fontId="0" fillId="21" borderId="16" xfId="0" applyFill="1" applyBorder="1" applyAlignment="1">
      <alignment horizontal="left" vertical="center" wrapText="1" indent="2"/>
    </xf>
    <xf numFmtId="0" fontId="0" fillId="21" borderId="6" xfId="0" applyFill="1" applyBorder="1" applyAlignment="1">
      <alignment horizontal="left" vertical="center" wrapText="1" indent="6"/>
    </xf>
    <xf numFmtId="0" fontId="0" fillId="21" borderId="8" xfId="0" applyFill="1" applyBorder="1" applyAlignment="1">
      <alignment horizontal="left" vertical="center" wrapText="1" indent="6"/>
    </xf>
    <xf numFmtId="0" fontId="0" fillId="21" borderId="4" xfId="0" applyFill="1" applyBorder="1" applyAlignment="1">
      <alignment horizontal="left" vertical="center" wrapText="1" indent="6"/>
    </xf>
    <xf numFmtId="0" fontId="18" fillId="24" borderId="3" xfId="0" applyFont="1" applyFill="1" applyBorder="1" applyAlignment="1">
      <alignment vertical="center" wrapText="1"/>
    </xf>
    <xf numFmtId="0" fontId="4" fillId="11" borderId="3" xfId="0" applyFont="1" applyFill="1" applyBorder="1" applyAlignment="1">
      <alignment horizontal="left" vertical="center" wrapText="1" readingOrder="1"/>
    </xf>
    <xf numFmtId="0" fontId="28" fillId="5" borderId="1" xfId="0" applyFont="1" applyFill="1" applyBorder="1" applyAlignment="1">
      <alignment horizontal="left" vertical="center" wrapText="1" indent="1"/>
    </xf>
    <xf numFmtId="0" fontId="48" fillId="6" borderId="1" xfId="0" applyFont="1" applyFill="1" applyBorder="1" applyAlignment="1">
      <alignment horizontal="left" vertical="center" wrapText="1" indent="1"/>
    </xf>
    <xf numFmtId="0" fontId="48" fillId="5" borderId="1" xfId="0" applyFont="1" applyFill="1" applyBorder="1" applyAlignment="1">
      <alignment horizontal="left" vertical="center" wrapText="1" indent="1"/>
    </xf>
    <xf numFmtId="0" fontId="4" fillId="11" borderId="1" xfId="0" applyFont="1" applyFill="1" applyBorder="1" applyAlignment="1">
      <alignment horizontal="left" vertical="center" wrapText="1" readingOrder="1"/>
    </xf>
    <xf numFmtId="0" fontId="48" fillId="6" borderId="1" xfId="3" applyFont="1" applyFill="1" applyBorder="1" applyAlignment="1">
      <alignment horizontal="left" vertical="center" wrapText="1" indent="1"/>
    </xf>
    <xf numFmtId="0" fontId="28" fillId="6" borderId="1" xfId="0" applyFont="1" applyFill="1" applyBorder="1" applyAlignment="1">
      <alignment horizontal="left" vertical="center" wrapText="1" indent="1"/>
    </xf>
    <xf numFmtId="0" fontId="55" fillId="6" borderId="1" xfId="0" applyFont="1" applyFill="1" applyBorder="1" applyAlignment="1">
      <alignment horizontal="left" vertical="center" wrapText="1" indent="1" readingOrder="1"/>
    </xf>
    <xf numFmtId="0" fontId="0" fillId="6" borderId="1" xfId="0" applyFill="1" applyBorder="1" applyAlignment="1">
      <alignment horizontal="left" vertical="center" wrapText="1"/>
    </xf>
    <xf numFmtId="0" fontId="56" fillId="11" borderId="56" xfId="0" applyFont="1" applyFill="1" applyBorder="1" applyAlignment="1">
      <alignment wrapText="1"/>
    </xf>
    <xf numFmtId="0" fontId="4" fillId="11" borderId="10" xfId="0" applyFont="1" applyFill="1" applyBorder="1" applyAlignment="1">
      <alignment horizontal="left" vertical="center" wrapText="1" readingOrder="1"/>
    </xf>
    <xf numFmtId="0" fontId="0" fillId="21" borderId="22" xfId="0" applyFill="1" applyBorder="1" applyAlignment="1">
      <alignment horizontal="left" vertical="center" wrapText="1" indent="2"/>
    </xf>
    <xf numFmtId="0" fontId="2" fillId="21" borderId="53" xfId="0" applyFont="1" applyFill="1" applyBorder="1" applyAlignment="1">
      <alignment horizontal="center" vertical="center" wrapText="1"/>
    </xf>
    <xf numFmtId="0" fontId="0" fillId="0" borderId="4" xfId="0" applyBorder="1" applyAlignment="1">
      <alignment wrapText="1"/>
    </xf>
    <xf numFmtId="0" fontId="0" fillId="0" borderId="5" xfId="0" applyBorder="1"/>
    <xf numFmtId="0" fontId="0" fillId="0" borderId="7" xfId="0" applyBorder="1"/>
    <xf numFmtId="0" fontId="0" fillId="0" borderId="9" xfId="0" applyBorder="1"/>
    <xf numFmtId="0" fontId="2" fillId="0" borderId="12" xfId="0" applyFont="1" applyBorder="1" applyAlignment="1">
      <alignment wrapText="1"/>
    </xf>
    <xf numFmtId="0" fontId="2" fillId="0" borderId="14" xfId="0" applyFont="1" applyBorder="1"/>
    <xf numFmtId="0" fontId="51" fillId="0" borderId="0" xfId="0" applyFont="1" applyAlignment="1">
      <alignment horizontal="left" vertical="center" wrapText="1"/>
    </xf>
    <xf numFmtId="0" fontId="50" fillId="0" borderId="0" xfId="0" applyFont="1" applyAlignment="1">
      <alignment horizontal="left" vertical="center" wrapText="1"/>
    </xf>
    <xf numFmtId="0" fontId="51" fillId="0" borderId="0" xfId="0" applyFont="1" applyAlignment="1">
      <alignment vertical="center"/>
    </xf>
    <xf numFmtId="0" fontId="0" fillId="21" borderId="3" xfId="0" applyFill="1" applyBorder="1" applyAlignment="1">
      <alignment horizontal="left" vertical="center" wrapText="1" indent="4"/>
    </xf>
    <xf numFmtId="0" fontId="2" fillId="0" borderId="12" xfId="0" applyFont="1" applyBorder="1" applyAlignment="1">
      <alignment horizontal="left" vertical="center" wrapText="1"/>
    </xf>
    <xf numFmtId="44" fontId="2" fillId="11" borderId="14" xfId="2" applyFont="1" applyFill="1" applyBorder="1" applyAlignment="1">
      <alignment horizontal="right" vertical="center" wrapText="1"/>
    </xf>
    <xf numFmtId="0" fontId="58" fillId="0" borderId="1" xfId="0" applyFont="1" applyBorder="1" applyAlignment="1">
      <alignment horizontal="left" vertical="center" wrapText="1"/>
    </xf>
    <xf numFmtId="0" fontId="58" fillId="10" borderId="1" xfId="0" applyFont="1" applyFill="1" applyBorder="1" applyAlignment="1">
      <alignment horizontal="left" vertical="center" wrapText="1"/>
    </xf>
    <xf numFmtId="0" fontId="57" fillId="25" borderId="1" xfId="0" applyFont="1" applyFill="1" applyBorder="1" applyAlignment="1">
      <alignment horizontal="center" vertical="center" wrapText="1"/>
    </xf>
    <xf numFmtId="0" fontId="17" fillId="3" borderId="61"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59" fillId="0" borderId="0" xfId="0" applyFont="1"/>
    <xf numFmtId="0" fontId="59" fillId="0" borderId="0" xfId="0" applyFont="1" applyAlignment="1">
      <alignment vertical="center"/>
    </xf>
    <xf numFmtId="0" fontId="59" fillId="27" borderId="0" xfId="0" applyFont="1" applyFill="1" applyAlignment="1">
      <alignment horizontal="center" vertical="center" wrapText="1"/>
    </xf>
    <xf numFmtId="0" fontId="59" fillId="28" borderId="0" xfId="0" applyFont="1" applyFill="1" applyAlignment="1">
      <alignment horizontal="center" vertical="center" wrapText="1"/>
    </xf>
    <xf numFmtId="0" fontId="62" fillId="0" borderId="0" xfId="0" applyFont="1" applyAlignment="1">
      <alignment horizontal="center"/>
    </xf>
    <xf numFmtId="0" fontId="63" fillId="26" borderId="1" xfId="0" applyFont="1" applyFill="1" applyBorder="1" applyAlignment="1">
      <alignment horizontal="center" vertical="center"/>
    </xf>
    <xf numFmtId="0" fontId="63" fillId="26" borderId="1" xfId="0" applyFont="1" applyFill="1" applyBorder="1" applyAlignment="1">
      <alignment horizontal="center" vertical="center" wrapText="1"/>
    </xf>
    <xf numFmtId="0" fontId="62" fillId="0" borderId="0" xfId="0" applyFont="1" applyAlignment="1">
      <alignment horizontal="center" vertical="center"/>
    </xf>
    <xf numFmtId="0" fontId="44" fillId="0" borderId="0" xfId="0" applyFont="1" applyAlignment="1">
      <alignment horizontal="center" vertical="center" wrapText="1"/>
    </xf>
    <xf numFmtId="0" fontId="44" fillId="29" borderId="0" xfId="0" applyFont="1" applyFill="1" applyAlignment="1">
      <alignment horizontal="center" vertical="center" wrapText="1"/>
    </xf>
    <xf numFmtId="0" fontId="65" fillId="26" borderId="1" xfId="0" applyFont="1" applyFill="1" applyBorder="1" applyAlignment="1">
      <alignment horizontal="center" vertical="center" wrapText="1"/>
    </xf>
    <xf numFmtId="0" fontId="66" fillId="26" borderId="1" xfId="0" applyFont="1" applyFill="1" applyBorder="1" applyAlignment="1">
      <alignment horizontal="left" vertical="center" wrapText="1"/>
    </xf>
    <xf numFmtId="0" fontId="44" fillId="0" borderId="0" xfId="0" applyFont="1"/>
    <xf numFmtId="0" fontId="68" fillId="8" borderId="1" xfId="0" applyFont="1" applyFill="1" applyBorder="1" applyAlignment="1">
      <alignment horizontal="left" vertical="center" wrapText="1"/>
    </xf>
    <xf numFmtId="0" fontId="65" fillId="8" borderId="1" xfId="0" applyFont="1" applyFill="1" applyBorder="1" applyAlignment="1">
      <alignment horizontal="left" vertical="center" wrapText="1"/>
    </xf>
    <xf numFmtId="3" fontId="65" fillId="0" borderId="1" xfId="0" applyNumberFormat="1" applyFont="1" applyBorder="1" applyAlignment="1">
      <alignment vertical="center" wrapText="1"/>
    </xf>
    <xf numFmtId="49" fontId="68" fillId="0" borderId="1" xfId="0" applyNumberFormat="1" applyFont="1" applyBorder="1" applyAlignment="1" applyProtection="1">
      <alignment horizontal="center" vertical="center"/>
      <protection hidden="1"/>
    </xf>
    <xf numFmtId="0" fontId="44" fillId="0" borderId="0" xfId="0" applyFont="1" applyAlignment="1">
      <alignment vertical="center"/>
    </xf>
    <xf numFmtId="3" fontId="70" fillId="27" borderId="1" xfId="0" applyNumberFormat="1" applyFont="1" applyFill="1" applyBorder="1" applyAlignment="1">
      <alignment vertical="center" wrapText="1"/>
    </xf>
    <xf numFmtId="3" fontId="71" fillId="0" borderId="0" xfId="0" applyNumberFormat="1" applyFont="1" applyAlignment="1">
      <alignment vertical="center" wrapText="1"/>
    </xf>
    <xf numFmtId="0" fontId="44" fillId="0" borderId="0" xfId="0" applyFont="1" applyAlignment="1">
      <alignment horizontal="center" vertical="center"/>
    </xf>
    <xf numFmtId="0" fontId="44" fillId="27" borderId="0" xfId="0" applyFont="1" applyFill="1" applyAlignment="1">
      <alignment horizontal="center" vertical="center"/>
    </xf>
    <xf numFmtId="3" fontId="71" fillId="0" borderId="1" xfId="0" applyNumberFormat="1" applyFont="1" applyBorder="1" applyAlignment="1">
      <alignment vertical="center" wrapText="1"/>
    </xf>
    <xf numFmtId="0" fontId="44" fillId="27" borderId="0" xfId="0" applyFont="1" applyFill="1" applyAlignment="1">
      <alignment vertical="center"/>
    </xf>
    <xf numFmtId="3" fontId="65" fillId="8" borderId="1" xfId="0" applyNumberFormat="1" applyFont="1" applyFill="1" applyBorder="1" applyAlignment="1">
      <alignment vertical="center" wrapText="1"/>
    </xf>
    <xf numFmtId="0" fontId="72" fillId="0" borderId="0" xfId="0" applyFont="1" applyAlignment="1">
      <alignment vertical="center"/>
    </xf>
    <xf numFmtId="0" fontId="68" fillId="8" borderId="42" xfId="0" applyFont="1" applyFill="1" applyBorder="1" applyAlignment="1">
      <alignment horizontal="left" vertical="center" wrapText="1"/>
    </xf>
    <xf numFmtId="3" fontId="65" fillId="8" borderId="21" xfId="0" applyNumberFormat="1" applyFont="1" applyFill="1" applyBorder="1" applyAlignment="1">
      <alignment vertical="center" wrapText="1"/>
    </xf>
    <xf numFmtId="49" fontId="68" fillId="8" borderId="21" xfId="0" applyNumberFormat="1" applyFont="1" applyFill="1" applyBorder="1" applyAlignment="1">
      <alignment horizontal="center" vertical="center" wrapText="1"/>
    </xf>
    <xf numFmtId="0" fontId="68" fillId="10" borderId="42" xfId="0" applyFont="1" applyFill="1" applyBorder="1" applyAlignment="1">
      <alignment horizontal="left" vertical="center" wrapText="1"/>
    </xf>
    <xf numFmtId="3" fontId="65" fillId="10" borderId="21" xfId="0" applyNumberFormat="1" applyFont="1" applyFill="1" applyBorder="1" applyAlignment="1">
      <alignment vertical="center" wrapText="1"/>
    </xf>
    <xf numFmtId="49" fontId="68" fillId="10" borderId="21" xfId="0" applyNumberFormat="1" applyFont="1" applyFill="1" applyBorder="1" applyAlignment="1">
      <alignment horizontal="center" vertical="center" wrapText="1"/>
    </xf>
    <xf numFmtId="0" fontId="44" fillId="27" borderId="1" xfId="0" applyFont="1" applyFill="1" applyBorder="1" applyAlignment="1">
      <alignment horizontal="center" vertical="center"/>
    </xf>
    <xf numFmtId="0" fontId="65" fillId="0" borderId="42" xfId="0" applyFont="1" applyBorder="1" applyAlignment="1">
      <alignment horizontal="left" vertical="center" wrapText="1"/>
    </xf>
    <xf numFmtId="0" fontId="68" fillId="8" borderId="79" xfId="0" applyFont="1" applyFill="1" applyBorder="1" applyAlignment="1">
      <alignment horizontal="left" vertical="center" wrapText="1"/>
    </xf>
    <xf numFmtId="3" fontId="68" fillId="8" borderId="21" xfId="0" applyNumberFormat="1" applyFont="1" applyFill="1" applyBorder="1" applyAlignment="1">
      <alignment horizontal="right" vertical="center" wrapText="1"/>
    </xf>
    <xf numFmtId="49" fontId="68" fillId="8" borderId="1" xfId="0" applyNumberFormat="1" applyFont="1" applyFill="1" applyBorder="1" applyAlignment="1">
      <alignment horizontal="center" vertical="center" wrapText="1"/>
    </xf>
    <xf numFmtId="3" fontId="70" fillId="0" borderId="0" xfId="0" applyNumberFormat="1" applyFont="1" applyAlignment="1">
      <alignment horizontal="right" vertical="center" wrapText="1"/>
    </xf>
    <xf numFmtId="3" fontId="68" fillId="0" borderId="1" xfId="0" applyNumberFormat="1" applyFont="1" applyBorder="1" applyAlignment="1">
      <alignment horizontal="right" vertical="center"/>
    </xf>
    <xf numFmtId="49" fontId="68" fillId="0" borderId="0" xfId="0" applyNumberFormat="1" applyFont="1" applyAlignment="1" applyProtection="1">
      <alignment horizontal="center" vertical="center"/>
      <protection hidden="1"/>
    </xf>
    <xf numFmtId="3" fontId="70" fillId="0" borderId="0" xfId="0" applyNumberFormat="1" applyFont="1" applyAlignment="1">
      <alignment horizontal="right" vertical="center"/>
    </xf>
    <xf numFmtId="0" fontId="68" fillId="0" borderId="1" xfId="0" applyFont="1" applyBorder="1" applyAlignment="1">
      <alignment horizontal="left" vertical="center" wrapText="1"/>
    </xf>
    <xf numFmtId="3" fontId="44" fillId="0" borderId="0" xfId="0" applyNumberFormat="1" applyFont="1" applyAlignment="1">
      <alignment vertical="center"/>
    </xf>
    <xf numFmtId="3" fontId="68" fillId="8" borderId="21" xfId="0" applyNumberFormat="1" applyFont="1" applyFill="1" applyBorder="1" applyAlignment="1">
      <alignment vertical="center" wrapText="1"/>
    </xf>
    <xf numFmtId="3" fontId="68" fillId="8" borderId="21" xfId="0" applyNumberFormat="1" applyFont="1" applyFill="1" applyBorder="1" applyAlignment="1">
      <alignment horizontal="center" vertical="center" wrapText="1"/>
    </xf>
    <xf numFmtId="3" fontId="70" fillId="0" borderId="0" xfId="0" applyNumberFormat="1" applyFont="1" applyAlignment="1">
      <alignment vertical="center" wrapText="1"/>
    </xf>
    <xf numFmtId="0" fontId="74" fillId="4" borderId="1" xfId="0" applyFont="1" applyFill="1" applyBorder="1" applyAlignment="1">
      <alignment vertical="center" wrapText="1"/>
    </xf>
    <xf numFmtId="0" fontId="59" fillId="27" borderId="0" xfId="0" applyFont="1" applyFill="1" applyAlignment="1">
      <alignment horizontal="center" wrapText="1"/>
    </xf>
    <xf numFmtId="3" fontId="68" fillId="8" borderId="1" xfId="0" applyNumberFormat="1" applyFont="1" applyFill="1" applyBorder="1" applyAlignment="1">
      <alignment vertical="center" wrapText="1"/>
    </xf>
    <xf numFmtId="0" fontId="65" fillId="30" borderId="1" xfId="0" applyFont="1" applyFill="1" applyBorder="1" applyAlignment="1">
      <alignment horizontal="left" vertical="center" wrapText="1"/>
    </xf>
    <xf numFmtId="3" fontId="59" fillId="8" borderId="21" xfId="0" applyNumberFormat="1" applyFont="1" applyFill="1" applyBorder="1" applyAlignment="1">
      <alignment horizontal="right" vertical="center" wrapText="1"/>
    </xf>
    <xf numFmtId="3" fontId="68" fillId="8" borderId="1" xfId="0" applyNumberFormat="1" applyFont="1" applyFill="1" applyBorder="1" applyAlignment="1">
      <alignment horizontal="center" vertical="center" wrapText="1"/>
    </xf>
    <xf numFmtId="0" fontId="59" fillId="10" borderId="0" xfId="0" applyFont="1" applyFill="1" applyAlignment="1">
      <alignment vertical="center"/>
    </xf>
    <xf numFmtId="0" fontId="59" fillId="27" borderId="0" xfId="0" applyFont="1" applyFill="1" applyAlignment="1">
      <alignment vertical="center"/>
    </xf>
    <xf numFmtId="0" fontId="59" fillId="0" borderId="1" xfId="0" applyFont="1" applyBorder="1"/>
    <xf numFmtId="0" fontId="68" fillId="10" borderId="1" xfId="0" applyFont="1" applyFill="1" applyBorder="1" applyAlignment="1">
      <alignment horizontal="left" vertical="center" wrapText="1"/>
    </xf>
    <xf numFmtId="3" fontId="78" fillId="10" borderId="21" xfId="0" applyNumberFormat="1" applyFont="1" applyFill="1" applyBorder="1" applyAlignment="1">
      <alignment horizontal="right" vertical="center" wrapText="1"/>
    </xf>
    <xf numFmtId="49" fontId="68" fillId="0" borderId="0" xfId="0" applyNumberFormat="1" applyFont="1" applyAlignment="1" applyProtection="1">
      <alignment horizontal="center" vertical="top"/>
      <protection hidden="1"/>
    </xf>
    <xf numFmtId="49" fontId="68" fillId="0" borderId="1" xfId="0" applyNumberFormat="1" applyFont="1" applyBorder="1" applyAlignment="1" applyProtection="1">
      <alignment horizontal="center" vertical="top"/>
      <protection hidden="1"/>
    </xf>
    <xf numFmtId="3" fontId="68" fillId="0" borderId="1" xfId="0" applyNumberFormat="1" applyFont="1" applyBorder="1" applyAlignment="1">
      <alignment horizontal="right"/>
    </xf>
    <xf numFmtId="1" fontId="68" fillId="0" borderId="1" xfId="0" applyNumberFormat="1" applyFont="1" applyBorder="1" applyAlignment="1" applyProtection="1">
      <alignment horizontal="center" vertical="top"/>
      <protection hidden="1"/>
    </xf>
    <xf numFmtId="0" fontId="70" fillId="8" borderId="1" xfId="0" applyFont="1" applyFill="1" applyBorder="1" applyAlignment="1">
      <alignment horizontal="left" vertical="center" wrapText="1"/>
    </xf>
    <xf numFmtId="3" fontId="70" fillId="0" borderId="1" xfId="0" applyNumberFormat="1" applyFont="1" applyBorder="1" applyAlignment="1">
      <alignment horizontal="right"/>
    </xf>
    <xf numFmtId="49" fontId="68" fillId="0" borderId="0" xfId="0" applyNumberFormat="1" applyFont="1" applyAlignment="1" applyProtection="1">
      <alignment horizontal="left" vertical="top"/>
      <protection hidden="1"/>
    </xf>
    <xf numFmtId="0" fontId="80" fillId="0" borderId="0" xfId="0" applyFont="1"/>
    <xf numFmtId="0" fontId="81" fillId="8" borderId="1" xfId="0" applyFont="1" applyFill="1" applyBorder="1" applyAlignment="1">
      <alignment vertical="center" wrapText="1"/>
    </xf>
    <xf numFmtId="0" fontId="70" fillId="8" borderId="1" xfId="0" applyFont="1" applyFill="1" applyBorder="1" applyAlignment="1">
      <alignment vertical="center" wrapText="1"/>
    </xf>
    <xf numFmtId="0" fontId="84" fillId="8" borderId="1" xfId="0" applyFont="1" applyFill="1" applyBorder="1" applyAlignment="1">
      <alignment vertical="center" wrapText="1"/>
    </xf>
    <xf numFmtId="0" fontId="71" fillId="26" borderId="1" xfId="0" applyFont="1" applyFill="1" applyBorder="1" applyAlignment="1">
      <alignment horizontal="center" vertical="center" wrapText="1"/>
    </xf>
    <xf numFmtId="0" fontId="44" fillId="27" borderId="0" xfId="0" applyFont="1" applyFill="1" applyAlignment="1">
      <alignment horizontal="center" vertical="center" wrapText="1"/>
    </xf>
    <xf numFmtId="3" fontId="71" fillId="0" borderId="1" xfId="0" applyNumberFormat="1" applyFont="1" applyBorder="1" applyAlignment="1">
      <alignment horizontal="right" vertical="center"/>
    </xf>
    <xf numFmtId="3" fontId="71" fillId="0" borderId="1" xfId="0" applyNumberFormat="1" applyFont="1" applyBorder="1" applyAlignment="1">
      <alignment horizontal="center" vertical="center"/>
    </xf>
    <xf numFmtId="3" fontId="65" fillId="0" borderId="1" xfId="0" applyNumberFormat="1" applyFont="1" applyBorder="1" applyAlignment="1">
      <alignment horizontal="right" vertical="center"/>
    </xf>
    <xf numFmtId="3" fontId="68" fillId="0" borderId="1" xfId="0" applyNumberFormat="1" applyFont="1" applyBorder="1" applyAlignment="1">
      <alignment horizontal="center" vertical="center"/>
    </xf>
    <xf numFmtId="49" fontId="68" fillId="0" borderId="0" xfId="0" applyNumberFormat="1" applyFont="1" applyAlignment="1" applyProtection="1">
      <alignment vertical="top"/>
      <protection hidden="1"/>
    </xf>
    <xf numFmtId="3" fontId="70" fillId="0" borderId="2" xfId="0" applyNumberFormat="1" applyFont="1" applyBorder="1" applyAlignment="1">
      <alignment horizontal="right" vertical="center"/>
    </xf>
    <xf numFmtId="1" fontId="70" fillId="0" borderId="1" xfId="0" applyNumberFormat="1" applyFont="1" applyBorder="1" applyAlignment="1">
      <alignment horizontal="center" vertical="center"/>
    </xf>
    <xf numFmtId="3" fontId="70" fillId="0" borderId="1" xfId="0" applyNumberFormat="1" applyFont="1" applyBorder="1" applyAlignment="1">
      <alignment horizontal="right" vertical="center"/>
    </xf>
    <xf numFmtId="3" fontId="71" fillId="8" borderId="1" xfId="0" applyNumberFormat="1" applyFont="1" applyFill="1" applyBorder="1" applyAlignment="1">
      <alignment horizontal="right" vertical="center"/>
    </xf>
    <xf numFmtId="0" fontId="87" fillId="0" borderId="1" xfId="0" applyFont="1" applyBorder="1" applyAlignment="1">
      <alignment horizontal="left" vertical="center" wrapText="1"/>
    </xf>
    <xf numFmtId="3" fontId="65" fillId="0" borderId="1" xfId="0" applyNumberFormat="1" applyFont="1" applyBorder="1" applyAlignment="1">
      <alignment horizontal="center" vertical="center"/>
    </xf>
    <xf numFmtId="3" fontId="70" fillId="8" borderId="2" xfId="0" applyNumberFormat="1" applyFont="1" applyFill="1" applyBorder="1" applyAlignment="1">
      <alignment horizontal="right" vertical="center"/>
    </xf>
    <xf numFmtId="1" fontId="68" fillId="0" borderId="1" xfId="0" applyNumberFormat="1" applyFont="1" applyBorder="1" applyAlignment="1">
      <alignment horizontal="center" vertical="center"/>
    </xf>
    <xf numFmtId="3" fontId="70" fillId="0" borderId="1" xfId="0" applyNumberFormat="1" applyFont="1" applyBorder="1" applyAlignment="1">
      <alignment horizontal="center" vertical="center"/>
    </xf>
    <xf numFmtId="0" fontId="77" fillId="0" borderId="1" xfId="0" applyFont="1" applyBorder="1" applyAlignment="1">
      <alignment horizontal="left" vertical="center" wrapText="1"/>
    </xf>
    <xf numFmtId="3" fontId="89" fillId="8" borderId="1" xfId="0" applyNumberFormat="1" applyFont="1" applyFill="1" applyBorder="1" applyAlignment="1">
      <alignment horizontal="right" vertical="center"/>
    </xf>
    <xf numFmtId="0" fontId="89" fillId="0" borderId="1" xfId="0" applyFont="1" applyBorder="1" applyAlignment="1">
      <alignment horizontal="center" vertical="center"/>
    </xf>
    <xf numFmtId="0" fontId="59" fillId="31" borderId="0" xfId="0" applyFont="1" applyFill="1" applyAlignment="1">
      <alignment vertical="center" wrapText="1"/>
    </xf>
    <xf numFmtId="0" fontId="68" fillId="8" borderId="1" xfId="0" applyFont="1" applyFill="1" applyBorder="1" applyAlignment="1">
      <alignment horizontal="left" vertical="center" wrapText="1" indent="2"/>
    </xf>
    <xf numFmtId="0" fontId="77" fillId="28" borderId="1" xfId="0" applyFont="1" applyFill="1" applyBorder="1" applyAlignment="1">
      <alignment horizontal="left" vertical="center" wrapText="1"/>
    </xf>
    <xf numFmtId="3" fontId="77" fillId="28" borderId="1" xfId="0" applyNumberFormat="1" applyFont="1" applyFill="1" applyBorder="1" applyAlignment="1">
      <alignment horizontal="right" vertical="center" wrapText="1"/>
    </xf>
    <xf numFmtId="0" fontId="68" fillId="28" borderId="1" xfId="0" applyFont="1" applyFill="1" applyBorder="1" applyAlignment="1">
      <alignment horizontal="left" vertical="center" wrapText="1" indent="2"/>
    </xf>
    <xf numFmtId="3" fontId="70" fillId="28" borderId="1" xfId="0" applyNumberFormat="1" applyFont="1" applyFill="1" applyBorder="1" applyAlignment="1">
      <alignment horizontal="right"/>
    </xf>
    <xf numFmtId="0" fontId="66" fillId="26" borderId="1" xfId="0" applyFont="1" applyFill="1" applyBorder="1" applyAlignment="1">
      <alignment vertical="center" wrapText="1"/>
    </xf>
    <xf numFmtId="0" fontId="77" fillId="8" borderId="1" xfId="0" applyFont="1" applyFill="1" applyBorder="1" applyAlignment="1">
      <alignment horizontal="left" vertical="center" wrapText="1"/>
    </xf>
    <xf numFmtId="3" fontId="88" fillId="28" borderId="1" xfId="0" applyNumberFormat="1" applyFont="1" applyFill="1" applyBorder="1" applyAlignment="1">
      <alignment horizontal="left" vertical="center" wrapText="1"/>
    </xf>
    <xf numFmtId="0" fontId="70" fillId="10" borderId="1" xfId="0" applyFont="1" applyFill="1" applyBorder="1" applyAlignment="1">
      <alignment horizontal="left" vertical="center" wrapText="1"/>
    </xf>
    <xf numFmtId="0" fontId="94" fillId="8" borderId="42" xfId="0" applyFont="1" applyFill="1" applyBorder="1" applyAlignment="1">
      <alignment horizontal="left" vertical="center" wrapText="1"/>
    </xf>
    <xf numFmtId="0" fontId="65" fillId="30" borderId="21" xfId="0" applyFont="1" applyFill="1" applyBorder="1" applyAlignment="1">
      <alignment vertical="center" wrapText="1"/>
    </xf>
    <xf numFmtId="0" fontId="65" fillId="30" borderId="41" xfId="0" applyFont="1" applyFill="1" applyBorder="1" applyAlignment="1">
      <alignment vertical="center" wrapText="1"/>
    </xf>
    <xf numFmtId="0" fontId="65" fillId="30" borderId="42" xfId="0" applyFont="1" applyFill="1" applyBorder="1" applyAlignment="1">
      <alignment vertical="center" wrapText="1"/>
    </xf>
    <xf numFmtId="0" fontId="88" fillId="30" borderId="21" xfId="0" applyFont="1" applyFill="1" applyBorder="1" applyAlignment="1">
      <alignment vertical="center" wrapText="1"/>
    </xf>
    <xf numFmtId="0" fontId="25" fillId="0" borderId="5" xfId="0" applyFont="1" applyBorder="1" applyAlignment="1">
      <alignment vertical="top" wrapText="1"/>
    </xf>
    <xf numFmtId="0" fontId="2" fillId="10" borderId="0" xfId="0" applyFont="1" applyFill="1" applyAlignment="1">
      <alignment horizontal="left" vertical="top" wrapText="1"/>
    </xf>
    <xf numFmtId="0" fontId="95" fillId="3" borderId="60" xfId="0" applyFont="1" applyFill="1" applyBorder="1" applyAlignment="1">
      <alignment horizontal="center" vertical="center" wrapText="1"/>
    </xf>
    <xf numFmtId="0" fontId="96" fillId="3" borderId="60" xfId="0" applyFont="1" applyFill="1" applyBorder="1" applyAlignment="1">
      <alignment horizontal="center" vertical="center" wrapText="1"/>
    </xf>
    <xf numFmtId="0" fontId="3" fillId="4" borderId="27" xfId="0" applyFont="1" applyFill="1" applyBorder="1" applyAlignment="1">
      <alignment vertical="center" wrapText="1"/>
    </xf>
    <xf numFmtId="0" fontId="3" fillId="4" borderId="28" xfId="0" applyFont="1" applyFill="1" applyBorder="1" applyAlignment="1">
      <alignment vertical="center" wrapText="1"/>
    </xf>
    <xf numFmtId="167" fontId="16" fillId="8" borderId="61" xfId="2" applyNumberFormat="1" applyFont="1" applyFill="1" applyBorder="1" applyAlignment="1">
      <alignment horizontal="left" vertical="center" wrapText="1"/>
    </xf>
    <xf numFmtId="167" fontId="16" fillId="8" borderId="35" xfId="2" applyNumberFormat="1" applyFont="1" applyFill="1" applyBorder="1" applyAlignment="1">
      <alignment horizontal="left" vertical="center" wrapText="1"/>
    </xf>
    <xf numFmtId="167" fontId="0" fillId="0" borderId="10" xfId="0" applyNumberFormat="1" applyBorder="1" applyAlignment="1">
      <alignment wrapText="1"/>
    </xf>
    <xf numFmtId="167" fontId="0" fillId="0" borderId="5" xfId="0" applyNumberFormat="1" applyBorder="1" applyAlignment="1">
      <alignment wrapText="1"/>
    </xf>
    <xf numFmtId="167" fontId="0" fillId="0" borderId="62" xfId="0" applyNumberFormat="1" applyBorder="1" applyAlignment="1">
      <alignment wrapText="1"/>
    </xf>
    <xf numFmtId="167" fontId="0" fillId="0" borderId="1" xfId="0" applyNumberFormat="1" applyBorder="1" applyAlignment="1">
      <alignment wrapText="1"/>
    </xf>
    <xf numFmtId="167" fontId="0" fillId="0" borderId="7" xfId="0" applyNumberFormat="1" applyBorder="1" applyAlignment="1">
      <alignment wrapText="1"/>
    </xf>
    <xf numFmtId="167" fontId="0" fillId="0" borderId="42" xfId="0" applyNumberFormat="1" applyBorder="1" applyAlignment="1">
      <alignment wrapText="1"/>
    </xf>
    <xf numFmtId="0" fontId="2" fillId="10" borderId="0" xfId="0" applyFont="1" applyFill="1" applyAlignment="1">
      <alignment wrapText="1"/>
    </xf>
    <xf numFmtId="0" fontId="58" fillId="25" borderId="41" xfId="0" applyFont="1" applyFill="1" applyBorder="1" applyAlignment="1">
      <alignment vertical="center" wrapText="1"/>
    </xf>
    <xf numFmtId="0" fontId="58" fillId="25" borderId="42" xfId="0" applyFont="1" applyFill="1" applyBorder="1" applyAlignment="1">
      <alignment vertical="center" wrapText="1"/>
    </xf>
    <xf numFmtId="0" fontId="58" fillId="25" borderId="1" xfId="0" applyFont="1" applyFill="1" applyBorder="1" applyAlignment="1">
      <alignment horizontal="center" vertical="center" wrapText="1"/>
    </xf>
    <xf numFmtId="168" fontId="58" fillId="25" borderId="1" xfId="0" applyNumberFormat="1" applyFont="1" applyFill="1" applyBorder="1" applyAlignment="1">
      <alignment horizontal="right" vertical="center" wrapText="1"/>
    </xf>
    <xf numFmtId="0" fontId="58" fillId="0" borderId="1" xfId="0" applyFont="1" applyBorder="1" applyAlignment="1">
      <alignment horizontal="center" vertical="center" wrapText="1"/>
    </xf>
    <xf numFmtId="169" fontId="58" fillId="0" borderId="1" xfId="0" applyNumberFormat="1" applyFont="1" applyBorder="1" applyAlignment="1">
      <alignment horizontal="right" vertical="center" wrapText="1"/>
    </xf>
    <xf numFmtId="169" fontId="58" fillId="0" borderId="1" xfId="0" applyNumberFormat="1" applyFont="1" applyBorder="1" applyAlignment="1">
      <alignment horizontal="left" vertical="center" wrapText="1"/>
    </xf>
    <xf numFmtId="168" fontId="58" fillId="0" borderId="1" xfId="0" applyNumberFormat="1" applyFont="1" applyBorder="1" applyAlignment="1">
      <alignment horizontal="right" vertical="center" wrapText="1"/>
    </xf>
    <xf numFmtId="0" fontId="57" fillId="25" borderId="41" xfId="0" applyFont="1" applyFill="1" applyBorder="1" applyAlignment="1">
      <alignment vertical="center" wrapText="1"/>
    </xf>
    <xf numFmtId="0" fontId="57" fillId="25" borderId="42" xfId="0" applyFont="1" applyFill="1" applyBorder="1" applyAlignment="1">
      <alignment vertical="center" wrapText="1"/>
    </xf>
    <xf numFmtId="168" fontId="57" fillId="25" borderId="1" xfId="0" applyNumberFormat="1" applyFont="1" applyFill="1" applyBorder="1" applyAlignment="1">
      <alignment horizontal="right" vertical="center" wrapText="1"/>
    </xf>
    <xf numFmtId="0" fontId="57" fillId="25" borderId="1" xfId="0" applyFont="1" applyFill="1" applyBorder="1" applyAlignment="1">
      <alignment vertical="center" wrapText="1"/>
    </xf>
    <xf numFmtId="1" fontId="0" fillId="0" borderId="1" xfId="0" applyNumberFormat="1" applyBorder="1" applyAlignment="1">
      <alignment wrapText="1"/>
    </xf>
    <xf numFmtId="44" fontId="0" fillId="0" borderId="1" xfId="0" applyNumberFormat="1" applyBorder="1" applyAlignment="1">
      <alignment wrapText="1"/>
    </xf>
    <xf numFmtId="0" fontId="57" fillId="25" borderId="1" xfId="0" applyFont="1" applyFill="1" applyBorder="1" applyAlignment="1">
      <alignment horizontal="center" vertical="center"/>
    </xf>
    <xf numFmtId="0" fontId="58" fillId="25" borderId="21" xfId="0" applyFont="1" applyFill="1" applyBorder="1" applyAlignment="1">
      <alignment vertical="center"/>
    </xf>
    <xf numFmtId="0" fontId="58" fillId="0" borderId="1" xfId="0" applyFont="1" applyBorder="1" applyAlignment="1">
      <alignment horizontal="center" vertical="center"/>
    </xf>
    <xf numFmtId="0" fontId="57" fillId="25" borderId="21" xfId="0" applyFont="1" applyFill="1" applyBorder="1" applyAlignment="1">
      <alignment vertical="center"/>
    </xf>
    <xf numFmtId="0" fontId="57" fillId="25" borderId="1" xfId="0" applyFont="1" applyFill="1" applyBorder="1" applyAlignment="1">
      <alignment vertical="center"/>
    </xf>
    <xf numFmtId="0" fontId="2" fillId="0" borderId="22" xfId="0" applyFont="1" applyBorder="1" applyAlignment="1">
      <alignment wrapText="1"/>
    </xf>
    <xf numFmtId="9" fontId="2" fillId="10" borderId="17" xfId="2" applyNumberFormat="1" applyFont="1" applyFill="1" applyBorder="1" applyAlignment="1">
      <alignment horizontal="right" vertical="center" wrapText="1"/>
    </xf>
    <xf numFmtId="0" fontId="49" fillId="24" borderId="1" xfId="0" applyFont="1" applyFill="1" applyBorder="1" applyAlignment="1">
      <alignment horizontal="left" vertical="center" wrapText="1"/>
    </xf>
    <xf numFmtId="0" fontId="57" fillId="25" borderId="2" xfId="0" applyFont="1" applyFill="1" applyBorder="1" applyAlignment="1">
      <alignment horizontal="center" vertical="center" wrapText="1"/>
    </xf>
    <xf numFmtId="0" fontId="57" fillId="25" borderId="21" xfId="0" applyFont="1" applyFill="1" applyBorder="1" applyAlignment="1">
      <alignment horizontal="center" vertical="center" wrapText="1"/>
    </xf>
    <xf numFmtId="0" fontId="57" fillId="0" borderId="0" xfId="0" applyFont="1" applyAlignment="1">
      <alignment horizontal="center" vertical="center"/>
    </xf>
    <xf numFmtId="0" fontId="57" fillId="25" borderId="3" xfId="0" applyFont="1" applyFill="1" applyBorder="1" applyAlignment="1">
      <alignment horizontal="center" vertical="center" wrapText="1"/>
    </xf>
    <xf numFmtId="1" fontId="57" fillId="25" borderId="1" xfId="0" applyNumberFormat="1" applyFont="1" applyFill="1" applyBorder="1" applyAlignment="1">
      <alignment horizontal="center" vertical="center"/>
    </xf>
    <xf numFmtId="168" fontId="57" fillId="25" borderId="21" xfId="0" applyNumberFormat="1" applyFont="1" applyFill="1" applyBorder="1" applyAlignment="1">
      <alignment horizontal="center" vertical="center"/>
    </xf>
    <xf numFmtId="168" fontId="98" fillId="32" borderId="24" xfId="0" applyNumberFormat="1" applyFont="1" applyFill="1" applyBorder="1" applyAlignment="1">
      <alignment horizontal="center" vertical="center"/>
    </xf>
    <xf numFmtId="168" fontId="57" fillId="32" borderId="42" xfId="0" applyNumberFormat="1" applyFont="1" applyFill="1" applyBorder="1" applyAlignment="1">
      <alignment horizontal="center" vertical="center"/>
    </xf>
    <xf numFmtId="168" fontId="57" fillId="32" borderId="1" xfId="0" applyNumberFormat="1" applyFont="1" applyFill="1" applyBorder="1" applyAlignment="1">
      <alignment horizontal="center" vertical="center"/>
    </xf>
    <xf numFmtId="9" fontId="57" fillId="25" borderId="1" xfId="0" applyNumberFormat="1" applyFont="1" applyFill="1" applyBorder="1" applyAlignment="1">
      <alignment horizontal="center" vertical="center"/>
    </xf>
    <xf numFmtId="3" fontId="57" fillId="25" borderId="1" xfId="0" applyNumberFormat="1" applyFont="1" applyFill="1" applyBorder="1" applyAlignment="1">
      <alignment horizontal="center" vertical="center"/>
    </xf>
    <xf numFmtId="0" fontId="99" fillId="0" borderId="21" xfId="0" applyFont="1" applyBorder="1" applyAlignment="1">
      <alignment horizontal="center" vertical="center"/>
    </xf>
    <xf numFmtId="0" fontId="99" fillId="0" borderId="1" xfId="0" applyFont="1" applyBorder="1" applyAlignment="1">
      <alignment horizontal="left" vertical="center" wrapText="1"/>
    </xf>
    <xf numFmtId="0" fontId="99" fillId="0" borderId="1" xfId="0" applyFont="1" applyBorder="1" applyAlignment="1">
      <alignment horizontal="center" vertical="center" wrapText="1"/>
    </xf>
    <xf numFmtId="16" fontId="99" fillId="0" borderId="1" xfId="0" applyNumberFormat="1" applyFont="1" applyBorder="1" applyAlignment="1">
      <alignment horizontal="center" vertical="center" wrapText="1"/>
    </xf>
    <xf numFmtId="1" fontId="58" fillId="0" borderId="1" xfId="0" applyNumberFormat="1" applyFont="1" applyBorder="1" applyAlignment="1">
      <alignment horizontal="center" vertical="center" wrapText="1"/>
    </xf>
    <xf numFmtId="1" fontId="99" fillId="0" borderId="1" xfId="0" applyNumberFormat="1" applyFont="1" applyBorder="1" applyAlignment="1">
      <alignment horizontal="center" vertical="center" wrapText="1"/>
    </xf>
    <xf numFmtId="168" fontId="58" fillId="0" borderId="21" xfId="0" applyNumberFormat="1" applyFont="1" applyBorder="1" applyAlignment="1">
      <alignment horizontal="center" vertical="center" wrapText="1"/>
    </xf>
    <xf numFmtId="168" fontId="98" fillId="32" borderId="23" xfId="0" applyNumberFormat="1" applyFont="1" applyFill="1" applyBorder="1" applyAlignment="1">
      <alignment horizontal="center" vertical="center" wrapText="1"/>
    </xf>
    <xf numFmtId="168" fontId="57" fillId="32" borderId="42" xfId="0" applyNumberFormat="1" applyFont="1" applyFill="1" applyBorder="1" applyAlignment="1">
      <alignment horizontal="center" vertical="center" wrapText="1"/>
    </xf>
    <xf numFmtId="3" fontId="58" fillId="0" borderId="1" xfId="0" applyNumberFormat="1" applyFont="1" applyBorder="1" applyAlignment="1">
      <alignment horizontal="center" vertical="center" wrapText="1"/>
    </xf>
    <xf numFmtId="168" fontId="57" fillId="32" borderId="1" xfId="0" applyNumberFormat="1" applyFont="1" applyFill="1" applyBorder="1" applyAlignment="1">
      <alignment horizontal="center" vertical="center" wrapText="1"/>
    </xf>
    <xf numFmtId="9" fontId="58" fillId="0" borderId="1" xfId="0" applyNumberFormat="1" applyFont="1" applyBorder="1" applyAlignment="1">
      <alignment horizontal="center" vertical="center" wrapText="1"/>
    </xf>
    <xf numFmtId="3" fontId="58" fillId="25" borderId="1" xfId="0" applyNumberFormat="1" applyFont="1" applyFill="1" applyBorder="1" applyAlignment="1">
      <alignment horizontal="center" vertical="center" wrapText="1"/>
    </xf>
    <xf numFmtId="0" fontId="58" fillId="25" borderId="1" xfId="0" applyFont="1" applyFill="1" applyBorder="1" applyAlignment="1">
      <alignment horizontal="center" vertical="center"/>
    </xf>
    <xf numFmtId="0" fontId="58" fillId="0" borderId="0" xfId="0" applyFont="1"/>
    <xf numFmtId="1" fontId="58" fillId="8" borderId="1" xfId="0" applyNumberFormat="1" applyFont="1" applyFill="1" applyBorder="1" applyAlignment="1">
      <alignment horizontal="center" vertical="center" wrapText="1"/>
    </xf>
    <xf numFmtId="0" fontId="58" fillId="0" borderId="2" xfId="0" applyFont="1" applyBorder="1" applyAlignment="1">
      <alignment horizontal="left" vertical="center" wrapText="1"/>
    </xf>
    <xf numFmtId="1" fontId="58" fillId="10" borderId="1" xfId="0" applyNumberFormat="1" applyFont="1" applyFill="1" applyBorder="1" applyAlignment="1">
      <alignment horizontal="center" vertical="center" wrapText="1"/>
    </xf>
    <xf numFmtId="0" fontId="58" fillId="8" borderId="1" xfId="0" applyFont="1" applyFill="1" applyBorder="1" applyAlignment="1">
      <alignment horizontal="left" vertical="center" wrapText="1"/>
    </xf>
    <xf numFmtId="0" fontId="58" fillId="8" borderId="1" xfId="0" applyFont="1" applyFill="1" applyBorder="1" applyAlignment="1">
      <alignment horizontal="center" vertical="center" wrapText="1"/>
    </xf>
    <xf numFmtId="3" fontId="99" fillId="0" borderId="1" xfId="0" applyNumberFormat="1" applyFont="1" applyBorder="1" applyAlignment="1">
      <alignment horizontal="center" vertical="center" wrapText="1"/>
    </xf>
    <xf numFmtId="0" fontId="51" fillId="0" borderId="1" xfId="0" applyFont="1" applyBorder="1" applyAlignment="1">
      <alignment horizontal="left" vertical="center" wrapText="1"/>
    </xf>
    <xf numFmtId="0" fontId="97" fillId="0" borderId="0" xfId="0" applyFont="1"/>
    <xf numFmtId="0" fontId="57" fillId="0" borderId="0" xfId="0" applyFont="1"/>
    <xf numFmtId="1" fontId="57" fillId="0" borderId="0" xfId="0" applyNumberFormat="1" applyFont="1" applyAlignment="1">
      <alignment horizontal="center" vertical="center"/>
    </xf>
    <xf numFmtId="0" fontId="57" fillId="0" borderId="0" xfId="0" applyFont="1" applyAlignment="1">
      <alignment vertical="center"/>
    </xf>
    <xf numFmtId="1" fontId="57" fillId="0" borderId="0" xfId="0" applyNumberFormat="1" applyFont="1" applyAlignment="1">
      <alignment horizontal="center"/>
    </xf>
    <xf numFmtId="3" fontId="57" fillId="0" borderId="0" xfId="0" applyNumberFormat="1" applyFont="1" applyAlignment="1">
      <alignment horizontal="center"/>
    </xf>
    <xf numFmtId="0" fontId="57" fillId="0" borderId="0" xfId="0" applyFont="1" applyAlignment="1">
      <alignment horizontal="center" vertical="center" wrapText="1"/>
    </xf>
    <xf numFmtId="0" fontId="58" fillId="13" borderId="0" xfId="0" applyFont="1" applyFill="1" applyAlignment="1">
      <alignment horizontal="left" vertical="center"/>
    </xf>
    <xf numFmtId="0" fontId="99" fillId="0" borderId="0" xfId="0" applyFont="1"/>
    <xf numFmtId="0" fontId="58" fillId="0" borderId="0" xfId="0" applyFont="1" applyAlignment="1">
      <alignment horizontal="center" vertical="center"/>
    </xf>
    <xf numFmtId="0" fontId="58" fillId="0" borderId="0" xfId="0" applyFont="1" applyAlignment="1">
      <alignment vertical="center"/>
    </xf>
    <xf numFmtId="0" fontId="58" fillId="0" borderId="1" xfId="0" applyFont="1" applyBorder="1" applyAlignment="1">
      <alignment wrapText="1"/>
    </xf>
    <xf numFmtId="42" fontId="103" fillId="8" borderId="1" xfId="0" applyNumberFormat="1" applyFont="1" applyFill="1" applyBorder="1" applyAlignment="1">
      <alignment vertical="center" wrapText="1"/>
    </xf>
    <xf numFmtId="168" fontId="58" fillId="0" borderId="0" xfId="0" applyNumberFormat="1" applyFont="1"/>
    <xf numFmtId="0" fontId="58" fillId="10" borderId="1" xfId="0" applyFont="1" applyFill="1" applyBorder="1" applyAlignment="1">
      <alignment vertical="center" wrapText="1"/>
    </xf>
    <xf numFmtId="9" fontId="57" fillId="25" borderId="21" xfId="0" applyNumberFormat="1" applyFont="1" applyFill="1" applyBorder="1" applyAlignment="1">
      <alignment horizontal="center" vertical="center" wrapText="1"/>
    </xf>
    <xf numFmtId="0" fontId="58" fillId="13" borderId="1" xfId="0" applyFont="1" applyFill="1" applyBorder="1" applyAlignment="1">
      <alignment horizontal="left" vertical="center" wrapText="1"/>
    </xf>
    <xf numFmtId="4" fontId="57" fillId="0" borderId="0" xfId="0" applyNumberFormat="1" applyFont="1" applyAlignment="1">
      <alignment horizontal="center"/>
    </xf>
    <xf numFmtId="165" fontId="2" fillId="11" borderId="19" xfId="1" applyNumberFormat="1" applyFont="1" applyFill="1" applyBorder="1" applyAlignment="1">
      <alignment horizontal="right" vertical="center" wrapText="1"/>
    </xf>
    <xf numFmtId="165" fontId="2" fillId="11" borderId="43" xfId="1" applyNumberFormat="1" applyFont="1" applyFill="1" applyBorder="1" applyAlignment="1">
      <alignment horizontal="right" vertical="center" wrapText="1"/>
    </xf>
    <xf numFmtId="165" fontId="2" fillId="11" borderId="21" xfId="1" applyNumberFormat="1" applyFont="1" applyFill="1" applyBorder="1" applyAlignment="1">
      <alignment horizontal="right" vertical="center" wrapText="1"/>
    </xf>
    <xf numFmtId="165" fontId="2" fillId="11" borderId="29" xfId="1" applyNumberFormat="1" applyFont="1" applyFill="1" applyBorder="1" applyAlignment="1">
      <alignment horizontal="right" vertical="center" wrapText="1"/>
    </xf>
    <xf numFmtId="0" fontId="0" fillId="10" borderId="4" xfId="0" applyFill="1" applyBorder="1" applyAlignment="1">
      <alignment wrapText="1"/>
    </xf>
    <xf numFmtId="0" fontId="0" fillId="10" borderId="6" xfId="0" applyFill="1" applyBorder="1" applyAlignment="1">
      <alignment wrapText="1"/>
    </xf>
    <xf numFmtId="0" fontId="0" fillId="10" borderId="8" xfId="0" applyFill="1" applyBorder="1" applyAlignment="1">
      <alignment wrapText="1"/>
    </xf>
    <xf numFmtId="0" fontId="104" fillId="0" borderId="0" xfId="0" applyFont="1" applyAlignment="1">
      <alignment horizontal="center" vertical="center"/>
    </xf>
    <xf numFmtId="0" fontId="104" fillId="25" borderId="1" xfId="0" applyFont="1" applyFill="1" applyBorder="1" applyAlignment="1">
      <alignment horizontal="center" vertical="center" wrapText="1"/>
    </xf>
    <xf numFmtId="1" fontId="104" fillId="25" borderId="21" xfId="0" applyNumberFormat="1" applyFont="1" applyFill="1" applyBorder="1" applyAlignment="1">
      <alignment horizontal="left" vertical="center"/>
    </xf>
    <xf numFmtId="0" fontId="104" fillId="25" borderId="21" xfId="0" applyFont="1" applyFill="1" applyBorder="1" applyAlignment="1">
      <alignment vertical="center" wrapText="1"/>
    </xf>
    <xf numFmtId="0" fontId="104" fillId="25" borderId="41" xfId="0" applyFont="1" applyFill="1" applyBorder="1" applyAlignment="1">
      <alignment vertical="center" wrapText="1"/>
    </xf>
    <xf numFmtId="0" fontId="104" fillId="25" borderId="42" xfId="0" applyFont="1" applyFill="1" applyBorder="1" applyAlignment="1">
      <alignment vertical="center" wrapText="1"/>
    </xf>
    <xf numFmtId="0" fontId="104" fillId="25" borderId="3" xfId="0" applyFont="1" applyFill="1" applyBorder="1" applyAlignment="1">
      <alignment horizontal="center" vertical="center" wrapText="1"/>
    </xf>
    <xf numFmtId="9" fontId="105" fillId="25" borderId="21" xfId="0" applyNumberFormat="1" applyFont="1" applyFill="1" applyBorder="1" applyAlignment="1">
      <alignment horizontal="center" vertical="center"/>
    </xf>
    <xf numFmtId="168" fontId="106" fillId="32" borderId="23" xfId="0" applyNumberFormat="1" applyFont="1" applyFill="1" applyBorder="1" applyAlignment="1">
      <alignment horizontal="center" vertical="center"/>
    </xf>
    <xf numFmtId="0" fontId="104" fillId="25" borderId="57" xfId="0" applyFont="1" applyFill="1" applyBorder="1" applyAlignment="1">
      <alignment horizontal="center" vertical="center" wrapText="1"/>
    </xf>
    <xf numFmtId="164" fontId="104" fillId="32" borderId="23" xfId="0" applyNumberFormat="1" applyFont="1" applyFill="1" applyBorder="1" applyAlignment="1">
      <alignment horizontal="center" vertical="center"/>
    </xf>
    <xf numFmtId="0" fontId="104" fillId="25" borderId="1" xfId="0" applyFont="1" applyFill="1" applyBorder="1" applyAlignment="1">
      <alignment horizontal="center" vertical="center"/>
    </xf>
    <xf numFmtId="1" fontId="103" fillId="0" borderId="1" xfId="0" applyNumberFormat="1" applyFont="1" applyBorder="1" applyAlignment="1">
      <alignment horizontal="center" vertical="center"/>
    </xf>
    <xf numFmtId="0" fontId="103" fillId="0" borderId="1" xfId="0" applyFont="1" applyBorder="1" applyAlignment="1">
      <alignment horizontal="left" vertical="center" wrapText="1"/>
    </xf>
    <xf numFmtId="0" fontId="46" fillId="0" borderId="1" xfId="0" applyFont="1" applyBorder="1" applyAlignment="1">
      <alignment horizontal="left" vertical="center" wrapText="1"/>
    </xf>
    <xf numFmtId="164" fontId="103" fillId="0" borderId="21" xfId="0" applyNumberFormat="1" applyFont="1" applyBorder="1" applyAlignment="1">
      <alignment horizontal="center" vertical="center" wrapText="1"/>
    </xf>
    <xf numFmtId="0" fontId="103" fillId="8" borderId="1" xfId="0" applyFont="1" applyFill="1" applyBorder="1" applyAlignment="1">
      <alignment horizontal="center" vertical="center" wrapText="1"/>
    </xf>
    <xf numFmtId="0" fontId="46" fillId="0" borderId="1" xfId="0" applyFont="1" applyBorder="1" applyAlignment="1">
      <alignment horizontal="center" vertical="center" wrapText="1"/>
    </xf>
    <xf numFmtId="49" fontId="103" fillId="0" borderId="1" xfId="0" applyNumberFormat="1" applyFont="1" applyBorder="1" applyAlignment="1">
      <alignment horizontal="center" vertical="center"/>
    </xf>
    <xf numFmtId="1" fontId="103" fillId="0" borderId="1" xfId="0" applyNumberFormat="1" applyFont="1" applyBorder="1" applyAlignment="1">
      <alignment horizontal="center" vertical="center" wrapText="1"/>
    </xf>
    <xf numFmtId="164" fontId="104" fillId="32" borderId="23" xfId="0" applyNumberFormat="1" applyFont="1" applyFill="1" applyBorder="1" applyAlignment="1">
      <alignment horizontal="center" vertical="center" wrapText="1"/>
    </xf>
    <xf numFmtId="164" fontId="104" fillId="0" borderId="6" xfId="0" applyNumberFormat="1" applyFont="1" applyBorder="1" applyAlignment="1">
      <alignment horizontal="center" vertical="center" wrapText="1"/>
    </xf>
    <xf numFmtId="3" fontId="103" fillId="8" borderId="42" xfId="0" applyNumberFormat="1" applyFont="1" applyFill="1" applyBorder="1" applyAlignment="1">
      <alignment horizontal="center" vertical="center" wrapText="1"/>
    </xf>
    <xf numFmtId="3" fontId="103" fillId="8" borderId="1" xfId="0" applyNumberFormat="1" applyFont="1" applyFill="1" applyBorder="1" applyAlignment="1">
      <alignment horizontal="center" vertical="center" wrapText="1"/>
    </xf>
    <xf numFmtId="9" fontId="103" fillId="8" borderId="1" xfId="0" applyNumberFormat="1" applyFont="1" applyFill="1" applyBorder="1" applyAlignment="1">
      <alignment horizontal="center" vertical="center" wrapText="1"/>
    </xf>
    <xf numFmtId="0" fontId="103" fillId="0" borderId="0" xfId="0" applyFont="1"/>
    <xf numFmtId="1" fontId="107" fillId="0" borderId="1" xfId="0" applyNumberFormat="1" applyFont="1" applyBorder="1" applyAlignment="1">
      <alignment horizontal="center" vertical="center" wrapText="1"/>
    </xf>
    <xf numFmtId="0" fontId="46" fillId="8" borderId="1" xfId="0" applyFont="1" applyFill="1" applyBorder="1" applyAlignment="1">
      <alignment horizontal="left" vertical="center" wrapText="1"/>
    </xf>
    <xf numFmtId="0" fontId="46" fillId="8" borderId="1" xfId="0" applyFont="1" applyFill="1" applyBorder="1" applyAlignment="1">
      <alignment horizontal="center" vertical="center" wrapText="1"/>
    </xf>
    <xf numFmtId="0" fontId="22" fillId="0" borderId="80" xfId="0" applyFont="1" applyBorder="1" applyAlignment="1">
      <alignment vertical="center"/>
    </xf>
    <xf numFmtId="0" fontId="103" fillId="8" borderId="2" xfId="0" applyFont="1" applyFill="1" applyBorder="1" applyAlignment="1">
      <alignment vertical="center" wrapText="1"/>
    </xf>
    <xf numFmtId="0" fontId="103" fillId="0" borderId="76" xfId="0" applyFont="1" applyBorder="1" applyAlignment="1">
      <alignment vertical="center" wrapText="1"/>
    </xf>
    <xf numFmtId="164" fontId="104" fillId="32" borderId="45" xfId="0" applyNumberFormat="1" applyFont="1" applyFill="1" applyBorder="1" applyAlignment="1">
      <alignment horizontal="center" vertical="center" wrapText="1"/>
    </xf>
    <xf numFmtId="164" fontId="104" fillId="0" borderId="8" xfId="0" applyNumberFormat="1" applyFont="1" applyBorder="1" applyAlignment="1">
      <alignment horizontal="center" vertical="center" wrapText="1"/>
    </xf>
    <xf numFmtId="3" fontId="103" fillId="8" borderId="79" xfId="0" applyNumberFormat="1" applyFont="1" applyFill="1" applyBorder="1" applyAlignment="1">
      <alignment horizontal="center" vertical="center" wrapText="1"/>
    </xf>
    <xf numFmtId="3" fontId="103" fillId="8" borderId="2" xfId="0" applyNumberFormat="1" applyFont="1" applyFill="1" applyBorder="1" applyAlignment="1">
      <alignment horizontal="center" vertical="center" wrapText="1"/>
    </xf>
    <xf numFmtId="9" fontId="103" fillId="8" borderId="2" xfId="0" applyNumberFormat="1" applyFont="1" applyFill="1" applyBorder="1" applyAlignment="1">
      <alignment horizontal="center" vertical="center" wrapText="1"/>
    </xf>
    <xf numFmtId="3" fontId="58" fillId="25" borderId="2" xfId="0" applyNumberFormat="1" applyFont="1" applyFill="1" applyBorder="1" applyAlignment="1">
      <alignment horizontal="center" vertical="center" wrapText="1"/>
    </xf>
    <xf numFmtId="0" fontId="103" fillId="8" borderId="2" xfId="0" applyFont="1" applyFill="1" applyBorder="1" applyAlignment="1">
      <alignment horizontal="center" vertical="center" wrapText="1"/>
    </xf>
    <xf numFmtId="0" fontId="58" fillId="25" borderId="2" xfId="0" applyFont="1" applyFill="1" applyBorder="1" applyAlignment="1">
      <alignment horizontal="center" vertical="center" wrapText="1"/>
    </xf>
    <xf numFmtId="1" fontId="104" fillId="0" borderId="13" xfId="0" applyNumberFormat="1" applyFont="1" applyBorder="1" applyAlignment="1">
      <alignment horizontal="center" vertical="center"/>
    </xf>
    <xf numFmtId="164" fontId="104" fillId="8" borderId="19" xfId="0" applyNumberFormat="1" applyFont="1" applyFill="1" applyBorder="1" applyAlignment="1">
      <alignment horizontal="center" vertical="center"/>
    </xf>
    <xf numFmtId="164" fontId="103" fillId="0" borderId="19" xfId="0" applyNumberFormat="1" applyFont="1" applyBorder="1" applyAlignment="1">
      <alignment horizontal="center" vertical="center" wrapText="1"/>
    </xf>
    <xf numFmtId="164" fontId="104" fillId="32" borderId="32" xfId="0" applyNumberFormat="1" applyFont="1" applyFill="1" applyBorder="1" applyAlignment="1">
      <alignment horizontal="center" vertical="center"/>
    </xf>
    <xf numFmtId="1" fontId="104" fillId="8" borderId="13" xfId="0" applyNumberFormat="1" applyFont="1" applyFill="1" applyBorder="1" applyAlignment="1">
      <alignment horizontal="center" vertical="center"/>
    </xf>
    <xf numFmtId="9" fontId="104" fillId="8" borderId="13" xfId="0" applyNumberFormat="1" applyFont="1" applyFill="1" applyBorder="1" applyAlignment="1">
      <alignment horizontal="center" vertical="center"/>
    </xf>
    <xf numFmtId="3" fontId="57" fillId="25" borderId="13" xfId="0" applyNumberFormat="1" applyFont="1" applyFill="1" applyBorder="1" applyAlignment="1">
      <alignment horizontal="center" vertical="center" wrapText="1"/>
    </xf>
    <xf numFmtId="0" fontId="104" fillId="8" borderId="13" xfId="0" applyFont="1" applyFill="1" applyBorder="1" applyAlignment="1">
      <alignment horizontal="center" vertical="center" wrapText="1"/>
    </xf>
    <xf numFmtId="3" fontId="57" fillId="25" borderId="14" xfId="0" applyNumberFormat="1" applyFont="1" applyFill="1" applyBorder="1" applyAlignment="1">
      <alignment horizontal="center" vertical="center" wrapText="1"/>
    </xf>
    <xf numFmtId="1" fontId="103" fillId="0" borderId="0" xfId="0" applyNumberFormat="1" applyFont="1"/>
    <xf numFmtId="0" fontId="104" fillId="8" borderId="0" xfId="0" applyFont="1" applyFill="1"/>
    <xf numFmtId="1" fontId="104" fillId="8" borderId="0" xfId="0" applyNumberFormat="1" applyFont="1" applyFill="1" applyAlignment="1">
      <alignment horizontal="center" vertical="center"/>
    </xf>
    <xf numFmtId="0" fontId="104" fillId="8" borderId="0" xfId="0" applyFont="1" applyFill="1" applyAlignment="1">
      <alignment vertical="center"/>
    </xf>
    <xf numFmtId="0" fontId="104" fillId="0" borderId="0" xfId="0" applyFont="1"/>
    <xf numFmtId="42" fontId="103" fillId="0" borderId="0" xfId="0" applyNumberFormat="1" applyFont="1"/>
    <xf numFmtId="0" fontId="103" fillId="8" borderId="1" xfId="0" applyFont="1" applyFill="1" applyBorder="1" applyAlignment="1">
      <alignment wrapText="1"/>
    </xf>
    <xf numFmtId="0" fontId="103" fillId="8" borderId="1" xfId="0" applyFont="1" applyFill="1" applyBorder="1" applyAlignment="1">
      <alignment vertical="center" wrapText="1"/>
    </xf>
    <xf numFmtId="9" fontId="103" fillId="0" borderId="0" xfId="4" applyFont="1" applyFill="1"/>
    <xf numFmtId="0" fontId="103" fillId="0" borderId="0" xfId="0" applyFont="1" applyAlignment="1">
      <alignment horizontal="center" vertical="center"/>
    </xf>
    <xf numFmtId="0" fontId="103" fillId="0" borderId="0" xfId="0" applyFont="1" applyAlignment="1">
      <alignment vertical="center"/>
    </xf>
    <xf numFmtId="44" fontId="104" fillId="25" borderId="3" xfId="2" applyFont="1" applyFill="1" applyBorder="1" applyAlignment="1">
      <alignment horizontal="center" vertical="center" wrapText="1"/>
    </xf>
    <xf numFmtId="44" fontId="103" fillId="0" borderId="1" xfId="2" applyFont="1" applyBorder="1" applyAlignment="1">
      <alignment horizontal="center" vertical="center" wrapText="1"/>
    </xf>
    <xf numFmtId="44" fontId="58" fillId="0" borderId="1" xfId="2" applyFont="1" applyBorder="1" applyAlignment="1">
      <alignment horizontal="center" vertical="center" wrapText="1"/>
    </xf>
    <xf numFmtId="44" fontId="104" fillId="0" borderId="13" xfId="2" applyFont="1" applyBorder="1" applyAlignment="1">
      <alignment horizontal="center" vertical="center"/>
    </xf>
    <xf numFmtId="44" fontId="103" fillId="0" borderId="0" xfId="2" applyFont="1"/>
    <xf numFmtId="44" fontId="103" fillId="0" borderId="0" xfId="2" applyFont="1" applyFill="1"/>
    <xf numFmtId="0" fontId="17" fillId="3" borderId="54" xfId="0" applyFont="1" applyFill="1" applyBorder="1" applyAlignment="1">
      <alignment horizontal="center" vertical="center" wrapText="1"/>
    </xf>
    <xf numFmtId="0" fontId="0" fillId="0" borderId="1" xfId="0" applyBorder="1" applyAlignment="1">
      <alignment horizontal="center" wrapText="1"/>
    </xf>
    <xf numFmtId="0" fontId="17" fillId="3" borderId="35" xfId="0" applyFont="1" applyFill="1" applyBorder="1" applyAlignment="1">
      <alignment horizontal="center" vertical="center" wrapText="1"/>
    </xf>
    <xf numFmtId="0" fontId="17" fillId="3" borderId="54" xfId="0" applyFont="1" applyFill="1" applyBorder="1" applyAlignment="1">
      <alignment vertical="center" wrapText="1"/>
    </xf>
    <xf numFmtId="0" fontId="16" fillId="4" borderId="54" xfId="0" applyFont="1" applyFill="1" applyBorder="1" applyAlignment="1">
      <alignment vertical="center" wrapText="1"/>
    </xf>
    <xf numFmtId="0" fontId="3" fillId="4" borderId="51" xfId="0" applyFont="1" applyFill="1" applyBorder="1" applyAlignment="1">
      <alignment vertical="center" wrapText="1"/>
    </xf>
    <xf numFmtId="0" fontId="22" fillId="4" borderId="27" xfId="0" applyFont="1" applyFill="1" applyBorder="1" applyAlignment="1">
      <alignment vertical="center" wrapText="1"/>
    </xf>
    <xf numFmtId="0" fontId="0" fillId="0" borderId="71" xfId="0" applyBorder="1" applyAlignment="1">
      <alignment vertical="top" wrapText="1"/>
    </xf>
    <xf numFmtId="0" fontId="2" fillId="0" borderId="57" xfId="0" applyFont="1" applyBorder="1" applyAlignment="1">
      <alignment horizontal="left" vertical="center" wrapText="1"/>
    </xf>
    <xf numFmtId="0" fontId="0" fillId="0" borderId="42" xfId="0" applyBorder="1" applyAlignment="1">
      <alignment horizontal="left" vertical="center" wrapText="1"/>
    </xf>
    <xf numFmtId="0" fontId="2" fillId="0" borderId="58" xfId="0" applyFont="1" applyBorder="1" applyAlignment="1">
      <alignment horizontal="left" vertical="center" wrapText="1"/>
    </xf>
    <xf numFmtId="0" fontId="0" fillId="11" borderId="0" xfId="0" applyFill="1" applyAlignment="1">
      <alignment vertical="center" wrapText="1"/>
    </xf>
    <xf numFmtId="0" fontId="6" fillId="11" borderId="0" xfId="0" applyFont="1" applyFill="1" applyAlignment="1">
      <alignment vertical="center" wrapText="1"/>
    </xf>
    <xf numFmtId="0" fontId="25" fillId="11" borderId="0" xfId="0" applyFont="1" applyFill="1" applyAlignment="1">
      <alignment vertical="center" wrapText="1"/>
    </xf>
    <xf numFmtId="0" fontId="8" fillId="11" borderId="0" xfId="0" applyFont="1" applyFill="1" applyAlignment="1">
      <alignment vertical="center" wrapText="1"/>
    </xf>
    <xf numFmtId="0" fontId="1" fillId="11" borderId="0" xfId="3" applyFont="1" applyFill="1" applyBorder="1" applyAlignment="1">
      <alignment vertical="center" wrapText="1"/>
    </xf>
    <xf numFmtId="0" fontId="27" fillId="11" borderId="0" xfId="3" applyFont="1" applyFill="1" applyBorder="1" applyAlignment="1">
      <alignment vertical="center" wrapText="1"/>
    </xf>
    <xf numFmtId="0" fontId="0" fillId="11" borderId="0" xfId="3" applyFont="1" applyFill="1" applyBorder="1" applyAlignment="1">
      <alignment vertical="center" wrapText="1"/>
    </xf>
    <xf numFmtId="0" fontId="8" fillId="11" borderId="0" xfId="0" applyFont="1" applyFill="1" applyAlignment="1">
      <alignment vertical="center" wrapText="1" readingOrder="1"/>
    </xf>
    <xf numFmtId="0" fontId="25" fillId="11" borderId="0" xfId="0" applyFont="1" applyFill="1" applyAlignment="1">
      <alignment vertical="center" wrapText="1" readingOrder="1"/>
    </xf>
    <xf numFmtId="0" fontId="0" fillId="11" borderId="0" xfId="0" applyFill="1" applyAlignment="1">
      <alignment wrapText="1"/>
    </xf>
    <xf numFmtId="0" fontId="10" fillId="11" borderId="0" xfId="3" applyFill="1" applyBorder="1" applyAlignment="1">
      <alignment vertical="center" wrapText="1" readingOrder="1"/>
    </xf>
    <xf numFmtId="0" fontId="4" fillId="11" borderId="0" xfId="0" applyFont="1" applyFill="1" applyAlignment="1">
      <alignment vertical="center" wrapText="1" readingOrder="1"/>
    </xf>
    <xf numFmtId="0" fontId="12" fillId="8" borderId="81" xfId="0" applyFont="1" applyFill="1" applyBorder="1" applyAlignment="1">
      <alignment horizontal="center" vertical="center" wrapText="1"/>
    </xf>
    <xf numFmtId="0" fontId="13" fillId="10" borderId="54" xfId="0" applyFont="1" applyFill="1" applyBorder="1" applyAlignment="1">
      <alignment horizontal="center" vertical="top" wrapText="1"/>
    </xf>
    <xf numFmtId="0" fontId="110" fillId="13" borderId="0" xfId="0" applyFont="1" applyFill="1" applyAlignment="1">
      <alignment wrapText="1"/>
    </xf>
    <xf numFmtId="0" fontId="2" fillId="24" borderId="1" xfId="0" applyFont="1" applyFill="1" applyBorder="1" applyAlignment="1">
      <alignment horizontal="center" vertical="center" wrapText="1"/>
    </xf>
    <xf numFmtId="0" fontId="8" fillId="10" borderId="21" xfId="0" applyFont="1" applyFill="1" applyBorder="1" applyAlignment="1">
      <alignment vertical="center" wrapText="1"/>
    </xf>
    <xf numFmtId="0" fontId="2" fillId="0" borderId="0" xfId="0" applyFont="1" applyAlignment="1">
      <alignment horizontal="left" vertical="top" wrapText="1"/>
    </xf>
    <xf numFmtId="44" fontId="0" fillId="0" borderId="0" xfId="2" applyFont="1" applyAlignment="1">
      <alignment wrapText="1"/>
    </xf>
    <xf numFmtId="9" fontId="0" fillId="0" borderId="0" xfId="4" applyFont="1" applyAlignment="1">
      <alignment wrapText="1"/>
    </xf>
    <xf numFmtId="0" fontId="2" fillId="0" borderId="69" xfId="0" applyFont="1" applyBorder="1" applyAlignment="1">
      <alignment horizontal="left" vertical="center" wrapText="1"/>
    </xf>
    <xf numFmtId="0" fontId="2" fillId="0" borderId="30" xfId="0" applyFont="1" applyBorder="1" applyAlignment="1">
      <alignment horizontal="left" vertical="center" wrapText="1"/>
    </xf>
    <xf numFmtId="0" fontId="2" fillId="11" borderId="53" xfId="2" applyNumberFormat="1" applyFont="1" applyFill="1" applyBorder="1" applyAlignment="1">
      <alignment horizontal="right" vertical="center" wrapText="1"/>
    </xf>
    <xf numFmtId="0" fontId="15" fillId="11" borderId="32" xfId="0" applyFont="1" applyFill="1" applyBorder="1" applyAlignment="1">
      <alignment wrapText="1"/>
    </xf>
    <xf numFmtId="0" fontId="5" fillId="11" borderId="32" xfId="0" applyFont="1" applyFill="1" applyBorder="1" applyAlignment="1">
      <alignment horizontal="left" vertical="center" wrapText="1" readingOrder="1"/>
    </xf>
    <xf numFmtId="0" fontId="13" fillId="14" borderId="32" xfId="0" applyFont="1" applyFill="1" applyBorder="1" applyAlignment="1">
      <alignment wrapText="1"/>
    </xf>
    <xf numFmtId="0" fontId="54" fillId="14" borderId="32" xfId="0" applyFont="1" applyFill="1" applyBorder="1" applyAlignment="1">
      <alignment wrapText="1"/>
    </xf>
    <xf numFmtId="0" fontId="2" fillId="11" borderId="2" xfId="0" applyFont="1" applyFill="1" applyBorder="1" applyAlignment="1">
      <alignment horizontal="center" vertical="center" wrapText="1"/>
    </xf>
    <xf numFmtId="0" fontId="19" fillId="8" borderId="32" xfId="0" applyFont="1" applyFill="1" applyBorder="1" applyAlignment="1">
      <alignment horizontal="center" vertical="center" wrapText="1"/>
    </xf>
    <xf numFmtId="0" fontId="0" fillId="0" borderId="32" xfId="0" applyBorder="1" applyAlignment="1">
      <alignment wrapText="1"/>
    </xf>
    <xf numFmtId="0" fontId="2" fillId="0" borderId="32" xfId="0" applyFont="1" applyBorder="1" applyAlignment="1">
      <alignment horizontal="left" wrapText="1"/>
    </xf>
    <xf numFmtId="165" fontId="2" fillId="10" borderId="43" xfId="1" applyNumberFormat="1" applyFont="1" applyFill="1" applyBorder="1" applyAlignment="1">
      <alignment horizontal="right" vertical="center" wrapText="1"/>
    </xf>
    <xf numFmtId="165" fontId="2" fillId="10" borderId="21" xfId="1" applyNumberFormat="1" applyFont="1" applyFill="1" applyBorder="1" applyAlignment="1">
      <alignment horizontal="right" vertical="center" wrapText="1"/>
    </xf>
    <xf numFmtId="165" fontId="2" fillId="10" borderId="29" xfId="1" applyNumberFormat="1" applyFont="1" applyFill="1" applyBorder="1" applyAlignment="1">
      <alignment horizontal="right" vertical="center" wrapText="1"/>
    </xf>
    <xf numFmtId="165" fontId="2" fillId="20" borderId="43" xfId="1" applyNumberFormat="1" applyFont="1" applyFill="1" applyBorder="1" applyAlignment="1">
      <alignment horizontal="right" vertical="center" wrapText="1"/>
    </xf>
    <xf numFmtId="165" fontId="2" fillId="20" borderId="21" xfId="1" applyNumberFormat="1" applyFont="1" applyFill="1" applyBorder="1" applyAlignment="1">
      <alignment horizontal="right" vertical="center" wrapText="1"/>
    </xf>
    <xf numFmtId="165" fontId="2" fillId="20" borderId="29" xfId="1" applyNumberFormat="1" applyFont="1" applyFill="1" applyBorder="1" applyAlignment="1">
      <alignment horizontal="right" vertical="center" wrapText="1"/>
    </xf>
    <xf numFmtId="0" fontId="0" fillId="20" borderId="44" xfId="0" applyFill="1" applyBorder="1" applyAlignment="1">
      <alignment wrapText="1"/>
    </xf>
    <xf numFmtId="0" fontId="0" fillId="20" borderId="23" xfId="0" applyFill="1" applyBorder="1" applyAlignment="1">
      <alignment wrapText="1"/>
    </xf>
    <xf numFmtId="0" fontId="0" fillId="20" borderId="24" xfId="0" applyFill="1" applyBorder="1" applyAlignment="1">
      <alignment wrapText="1"/>
    </xf>
    <xf numFmtId="0" fontId="112" fillId="35" borderId="0" xfId="12" applyFont="1" applyAlignment="1">
      <alignment wrapText="1"/>
    </xf>
    <xf numFmtId="0" fontId="113" fillId="2" borderId="0" xfId="6" applyFont="1" applyAlignment="1">
      <alignment wrapText="1"/>
    </xf>
    <xf numFmtId="0" fontId="114" fillId="12" borderId="0" xfId="5" applyFont="1" applyAlignment="1">
      <alignment wrapText="1"/>
    </xf>
    <xf numFmtId="0" fontId="0" fillId="5" borderId="0" xfId="0" applyFill="1" applyAlignment="1">
      <alignment wrapText="1"/>
    </xf>
    <xf numFmtId="0" fontId="0" fillId="24" borderId="0" xfId="0" applyFill="1" applyAlignment="1">
      <alignment wrapText="1"/>
    </xf>
    <xf numFmtId="0" fontId="2" fillId="0" borderId="32" xfId="0" applyFont="1" applyBorder="1" applyAlignment="1">
      <alignment horizontal="center" vertical="center" wrapText="1"/>
    </xf>
    <xf numFmtId="0" fontId="2" fillId="11" borderId="32" xfId="0" applyFont="1" applyFill="1" applyBorder="1" applyAlignment="1">
      <alignment horizontal="center" vertical="center" wrapText="1"/>
    </xf>
    <xf numFmtId="0" fontId="2" fillId="20" borderId="32" xfId="0" applyFont="1" applyFill="1" applyBorder="1" applyAlignment="1">
      <alignment horizontal="center" vertical="center" wrapText="1"/>
    </xf>
    <xf numFmtId="0" fontId="0" fillId="14" borderId="0" xfId="0" applyFill="1" applyAlignment="1">
      <alignment wrapText="1"/>
    </xf>
    <xf numFmtId="0" fontId="7" fillId="10" borderId="6" xfId="0" applyFont="1" applyFill="1" applyBorder="1" applyAlignment="1">
      <alignment horizontal="left" vertical="center" wrapText="1" readingOrder="1"/>
    </xf>
    <xf numFmtId="0" fontId="2" fillId="14" borderId="1" xfId="0" applyFont="1" applyFill="1" applyBorder="1" applyAlignment="1">
      <alignment horizontal="center" vertical="center" wrapText="1"/>
    </xf>
    <xf numFmtId="0" fontId="7" fillId="11" borderId="1" xfId="3" applyFont="1" applyFill="1" applyBorder="1" applyAlignment="1">
      <alignment horizontal="center" vertical="center" wrapText="1"/>
    </xf>
    <xf numFmtId="0" fontId="7" fillId="11" borderId="21" xfId="3" applyFont="1" applyFill="1" applyBorder="1" applyAlignment="1">
      <alignment horizontal="center" vertical="center" wrapText="1"/>
    </xf>
    <xf numFmtId="0" fontId="0" fillId="11" borderId="0" xfId="0" applyFill="1"/>
    <xf numFmtId="0" fontId="0" fillId="11" borderId="36" xfId="0" applyFill="1" applyBorder="1"/>
    <xf numFmtId="0" fontId="0" fillId="11" borderId="37" xfId="0" applyFill="1" applyBorder="1"/>
    <xf numFmtId="0" fontId="7" fillId="11" borderId="6" xfId="3" applyFont="1" applyFill="1" applyBorder="1" applyAlignment="1">
      <alignment horizontal="center" vertical="center" wrapText="1"/>
    </xf>
    <xf numFmtId="0" fontId="7" fillId="11" borderId="63" xfId="3" applyFont="1" applyFill="1" applyBorder="1" applyAlignment="1">
      <alignment horizontal="center" vertical="center" wrapText="1"/>
    </xf>
    <xf numFmtId="0" fontId="49" fillId="24" borderId="1" xfId="0" applyFont="1" applyFill="1" applyBorder="1" applyAlignment="1">
      <alignment vertical="center" wrapText="1"/>
    </xf>
    <xf numFmtId="0" fontId="0" fillId="0" borderId="0" xfId="0" applyAlignment="1">
      <alignment horizontal="left" wrapText="1"/>
    </xf>
    <xf numFmtId="0" fontId="49" fillId="24" borderId="21" xfId="0" applyFont="1" applyFill="1" applyBorder="1" applyAlignment="1">
      <alignment horizontal="center" vertical="center" wrapText="1"/>
    </xf>
    <xf numFmtId="0" fontId="49" fillId="24" borderId="40" xfId="0" applyFont="1" applyFill="1" applyBorder="1" applyAlignment="1">
      <alignment horizontal="center" vertical="center" wrapText="1"/>
    </xf>
    <xf numFmtId="0" fontId="25" fillId="0" borderId="0" xfId="0" applyFont="1"/>
    <xf numFmtId="14" fontId="2" fillId="0" borderId="0" xfId="0" applyNumberFormat="1" applyFont="1" applyAlignment="1">
      <alignment horizontal="left" wrapText="1"/>
    </xf>
    <xf numFmtId="0" fontId="2" fillId="0" borderId="0" xfId="0" applyFont="1" applyAlignment="1">
      <alignment horizontal="left" wrapText="1" indent="1"/>
    </xf>
    <xf numFmtId="0" fontId="19" fillId="8" borderId="56" xfId="0" applyFont="1" applyFill="1" applyBorder="1" applyAlignment="1">
      <alignment horizontal="center" vertical="center" wrapText="1"/>
    </xf>
    <xf numFmtId="0" fontId="19" fillId="8" borderId="57" xfId="0" applyFont="1" applyFill="1" applyBorder="1" applyAlignment="1">
      <alignment horizontal="center" vertical="center" wrapText="1"/>
    </xf>
    <xf numFmtId="0" fontId="19" fillId="8" borderId="79" xfId="0" applyFont="1" applyFill="1" applyBorder="1" applyAlignment="1">
      <alignment horizontal="center" vertical="center" wrapText="1"/>
    </xf>
    <xf numFmtId="0" fontId="7" fillId="10" borderId="1" xfId="0" applyFont="1" applyFill="1" applyBorder="1" applyAlignment="1">
      <alignment horizontal="left" vertical="center" wrapText="1" indent="1" readingOrder="1"/>
    </xf>
    <xf numFmtId="0" fontId="8" fillId="10" borderId="1" xfId="0" applyFont="1" applyFill="1" applyBorder="1" applyAlignment="1">
      <alignment horizontal="center" vertical="center" wrapText="1" readingOrder="1"/>
    </xf>
    <xf numFmtId="14" fontId="0" fillId="0" borderId="0" xfId="0" applyNumberFormat="1" applyAlignment="1">
      <alignment wrapText="1"/>
    </xf>
    <xf numFmtId="44" fontId="16" fillId="8" borderId="54" xfId="2" applyFont="1" applyFill="1" applyBorder="1" applyAlignment="1">
      <alignment horizontal="left" vertical="center" wrapText="1" indent="1"/>
    </xf>
    <xf numFmtId="1" fontId="16" fillId="8" borderId="52" xfId="2" applyNumberFormat="1" applyFont="1" applyFill="1" applyBorder="1" applyAlignment="1">
      <alignment horizontal="center" vertical="center" wrapText="1"/>
    </xf>
    <xf numFmtId="1" fontId="22" fillId="8" borderId="62" xfId="0" applyNumberFormat="1" applyFont="1" applyFill="1" applyBorder="1" applyAlignment="1">
      <alignment horizontal="center" vertical="center" wrapText="1"/>
    </xf>
    <xf numFmtId="1" fontId="22" fillId="8" borderId="42" xfId="1" applyNumberFormat="1" applyFont="1" applyFill="1" applyBorder="1" applyAlignment="1">
      <alignment horizontal="center" vertical="center" wrapText="1"/>
    </xf>
    <xf numFmtId="1" fontId="1" fillId="8" borderId="42" xfId="1" applyNumberFormat="1" applyFont="1" applyFill="1" applyBorder="1" applyAlignment="1">
      <alignment horizontal="center" wrapText="1"/>
    </xf>
    <xf numFmtId="1" fontId="22" fillId="8" borderId="58" xfId="1" applyNumberFormat="1" applyFont="1" applyFill="1" applyBorder="1" applyAlignment="1">
      <alignment horizontal="center" vertical="center" wrapText="1"/>
    </xf>
    <xf numFmtId="44" fontId="22" fillId="8" borderId="1" xfId="2" applyFont="1" applyFill="1" applyBorder="1" applyAlignment="1">
      <alignment horizontal="left" vertical="center" wrapText="1" indent="1"/>
    </xf>
    <xf numFmtId="44" fontId="0" fillId="0" borderId="23" xfId="0" applyNumberFormat="1" applyBorder="1" applyAlignment="1">
      <alignment horizontal="left" wrapText="1" indent="1"/>
    </xf>
    <xf numFmtId="44" fontId="0" fillId="0" borderId="24" xfId="0" applyNumberFormat="1" applyBorder="1" applyAlignment="1">
      <alignment horizontal="left" wrapText="1" indent="1"/>
    </xf>
    <xf numFmtId="44" fontId="22" fillId="8" borderId="6" xfId="2" applyFont="1" applyFill="1" applyBorder="1" applyAlignment="1">
      <alignment horizontal="left" vertical="center" wrapText="1" indent="1"/>
    </xf>
    <xf numFmtId="44" fontId="22" fillId="8" borderId="7" xfId="0" applyNumberFormat="1" applyFont="1" applyFill="1" applyBorder="1" applyAlignment="1">
      <alignment horizontal="center" vertical="center" wrapText="1"/>
    </xf>
    <xf numFmtId="44" fontId="22" fillId="8" borderId="7" xfId="0" applyNumberFormat="1" applyFont="1" applyFill="1" applyBorder="1" applyAlignment="1">
      <alignment vertical="center" wrapText="1"/>
    </xf>
    <xf numFmtId="44" fontId="22" fillId="8" borderId="8" xfId="2" applyFont="1" applyFill="1" applyBorder="1" applyAlignment="1">
      <alignment horizontal="left" vertical="center" wrapText="1" indent="1"/>
    </xf>
    <xf numFmtId="44" fontId="22" fillId="8" borderId="11" xfId="2" applyFont="1" applyFill="1" applyBorder="1" applyAlignment="1">
      <alignment horizontal="left" vertical="center" wrapText="1" indent="1"/>
    </xf>
    <xf numFmtId="44" fontId="0" fillId="0" borderId="33" xfId="0" applyNumberFormat="1" applyBorder="1" applyAlignment="1">
      <alignment horizontal="left" wrapText="1" indent="1"/>
    </xf>
    <xf numFmtId="44" fontId="22" fillId="8" borderId="16" xfId="2" applyFont="1" applyFill="1" applyBorder="1" applyAlignment="1">
      <alignment horizontal="left" vertical="center" wrapText="1" indent="1"/>
    </xf>
    <xf numFmtId="44" fontId="22" fillId="8" borderId="3" xfId="2" applyFont="1" applyFill="1" applyBorder="1" applyAlignment="1">
      <alignment horizontal="left" vertical="center" wrapText="1" indent="1"/>
    </xf>
    <xf numFmtId="44" fontId="22" fillId="8" borderId="15" xfId="2" applyFont="1" applyFill="1" applyBorder="1" applyAlignment="1">
      <alignment horizontal="left" vertical="center" wrapText="1" indent="1"/>
    </xf>
    <xf numFmtId="44" fontId="22" fillId="8" borderId="20" xfId="2" applyFont="1" applyFill="1" applyBorder="1" applyAlignment="1">
      <alignment horizontal="left" vertical="center" wrapText="1" indent="1"/>
    </xf>
    <xf numFmtId="44" fontId="22" fillId="8" borderId="21" xfId="2" applyFont="1" applyFill="1" applyBorder="1" applyAlignment="1">
      <alignment horizontal="left" vertical="center" wrapText="1" indent="1"/>
    </xf>
    <xf numFmtId="44" fontId="22" fillId="8" borderId="21" xfId="0" applyNumberFormat="1" applyFont="1" applyFill="1" applyBorder="1" applyAlignment="1">
      <alignment horizontal="center" vertical="center" wrapText="1"/>
    </xf>
    <xf numFmtId="44" fontId="22" fillId="8" borderId="21" xfId="2" applyFont="1" applyFill="1" applyBorder="1" applyAlignment="1">
      <alignment vertical="center" wrapText="1"/>
    </xf>
    <xf numFmtId="44" fontId="1" fillId="8" borderId="21" xfId="2" applyFont="1" applyFill="1" applyBorder="1" applyAlignment="1">
      <alignment horizontal="left" wrapText="1" indent="1"/>
    </xf>
    <xf numFmtId="44" fontId="22" fillId="8" borderId="21" xfId="0" applyNumberFormat="1" applyFont="1" applyFill="1" applyBorder="1" applyAlignment="1">
      <alignment horizontal="left" vertical="center" wrapText="1" indent="1"/>
    </xf>
    <xf numFmtId="44" fontId="22" fillId="8" borderId="21" xfId="0" applyNumberFormat="1" applyFont="1" applyFill="1" applyBorder="1" applyAlignment="1">
      <alignment vertical="center" wrapText="1"/>
    </xf>
    <xf numFmtId="44" fontId="22" fillId="10" borderId="21" xfId="2" applyFont="1" applyFill="1" applyBorder="1" applyAlignment="1">
      <alignment horizontal="left" vertical="center" wrapText="1" indent="1"/>
    </xf>
    <xf numFmtId="44" fontId="22" fillId="8" borderId="29" xfId="2" applyFont="1" applyFill="1" applyBorder="1" applyAlignment="1">
      <alignment horizontal="left" vertical="center" wrapText="1" indent="1"/>
    </xf>
    <xf numFmtId="0" fontId="17" fillId="11" borderId="54" xfId="0" applyFont="1" applyFill="1" applyBorder="1" applyAlignment="1">
      <alignment horizontal="center" vertical="center" wrapText="1"/>
    </xf>
    <xf numFmtId="0" fontId="18" fillId="8" borderId="41" xfId="0" applyFont="1" applyFill="1" applyBorder="1" applyAlignment="1">
      <alignment horizontal="center" vertical="center" wrapText="1"/>
    </xf>
    <xf numFmtId="0" fontId="17" fillId="11" borderId="12" xfId="0" applyFont="1" applyFill="1" applyBorder="1" applyAlignment="1">
      <alignment horizontal="center" vertical="center" wrapText="1"/>
    </xf>
    <xf numFmtId="1" fontId="16" fillId="8" borderId="12" xfId="2" applyNumberFormat="1" applyFont="1" applyFill="1" applyBorder="1" applyAlignment="1">
      <alignment horizontal="center" vertical="center" wrapText="1"/>
    </xf>
    <xf numFmtId="1" fontId="16" fillId="8" borderId="14" xfId="2" applyNumberFormat="1" applyFont="1" applyFill="1" applyBorder="1" applyAlignment="1">
      <alignment horizontal="center" vertical="center" wrapText="1"/>
    </xf>
    <xf numFmtId="1" fontId="22" fillId="8" borderId="4" xfId="0" applyNumberFormat="1" applyFont="1" applyFill="1" applyBorder="1" applyAlignment="1">
      <alignment horizontal="center" vertical="center" wrapText="1"/>
    </xf>
    <xf numFmtId="1" fontId="22" fillId="8" borderId="5" xfId="0" applyNumberFormat="1" applyFont="1" applyFill="1" applyBorder="1" applyAlignment="1">
      <alignment horizontal="center" vertical="center" wrapText="1"/>
    </xf>
    <xf numFmtId="1" fontId="22" fillId="8" borderId="6" xfId="1" applyNumberFormat="1" applyFont="1" applyFill="1" applyBorder="1" applyAlignment="1">
      <alignment horizontal="center" vertical="center" wrapText="1"/>
    </xf>
    <xf numFmtId="1" fontId="22" fillId="8" borderId="7" xfId="1" applyNumberFormat="1" applyFont="1" applyFill="1" applyBorder="1" applyAlignment="1">
      <alignment horizontal="center" vertical="center" wrapText="1"/>
    </xf>
    <xf numFmtId="1" fontId="1" fillId="8" borderId="6" xfId="1" applyNumberFormat="1" applyFont="1" applyFill="1" applyBorder="1" applyAlignment="1">
      <alignment horizontal="center" wrapText="1"/>
    </xf>
    <xf numFmtId="1" fontId="1" fillId="8" borderId="7" xfId="1" applyNumberFormat="1" applyFont="1" applyFill="1" applyBorder="1" applyAlignment="1">
      <alignment horizontal="center" wrapText="1"/>
    </xf>
    <xf numFmtId="1" fontId="22" fillId="8" borderId="9" xfId="1" applyNumberFormat="1" applyFont="1" applyFill="1" applyBorder="1" applyAlignment="1">
      <alignment horizontal="center" vertical="center" wrapText="1"/>
    </xf>
    <xf numFmtId="0" fontId="17" fillId="21" borderId="32" xfId="0" applyFont="1" applyFill="1" applyBorder="1" applyAlignment="1">
      <alignment horizontal="center" vertical="center" wrapText="1"/>
    </xf>
    <xf numFmtId="0" fontId="17" fillId="11" borderId="39" xfId="0" applyFont="1" applyFill="1" applyBorder="1" applyAlignment="1">
      <alignment horizontal="center" vertical="center" wrapText="1"/>
    </xf>
    <xf numFmtId="0" fontId="17" fillId="8" borderId="81" xfId="0" applyFont="1" applyFill="1" applyBorder="1" applyAlignment="1">
      <alignment horizontal="center" vertical="center" wrapText="1"/>
    </xf>
    <xf numFmtId="0" fontId="17" fillId="8" borderId="71" xfId="0" applyFont="1" applyFill="1" applyBorder="1" applyAlignment="1">
      <alignment horizontal="center" vertical="center" wrapText="1"/>
    </xf>
    <xf numFmtId="0" fontId="17" fillId="8" borderId="69" xfId="0" applyFont="1" applyFill="1" applyBorder="1" applyAlignment="1">
      <alignment horizontal="center" vertical="center" wrapText="1"/>
    </xf>
    <xf numFmtId="0" fontId="17" fillId="8" borderId="35" xfId="0" applyFont="1" applyFill="1" applyBorder="1" applyAlignment="1">
      <alignment horizontal="center" vertical="center" wrapText="1"/>
    </xf>
    <xf numFmtId="9" fontId="2" fillId="0" borderId="25" xfId="0" applyNumberFormat="1" applyFont="1" applyBorder="1" applyAlignment="1">
      <alignment wrapText="1"/>
    </xf>
    <xf numFmtId="9" fontId="2" fillId="0" borderId="54" xfId="0" applyNumberFormat="1" applyFont="1" applyBorder="1" applyAlignment="1">
      <alignment wrapText="1"/>
    </xf>
    <xf numFmtId="9" fontId="2" fillId="0" borderId="39" xfId="0" applyNumberFormat="1" applyFont="1" applyBorder="1" applyAlignment="1">
      <alignment wrapText="1"/>
    </xf>
    <xf numFmtId="0" fontId="119" fillId="0" borderId="0" xfId="0" applyFont="1"/>
    <xf numFmtId="0" fontId="118" fillId="30" borderId="82" xfId="0" applyFont="1" applyFill="1" applyBorder="1" applyAlignment="1">
      <alignment horizontal="center" vertical="center" wrapText="1"/>
    </xf>
    <xf numFmtId="0" fontId="118" fillId="0" borderId="0" xfId="0" applyFont="1" applyAlignment="1">
      <alignment horizontal="center" wrapText="1"/>
    </xf>
    <xf numFmtId="0" fontId="120" fillId="36" borderId="82" xfId="0" applyFont="1" applyFill="1" applyBorder="1" applyAlignment="1">
      <alignment horizontal="center" vertical="center" wrapText="1"/>
    </xf>
    <xf numFmtId="0" fontId="120" fillId="36" borderId="82" xfId="0" applyFont="1" applyFill="1" applyBorder="1" applyAlignment="1">
      <alignment vertical="center" wrapText="1"/>
    </xf>
    <xf numFmtId="0" fontId="118" fillId="0" borderId="0" xfId="0" applyFont="1"/>
    <xf numFmtId="0" fontId="121" fillId="4" borderId="82" xfId="0" applyFont="1" applyFill="1" applyBorder="1" applyAlignment="1">
      <alignment horizontal="center" vertical="center" wrapText="1"/>
    </xf>
    <xf numFmtId="0" fontId="121" fillId="4" borderId="82" xfId="0" applyFont="1" applyFill="1" applyBorder="1" applyAlignment="1">
      <alignment vertical="center" wrapText="1"/>
    </xf>
    <xf numFmtId="0" fontId="121" fillId="37" borderId="82" xfId="0" applyFont="1" applyFill="1" applyBorder="1" applyAlignment="1">
      <alignment horizontal="center" vertical="center" wrapText="1"/>
    </xf>
    <xf numFmtId="0" fontId="121" fillId="37" borderId="82" xfId="0" applyFont="1" applyFill="1" applyBorder="1" applyAlignment="1">
      <alignment vertical="center" wrapText="1"/>
    </xf>
    <xf numFmtId="49" fontId="120" fillId="36" borderId="82" xfId="0" applyNumberFormat="1" applyFont="1" applyFill="1" applyBorder="1" applyAlignment="1">
      <alignment horizontal="center" vertical="center" wrapText="1"/>
    </xf>
    <xf numFmtId="0" fontId="119" fillId="0" borderId="0" xfId="0" applyFont="1" applyAlignment="1">
      <alignment horizontal="center"/>
    </xf>
    <xf numFmtId="0" fontId="22" fillId="34" borderId="10" xfId="0" applyFont="1" applyFill="1" applyBorder="1" applyAlignment="1">
      <alignment vertical="top" wrapText="1"/>
    </xf>
    <xf numFmtId="0" fontId="22" fillId="34" borderId="5" xfId="0" applyFont="1" applyFill="1" applyBorder="1" applyAlignment="1">
      <alignment vertical="top" wrapText="1"/>
    </xf>
    <xf numFmtId="0" fontId="22" fillId="34" borderId="1" xfId="0" applyFont="1" applyFill="1" applyBorder="1" applyAlignment="1">
      <alignment vertical="top" wrapText="1"/>
    </xf>
    <xf numFmtId="0" fontId="22" fillId="34" borderId="7" xfId="0" applyFont="1" applyFill="1" applyBorder="1" applyAlignment="1">
      <alignment vertical="top" wrapText="1"/>
    </xf>
    <xf numFmtId="0" fontId="22" fillId="0" borderId="6" xfId="0" applyFont="1" applyBorder="1" applyAlignment="1">
      <alignment vertical="top" wrapText="1"/>
    </xf>
    <xf numFmtId="0" fontId="22" fillId="0" borderId="1" xfId="0" applyFont="1" applyBorder="1" applyAlignment="1">
      <alignment vertical="top" wrapText="1"/>
    </xf>
    <xf numFmtId="0" fontId="22" fillId="0" borderId="7" xfId="0" applyFont="1" applyBorder="1" applyAlignment="1">
      <alignment vertical="top" wrapText="1"/>
    </xf>
    <xf numFmtId="0" fontId="22" fillId="0" borderId="8" xfId="0" applyFont="1" applyBorder="1" applyAlignment="1">
      <alignment vertical="top" wrapText="1"/>
    </xf>
    <xf numFmtId="0" fontId="22" fillId="0" borderId="11" xfId="0" applyFont="1" applyBorder="1" applyAlignment="1">
      <alignment vertical="top" wrapText="1"/>
    </xf>
    <xf numFmtId="0" fontId="22" fillId="0" borderId="9" xfId="0" applyFont="1" applyBorder="1" applyAlignment="1">
      <alignment vertical="top" wrapText="1"/>
    </xf>
    <xf numFmtId="0" fontId="12" fillId="8" borderId="74" xfId="0" applyFont="1" applyFill="1" applyBorder="1" applyAlignment="1">
      <alignment horizontal="center" vertical="center" wrapText="1"/>
    </xf>
    <xf numFmtId="0" fontId="19" fillId="8" borderId="41" xfId="0" applyFont="1" applyFill="1" applyBorder="1" applyAlignment="1">
      <alignment horizontal="center" vertical="center" wrapText="1"/>
    </xf>
    <xf numFmtId="0" fontId="22" fillId="34" borderId="4" xfId="0" applyFont="1" applyFill="1" applyBorder="1" applyAlignment="1">
      <alignment vertical="top" wrapText="1"/>
    </xf>
    <xf numFmtId="0" fontId="22" fillId="34" borderId="6" xfId="0" applyFont="1" applyFill="1" applyBorder="1" applyAlignment="1">
      <alignment vertical="top" wrapText="1"/>
    </xf>
    <xf numFmtId="0" fontId="22" fillId="14" borderId="6" xfId="0" applyFont="1" applyFill="1" applyBorder="1" applyAlignment="1">
      <alignment vertical="top" wrapText="1"/>
    </xf>
    <xf numFmtId="0" fontId="109" fillId="33" borderId="12" xfId="0" applyFont="1" applyFill="1" applyBorder="1" applyAlignment="1">
      <alignment horizontal="center" vertical="center" wrapText="1"/>
    </xf>
    <xf numFmtId="0" fontId="109" fillId="33" borderId="13" xfId="0" applyFont="1" applyFill="1" applyBorder="1" applyAlignment="1">
      <alignment horizontal="center" vertical="center" wrapText="1"/>
    </xf>
    <xf numFmtId="0" fontId="109" fillId="33" borderId="14" xfId="0" applyFont="1" applyFill="1" applyBorder="1" applyAlignment="1">
      <alignment horizontal="center" vertical="center" wrapText="1"/>
    </xf>
    <xf numFmtId="0" fontId="124" fillId="38" borderId="0" xfId="0" applyFont="1" applyFill="1" applyAlignment="1">
      <alignment wrapText="1"/>
    </xf>
    <xf numFmtId="0" fontId="2" fillId="0" borderId="50" xfId="0" applyFont="1" applyBorder="1" applyAlignment="1">
      <alignment horizontal="left" vertical="center" wrapText="1"/>
    </xf>
    <xf numFmtId="44" fontId="2" fillId="11" borderId="18" xfId="2" applyFont="1" applyFill="1" applyBorder="1" applyAlignment="1">
      <alignment horizontal="right" vertical="center" wrapText="1"/>
    </xf>
    <xf numFmtId="0" fontId="54" fillId="0" borderId="0" xfId="0" applyFont="1"/>
    <xf numFmtId="0" fontId="118" fillId="30" borderId="83" xfId="0" applyFont="1" applyFill="1" applyBorder="1" applyAlignment="1">
      <alignment horizontal="center" vertical="center" wrapText="1"/>
    </xf>
    <xf numFmtId="0" fontId="120" fillId="36" borderId="83" xfId="0" applyFont="1" applyFill="1" applyBorder="1" applyAlignment="1">
      <alignment horizontal="center" vertical="center" wrapText="1"/>
    </xf>
    <xf numFmtId="0" fontId="120" fillId="36" borderId="89" xfId="0" applyFont="1" applyFill="1" applyBorder="1" applyAlignment="1">
      <alignment horizontal="center" vertical="center" wrapText="1"/>
    </xf>
    <xf numFmtId="0" fontId="120" fillId="36" borderId="90" xfId="0" applyFont="1" applyFill="1" applyBorder="1" applyAlignment="1">
      <alignment horizontal="center" vertical="center" wrapText="1"/>
    </xf>
    <xf numFmtId="0" fontId="120" fillId="36" borderId="85" xfId="0" applyFont="1" applyFill="1" applyBorder="1" applyAlignment="1">
      <alignment horizontal="center" vertical="center" wrapText="1"/>
    </xf>
    <xf numFmtId="0" fontId="121" fillId="4" borderId="83" xfId="0" applyFont="1" applyFill="1" applyBorder="1" applyAlignment="1">
      <alignment horizontal="center" vertical="center" wrapText="1"/>
    </xf>
    <xf numFmtId="0" fontId="121" fillId="4" borderId="89" xfId="0" applyFont="1" applyFill="1" applyBorder="1" applyAlignment="1">
      <alignment horizontal="center" vertical="center" wrapText="1"/>
    </xf>
    <xf numFmtId="0" fontId="121" fillId="4" borderId="90" xfId="0" applyFont="1" applyFill="1" applyBorder="1" applyAlignment="1">
      <alignment horizontal="center" vertical="center" wrapText="1"/>
    </xf>
    <xf numFmtId="0" fontId="121" fillId="4" borderId="85" xfId="0" applyFont="1" applyFill="1" applyBorder="1" applyAlignment="1">
      <alignment horizontal="center" vertical="center" wrapText="1"/>
    </xf>
    <xf numFmtId="0" fontId="121" fillId="37" borderId="83" xfId="0" applyFont="1" applyFill="1" applyBorder="1" applyAlignment="1">
      <alignment horizontal="center" vertical="center" wrapText="1"/>
    </xf>
    <xf numFmtId="0" fontId="121" fillId="37" borderId="89" xfId="0" applyFont="1" applyFill="1" applyBorder="1" applyAlignment="1">
      <alignment horizontal="center" vertical="center" wrapText="1"/>
    </xf>
    <xf numFmtId="0" fontId="121" fillId="37" borderId="90" xfId="0" applyFont="1" applyFill="1" applyBorder="1" applyAlignment="1">
      <alignment horizontal="center" vertical="center" wrapText="1"/>
    </xf>
    <xf numFmtId="0" fontId="121" fillId="37" borderId="85" xfId="0" applyFont="1" applyFill="1" applyBorder="1" applyAlignment="1">
      <alignment horizontal="center" vertical="center" wrapText="1"/>
    </xf>
    <xf numFmtId="0" fontId="120" fillId="36" borderId="91" xfId="0" applyFont="1" applyFill="1" applyBorder="1" applyAlignment="1">
      <alignment horizontal="center" vertical="center" wrapText="1"/>
    </xf>
    <xf numFmtId="0" fontId="120" fillId="36" borderId="92" xfId="0" applyFont="1" applyFill="1" applyBorder="1" applyAlignment="1">
      <alignment horizontal="center" vertical="center" wrapText="1"/>
    </xf>
    <xf numFmtId="0" fontId="121" fillId="4" borderId="93" xfId="0" applyFont="1" applyFill="1" applyBorder="1" applyAlignment="1">
      <alignment horizontal="center" vertical="center" wrapText="1"/>
    </xf>
    <xf numFmtId="0" fontId="118" fillId="20" borderId="87" xfId="0" applyFont="1" applyFill="1" applyBorder="1" applyAlignment="1">
      <alignment horizontal="center" vertical="center" wrapText="1"/>
    </xf>
    <xf numFmtId="0" fontId="118" fillId="20" borderId="88" xfId="0" applyFont="1" applyFill="1" applyBorder="1" applyAlignment="1">
      <alignment horizontal="center" vertical="center" wrapText="1"/>
    </xf>
    <xf numFmtId="0" fontId="118" fillId="39" borderId="87" xfId="0" applyFont="1" applyFill="1" applyBorder="1" applyAlignment="1">
      <alignment horizontal="center" vertical="center" wrapText="1"/>
    </xf>
    <xf numFmtId="0" fontId="118" fillId="39" borderId="88" xfId="0" applyFont="1" applyFill="1" applyBorder="1" applyAlignment="1">
      <alignment horizontal="center" vertical="center" wrapText="1"/>
    </xf>
    <xf numFmtId="0" fontId="118" fillId="40" borderId="87" xfId="0" applyFont="1" applyFill="1" applyBorder="1" applyAlignment="1">
      <alignment horizontal="center" vertical="center" wrapText="1"/>
    </xf>
    <xf numFmtId="0" fontId="118" fillId="40" borderId="88" xfId="0" applyFont="1" applyFill="1" applyBorder="1" applyAlignment="1">
      <alignment horizontal="center" vertical="center" wrapText="1"/>
    </xf>
    <xf numFmtId="0" fontId="118" fillId="20" borderId="85" xfId="0" applyFont="1" applyFill="1" applyBorder="1" applyAlignment="1">
      <alignment horizontal="center" vertical="center" wrapText="1"/>
    </xf>
    <xf numFmtId="0" fontId="118" fillId="20" borderId="82" xfId="0" applyFont="1" applyFill="1" applyBorder="1" applyAlignment="1">
      <alignment horizontal="center" vertical="center" wrapText="1"/>
    </xf>
    <xf numFmtId="0" fontId="8" fillId="10" borderId="41" xfId="0" applyFont="1" applyFill="1" applyBorder="1" applyAlignment="1">
      <alignment vertical="center" wrapText="1"/>
    </xf>
    <xf numFmtId="0" fontId="15" fillId="11" borderId="56" xfId="0" applyFont="1" applyFill="1" applyBorder="1" applyAlignment="1">
      <alignment wrapText="1"/>
    </xf>
    <xf numFmtId="0" fontId="121" fillId="37" borderId="83" xfId="0" applyFont="1" applyFill="1" applyBorder="1" applyAlignment="1">
      <alignment vertical="center" wrapText="1"/>
    </xf>
    <xf numFmtId="0" fontId="121" fillId="37" borderId="89" xfId="0" applyFont="1" applyFill="1" applyBorder="1" applyAlignment="1">
      <alignment vertical="center" wrapText="1"/>
    </xf>
    <xf numFmtId="0" fontId="121" fillId="37" borderId="90" xfId="0" applyFont="1" applyFill="1" applyBorder="1" applyAlignment="1">
      <alignment vertical="center" wrapText="1"/>
    </xf>
    <xf numFmtId="0" fontId="121" fillId="37" borderId="85" xfId="0" applyFont="1" applyFill="1" applyBorder="1" applyAlignment="1">
      <alignment vertical="center" wrapText="1"/>
    </xf>
    <xf numFmtId="0" fontId="121" fillId="4" borderId="96" xfId="0" applyFont="1" applyFill="1" applyBorder="1" applyAlignment="1">
      <alignment horizontal="center" vertical="center" wrapText="1"/>
    </xf>
    <xf numFmtId="0" fontId="121" fillId="4" borderId="97" xfId="0" applyFont="1" applyFill="1" applyBorder="1" applyAlignment="1">
      <alignment horizontal="center" vertical="center" wrapText="1"/>
    </xf>
    <xf numFmtId="0" fontId="121" fillId="4" borderId="98" xfId="0" applyFont="1" applyFill="1" applyBorder="1" applyAlignment="1">
      <alignment horizontal="center" vertical="center" wrapText="1"/>
    </xf>
    <xf numFmtId="0" fontId="121" fillId="37" borderId="91" xfId="0" applyFont="1" applyFill="1" applyBorder="1" applyAlignment="1">
      <alignment horizontal="center" vertical="center" wrapText="1"/>
    </xf>
    <xf numFmtId="0" fontId="121" fillId="37" borderId="92" xfId="0" applyFont="1" applyFill="1" applyBorder="1" applyAlignment="1">
      <alignment horizontal="center" vertical="center" wrapText="1"/>
    </xf>
    <xf numFmtId="0" fontId="119" fillId="0" borderId="0" xfId="0" applyFont="1" applyAlignment="1">
      <alignment horizontal="center" vertical="center"/>
    </xf>
    <xf numFmtId="0" fontId="3" fillId="4" borderId="46" xfId="0" applyFont="1" applyFill="1" applyBorder="1" applyAlignment="1">
      <alignment horizontal="left" vertical="center" wrapText="1" indent="1"/>
    </xf>
    <xf numFmtId="44" fontId="22" fillId="10" borderId="17" xfId="2" applyFont="1" applyFill="1" applyBorder="1" applyAlignment="1">
      <alignment horizontal="left" vertical="center" wrapText="1" indent="1"/>
    </xf>
    <xf numFmtId="44" fontId="0" fillId="0" borderId="45" xfId="0" applyNumberFormat="1" applyBorder="1" applyAlignment="1">
      <alignment horizontal="left" wrapText="1" indent="1"/>
    </xf>
    <xf numFmtId="44" fontId="22" fillId="8" borderId="22" xfId="2" applyFont="1" applyFill="1" applyBorder="1" applyAlignment="1">
      <alignment horizontal="left" vertical="center" wrapText="1" indent="1"/>
    </xf>
    <xf numFmtId="44" fontId="22" fillId="8" borderId="2" xfId="2" applyFont="1" applyFill="1" applyBorder="1" applyAlignment="1">
      <alignment horizontal="left" vertical="center" wrapText="1" indent="1"/>
    </xf>
    <xf numFmtId="44" fontId="22" fillId="10" borderId="99" xfId="2" applyFont="1" applyFill="1" applyBorder="1" applyAlignment="1">
      <alignment horizontal="left" vertical="center" wrapText="1" indent="1"/>
    </xf>
    <xf numFmtId="1" fontId="22" fillId="8" borderId="22" xfId="1" applyNumberFormat="1" applyFont="1" applyFill="1" applyBorder="1" applyAlignment="1">
      <alignment horizontal="center" vertical="center" wrapText="1"/>
    </xf>
    <xf numFmtId="1" fontId="22" fillId="8" borderId="17" xfId="1" applyNumberFormat="1" applyFont="1" applyFill="1" applyBorder="1" applyAlignment="1">
      <alignment horizontal="center" vertical="center" wrapText="1"/>
    </xf>
    <xf numFmtId="1" fontId="22" fillId="8" borderId="45" xfId="1" applyNumberFormat="1" applyFont="1" applyFill="1" applyBorder="1" applyAlignment="1">
      <alignment horizontal="center" vertical="center" wrapText="1"/>
    </xf>
    <xf numFmtId="0" fontId="3" fillId="10" borderId="28" xfId="0" applyFont="1" applyFill="1" applyBorder="1" applyAlignment="1">
      <alignment horizontal="left" vertical="center" wrapText="1" indent="1"/>
    </xf>
    <xf numFmtId="44" fontId="22" fillId="10" borderId="9" xfId="2" applyFont="1" applyFill="1" applyBorder="1" applyAlignment="1">
      <alignment horizontal="left" vertical="center" wrapText="1" indent="1"/>
    </xf>
    <xf numFmtId="0" fontId="18" fillId="10" borderId="21" xfId="0" applyFont="1" applyFill="1" applyBorder="1" applyAlignment="1">
      <alignment horizontal="center" vertical="center" wrapText="1"/>
    </xf>
    <xf numFmtId="44" fontId="0" fillId="10" borderId="24" xfId="0" applyNumberFormat="1" applyFill="1" applyBorder="1" applyAlignment="1">
      <alignment horizontal="left" wrapText="1" indent="1"/>
    </xf>
    <xf numFmtId="44" fontId="22" fillId="10" borderId="8" xfId="2" applyFont="1" applyFill="1" applyBorder="1" applyAlignment="1">
      <alignment horizontal="left" vertical="center" wrapText="1" indent="1"/>
    </xf>
    <xf numFmtId="44" fontId="22" fillId="10" borderId="11" xfId="2" applyFont="1" applyFill="1" applyBorder="1" applyAlignment="1">
      <alignment horizontal="left" vertical="center" wrapText="1" indent="1"/>
    </xf>
    <xf numFmtId="44" fontId="22" fillId="10" borderId="29" xfId="2" applyFont="1" applyFill="1" applyBorder="1" applyAlignment="1">
      <alignment horizontal="left" vertical="center" wrapText="1" indent="1"/>
    </xf>
    <xf numFmtId="1" fontId="22" fillId="10" borderId="8" xfId="1" applyNumberFormat="1" applyFont="1" applyFill="1" applyBorder="1" applyAlignment="1">
      <alignment horizontal="center" vertical="center" wrapText="1"/>
    </xf>
    <xf numFmtId="1" fontId="22" fillId="10" borderId="9" xfId="1" applyNumberFormat="1" applyFont="1" applyFill="1" applyBorder="1" applyAlignment="1">
      <alignment horizontal="center" vertical="center" wrapText="1"/>
    </xf>
    <xf numFmtId="0" fontId="18" fillId="10" borderId="41" xfId="0" applyFont="1" applyFill="1" applyBorder="1" applyAlignment="1">
      <alignment horizontal="center" vertical="center" wrapText="1"/>
    </xf>
    <xf numFmtId="1" fontId="22" fillId="10" borderId="24" xfId="1" applyNumberFormat="1" applyFont="1" applyFill="1" applyBorder="1" applyAlignment="1">
      <alignment horizontal="center" vertical="center" wrapText="1"/>
    </xf>
    <xf numFmtId="9" fontId="22" fillId="10" borderId="6" xfId="4" applyFont="1" applyFill="1" applyBorder="1" applyAlignment="1">
      <alignment horizontal="center" vertical="center" wrapText="1"/>
    </xf>
    <xf numFmtId="9" fontId="22" fillId="10" borderId="1" xfId="4" applyFont="1" applyFill="1" applyBorder="1" applyAlignment="1">
      <alignment horizontal="center" vertical="center" wrapText="1"/>
    </xf>
    <xf numFmtId="9" fontId="22" fillId="10" borderId="7" xfId="4" applyFont="1" applyFill="1" applyBorder="1" applyAlignment="1">
      <alignment horizontal="center" vertical="center" wrapText="1"/>
    </xf>
    <xf numFmtId="0" fontId="0" fillId="10" borderId="0" xfId="0" applyFill="1" applyAlignment="1">
      <alignment horizontal="left" wrapText="1" indent="1"/>
    </xf>
    <xf numFmtId="0" fontId="125" fillId="0" borderId="0" xfId="0" applyFont="1" applyAlignment="1">
      <alignment vertical="top" wrapText="1"/>
    </xf>
    <xf numFmtId="0" fontId="125" fillId="0" borderId="0" xfId="0" quotePrefix="1" applyFont="1" applyAlignment="1">
      <alignment vertical="top" wrapText="1"/>
    </xf>
    <xf numFmtId="0" fontId="25" fillId="21" borderId="6" xfId="0" applyFont="1" applyFill="1" applyBorder="1" applyAlignment="1">
      <alignment horizontal="left" vertical="center" wrapText="1" indent="6"/>
    </xf>
    <xf numFmtId="0" fontId="49" fillId="24" borderId="21" xfId="0" applyFont="1" applyFill="1" applyBorder="1" applyAlignment="1">
      <alignment vertical="center" wrapText="1"/>
    </xf>
    <xf numFmtId="0" fontId="49" fillId="24" borderId="42" xfId="0" applyFont="1" applyFill="1" applyBorder="1" applyAlignment="1">
      <alignment vertical="center" wrapText="1"/>
    </xf>
    <xf numFmtId="0" fontId="7" fillId="21" borderId="6" xfId="0" applyFont="1" applyFill="1" applyBorder="1" applyAlignment="1">
      <alignment horizontal="left" vertical="center" wrapText="1" indent="6"/>
    </xf>
    <xf numFmtId="0" fontId="126" fillId="24" borderId="42" xfId="0" applyFont="1" applyFill="1" applyBorder="1" applyAlignment="1">
      <alignment vertical="center" wrapText="1"/>
    </xf>
    <xf numFmtId="0" fontId="0" fillId="20" borderId="0" xfId="0" applyFill="1" applyAlignment="1">
      <alignment wrapText="1"/>
    </xf>
    <xf numFmtId="0" fontId="24" fillId="12" borderId="0" xfId="5" applyAlignment="1">
      <alignment horizontal="center" vertical="center"/>
    </xf>
    <xf numFmtId="9" fontId="49" fillId="24" borderId="21" xfId="0" applyNumberFormat="1" applyFont="1" applyFill="1" applyBorder="1" applyAlignment="1">
      <alignment horizontal="right" vertical="center" wrapText="1"/>
    </xf>
    <xf numFmtId="0" fontId="49" fillId="24" borderId="21" xfId="0" applyFont="1" applyFill="1" applyBorder="1" applyAlignment="1">
      <alignment horizontal="right" vertical="center" wrapText="1"/>
    </xf>
    <xf numFmtId="0" fontId="25" fillId="21" borderId="6" xfId="0" applyFont="1" applyFill="1" applyBorder="1" applyAlignment="1">
      <alignment horizontal="right" vertical="center" wrapText="1"/>
    </xf>
    <xf numFmtId="0" fontId="111" fillId="35" borderId="0" xfId="12"/>
    <xf numFmtId="0" fontId="25" fillId="21" borderId="6" xfId="0" applyFont="1" applyFill="1" applyBorder="1" applyAlignment="1">
      <alignment vertical="center"/>
    </xf>
    <xf numFmtId="10" fontId="2" fillId="10" borderId="17" xfId="2" applyNumberFormat="1" applyFont="1" applyFill="1" applyBorder="1" applyAlignment="1">
      <alignment horizontal="right" vertical="center" wrapText="1"/>
    </xf>
    <xf numFmtId="17" fontId="0" fillId="0" borderId="0" xfId="0" applyNumberFormat="1" applyAlignment="1">
      <alignment wrapText="1"/>
    </xf>
    <xf numFmtId="0" fontId="26" fillId="10" borderId="1" xfId="0" applyFont="1" applyFill="1" applyBorder="1" applyAlignment="1">
      <alignment horizontal="left" vertical="center" wrapText="1" indent="1"/>
    </xf>
    <xf numFmtId="0" fontId="6" fillId="10" borderId="41" xfId="0" applyFont="1" applyFill="1" applyBorder="1" applyAlignment="1">
      <alignment vertical="center" wrapText="1"/>
    </xf>
    <xf numFmtId="0" fontId="8" fillId="10" borderId="1" xfId="0" applyFont="1" applyFill="1" applyBorder="1" applyAlignment="1">
      <alignment horizontal="left" vertical="center" wrapText="1" indent="1" readingOrder="1"/>
    </xf>
    <xf numFmtId="0" fontId="1" fillId="10" borderId="41" xfId="3" applyFont="1" applyFill="1" applyBorder="1" applyAlignment="1">
      <alignment vertical="center" wrapText="1"/>
    </xf>
    <xf numFmtId="0" fontId="26" fillId="10" borderId="1" xfId="3" applyFont="1" applyFill="1" applyBorder="1" applyAlignment="1">
      <alignment horizontal="left" vertical="center" wrapText="1" indent="1"/>
    </xf>
    <xf numFmtId="0" fontId="27" fillId="10" borderId="41" xfId="3" applyFont="1" applyFill="1" applyBorder="1" applyAlignment="1">
      <alignment vertical="center" wrapText="1"/>
    </xf>
    <xf numFmtId="0" fontId="11" fillId="10" borderId="1" xfId="0" applyFont="1" applyFill="1" applyBorder="1" applyAlignment="1">
      <alignment horizontal="left" vertical="center" wrapText="1" indent="1"/>
    </xf>
    <xf numFmtId="0" fontId="0" fillId="10" borderId="41" xfId="3" applyFont="1" applyFill="1" applyBorder="1" applyAlignment="1">
      <alignment vertical="center" wrapText="1"/>
    </xf>
    <xf numFmtId="0" fontId="5" fillId="10" borderId="1" xfId="0" applyFont="1" applyFill="1" applyBorder="1" applyAlignment="1">
      <alignment horizontal="left" vertical="center" wrapText="1" readingOrder="1"/>
    </xf>
    <xf numFmtId="0" fontId="11" fillId="10" borderId="1" xfId="0" applyFont="1" applyFill="1" applyBorder="1" applyAlignment="1">
      <alignment horizontal="left" vertical="center" wrapText="1" indent="1" readingOrder="1"/>
    </xf>
    <xf numFmtId="0" fontId="8" fillId="10" borderId="41" xfId="0" applyFont="1" applyFill="1" applyBorder="1" applyAlignment="1">
      <alignment vertical="center" wrapText="1" readingOrder="1"/>
    </xf>
    <xf numFmtId="0" fontId="8" fillId="10" borderId="41" xfId="3" applyFont="1" applyFill="1" applyBorder="1" applyAlignment="1">
      <alignment vertical="center" wrapText="1" readingOrder="1"/>
    </xf>
    <xf numFmtId="0" fontId="8" fillId="10" borderId="41" xfId="0" applyFont="1" applyFill="1" applyBorder="1" applyAlignment="1">
      <alignment wrapText="1"/>
    </xf>
    <xf numFmtId="0" fontId="2" fillId="10" borderId="1" xfId="0" applyFont="1" applyFill="1" applyBorder="1" applyAlignment="1">
      <alignment horizontal="left" vertical="center" wrapText="1"/>
    </xf>
    <xf numFmtId="0" fontId="4" fillId="10" borderId="41" xfId="0" applyFont="1" applyFill="1" applyBorder="1" applyAlignment="1">
      <alignment vertical="center" wrapText="1" readingOrder="1"/>
    </xf>
    <xf numFmtId="0" fontId="5" fillId="10" borderId="10" xfId="0" applyFont="1" applyFill="1" applyBorder="1" applyAlignment="1">
      <alignment horizontal="left" vertical="center" wrapText="1" readingOrder="1"/>
    </xf>
    <xf numFmtId="0" fontId="127" fillId="37" borderId="82" xfId="0" applyFont="1" applyFill="1" applyBorder="1" applyAlignment="1">
      <alignment vertical="center" wrapText="1"/>
    </xf>
    <xf numFmtId="0" fontId="127" fillId="4" borderId="82" xfId="0" applyFont="1" applyFill="1" applyBorder="1" applyAlignment="1">
      <alignment vertical="center" wrapText="1"/>
    </xf>
    <xf numFmtId="0" fontId="2" fillId="30" borderId="1" xfId="0" applyFont="1" applyFill="1" applyBorder="1"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49" fillId="24" borderId="1" xfId="0" applyFont="1" applyFill="1" applyBorder="1" applyAlignment="1">
      <alignment horizontal="left" vertical="center" wrapText="1"/>
    </xf>
    <xf numFmtId="0" fontId="49" fillId="24" borderId="7" xfId="0" applyFont="1" applyFill="1" applyBorder="1" applyAlignment="1">
      <alignment horizontal="left" vertical="center" wrapText="1"/>
    </xf>
    <xf numFmtId="0" fontId="49" fillId="24" borderId="21" xfId="0" applyFont="1" applyFill="1" applyBorder="1" applyAlignment="1">
      <alignment horizontal="center" vertical="center" wrapText="1"/>
    </xf>
    <xf numFmtId="0" fontId="49" fillId="24" borderId="40" xfId="0" applyFont="1" applyFill="1" applyBorder="1" applyAlignment="1">
      <alignment horizontal="center" vertical="center" wrapText="1"/>
    </xf>
    <xf numFmtId="0" fontId="49" fillId="24" borderId="43" xfId="0" applyFont="1" applyFill="1" applyBorder="1" applyAlignment="1">
      <alignment horizontal="center" vertical="center" wrapText="1"/>
    </xf>
    <xf numFmtId="0" fontId="49" fillId="24" borderId="48" xfId="0" applyFont="1" applyFill="1" applyBorder="1" applyAlignment="1">
      <alignment horizontal="center" vertical="center" wrapText="1"/>
    </xf>
    <xf numFmtId="0" fontId="49" fillId="24" borderId="29" xfId="0" applyFont="1" applyFill="1" applyBorder="1" applyAlignment="1">
      <alignment horizontal="center" vertical="center" wrapText="1"/>
    </xf>
    <xf numFmtId="0" fontId="49" fillId="24" borderId="47" xfId="0" applyFont="1" applyFill="1" applyBorder="1" applyAlignment="1">
      <alignment horizontal="center" vertical="center" wrapText="1"/>
    </xf>
    <xf numFmtId="0" fontId="49" fillId="24" borderId="21" xfId="0" applyFont="1" applyFill="1" applyBorder="1" applyAlignment="1">
      <alignment horizontal="left" vertical="center" wrapText="1"/>
    </xf>
    <xf numFmtId="0" fontId="49" fillId="24" borderId="40" xfId="0" applyFont="1" applyFill="1" applyBorder="1" applyAlignment="1">
      <alignment horizontal="left" vertical="center" wrapText="1"/>
    </xf>
    <xf numFmtId="0" fontId="49" fillId="24" borderId="42" xfId="0" applyFont="1" applyFill="1" applyBorder="1" applyAlignment="1">
      <alignment horizontal="left" vertical="center" wrapText="1"/>
    </xf>
    <xf numFmtId="0" fontId="49" fillId="24" borderId="58" xfId="0" applyFont="1" applyFill="1" applyBorder="1" applyAlignment="1">
      <alignment horizontal="center" vertical="center" wrapText="1"/>
    </xf>
    <xf numFmtId="0" fontId="49" fillId="24" borderId="42" xfId="0" applyFont="1" applyFill="1" applyBorder="1" applyAlignment="1">
      <alignment horizontal="center" vertical="center" wrapText="1"/>
    </xf>
    <xf numFmtId="0" fontId="49" fillId="24" borderId="62" xfId="0" applyFont="1" applyFill="1" applyBorder="1" applyAlignment="1">
      <alignment horizontal="center" vertical="center" wrapText="1"/>
    </xf>
    <xf numFmtId="0" fontId="2" fillId="21" borderId="54" xfId="0" applyFont="1" applyFill="1" applyBorder="1" applyAlignment="1">
      <alignment horizontal="center" vertical="center" wrapText="1"/>
    </xf>
    <xf numFmtId="0" fontId="2" fillId="21" borderId="39" xfId="0" applyFont="1" applyFill="1" applyBorder="1" applyAlignment="1">
      <alignment horizontal="center" vertical="center" wrapText="1"/>
    </xf>
    <xf numFmtId="0" fontId="2" fillId="21" borderId="12" xfId="0" applyFont="1" applyFill="1" applyBorder="1" applyAlignment="1">
      <alignment horizontal="left" vertical="center" wrapText="1" indent="2"/>
    </xf>
    <xf numFmtId="0" fontId="2" fillId="21" borderId="13" xfId="0" applyFont="1" applyFill="1" applyBorder="1" applyAlignment="1">
      <alignment horizontal="left" vertical="center" wrapText="1" indent="2"/>
    </xf>
    <xf numFmtId="0" fontId="0" fillId="21" borderId="6" xfId="0" applyFill="1" applyBorder="1" applyAlignment="1">
      <alignment horizontal="left" vertical="center" wrapText="1" indent="4"/>
    </xf>
    <xf numFmtId="0" fontId="0" fillId="21" borderId="8" xfId="0" applyFill="1" applyBorder="1" applyAlignment="1">
      <alignment horizontal="left" vertical="center" wrapText="1" indent="4"/>
    </xf>
    <xf numFmtId="0" fontId="49" fillId="24" borderId="10" xfId="0" applyFont="1" applyFill="1" applyBorder="1" applyAlignment="1">
      <alignment horizontal="left" vertical="center" wrapText="1"/>
    </xf>
    <xf numFmtId="0" fontId="49" fillId="24" borderId="5" xfId="0" applyFont="1" applyFill="1" applyBorder="1" applyAlignment="1">
      <alignment horizontal="left" vertical="center" wrapText="1"/>
    </xf>
    <xf numFmtId="0" fontId="18" fillId="24" borderId="21" xfId="0" applyFont="1" applyFill="1" applyBorder="1" applyAlignment="1">
      <alignment horizontal="left" vertical="center" wrapText="1"/>
    </xf>
    <xf numFmtId="0" fontId="18" fillId="24" borderId="40" xfId="0" applyFont="1" applyFill="1" applyBorder="1" applyAlignment="1">
      <alignment horizontal="left" vertical="center" wrapText="1"/>
    </xf>
    <xf numFmtId="0" fontId="2" fillId="21" borderId="25" xfId="0" applyFont="1" applyFill="1" applyBorder="1" applyAlignment="1">
      <alignment horizontal="left" vertical="center" wrapText="1" indent="2"/>
    </xf>
    <xf numFmtId="0" fontId="2" fillId="21" borderId="54" xfId="0" applyFont="1" applyFill="1" applyBorder="1" applyAlignment="1">
      <alignment horizontal="left" vertical="center" wrapText="1" indent="2"/>
    </xf>
    <xf numFmtId="0" fontId="18" fillId="24" borderId="20" xfId="0" applyFont="1" applyFill="1" applyBorder="1" applyAlignment="1">
      <alignment horizontal="left" vertical="center" wrapText="1"/>
    </xf>
    <xf numFmtId="0" fontId="18" fillId="24" borderId="73" xfId="0" applyFont="1" applyFill="1" applyBorder="1" applyAlignment="1">
      <alignment horizontal="left" vertical="center" wrapText="1"/>
    </xf>
    <xf numFmtId="0" fontId="18" fillId="24" borderId="3" xfId="0" applyFont="1" applyFill="1" applyBorder="1" applyAlignment="1">
      <alignment horizontal="left" vertical="center" wrapText="1"/>
    </xf>
    <xf numFmtId="0" fontId="18" fillId="24" borderId="1" xfId="0" applyFont="1" applyFill="1" applyBorder="1" applyAlignment="1">
      <alignment horizontal="left" vertical="center" wrapText="1"/>
    </xf>
    <xf numFmtId="0" fontId="18" fillId="24" borderId="11" xfId="0" applyFont="1" applyFill="1" applyBorder="1" applyAlignment="1">
      <alignment horizontal="left" vertical="center" wrapText="1"/>
    </xf>
    <xf numFmtId="0" fontId="25" fillId="21" borderId="12" xfId="0" applyFont="1" applyFill="1" applyBorder="1" applyAlignment="1">
      <alignment horizontal="left" vertical="center" wrapText="1" indent="2"/>
    </xf>
    <xf numFmtId="0" fontId="25" fillId="21" borderId="13" xfId="0" applyFont="1" applyFill="1" applyBorder="1" applyAlignment="1">
      <alignment horizontal="left" vertical="center" wrapText="1" indent="2"/>
    </xf>
    <xf numFmtId="0" fontId="25" fillId="21" borderId="14" xfId="0" applyFont="1" applyFill="1" applyBorder="1" applyAlignment="1">
      <alignment horizontal="left" vertical="center" wrapText="1" indent="2"/>
    </xf>
    <xf numFmtId="0" fontId="49" fillId="24" borderId="11" xfId="0" applyFont="1" applyFill="1" applyBorder="1" applyAlignment="1">
      <alignment horizontal="left" vertical="center" wrapText="1"/>
    </xf>
    <xf numFmtId="0" fontId="0" fillId="21" borderId="4" xfId="0" applyFill="1" applyBorder="1" applyAlignment="1">
      <alignment horizontal="left" vertical="center" wrapText="1" indent="4"/>
    </xf>
    <xf numFmtId="0" fontId="2" fillId="21" borderId="38" xfId="0" applyFont="1" applyFill="1" applyBorder="1" applyAlignment="1">
      <alignment horizontal="left" vertical="center" wrapText="1" indent="2"/>
    </xf>
    <xf numFmtId="0" fontId="2" fillId="21" borderId="77" xfId="0" applyFont="1" applyFill="1" applyBorder="1" applyAlignment="1">
      <alignment horizontal="left" vertical="center" wrapText="1" indent="2"/>
    </xf>
    <xf numFmtId="0" fontId="2" fillId="21" borderId="56" xfId="0" applyFont="1" applyFill="1" applyBorder="1" applyAlignment="1">
      <alignment horizontal="left" vertical="center" wrapText="1" indent="2"/>
    </xf>
    <xf numFmtId="0" fontId="2" fillId="21" borderId="52" xfId="0" applyFont="1" applyFill="1" applyBorder="1" applyAlignment="1">
      <alignment horizontal="left" vertical="center" wrapText="1" indent="2"/>
    </xf>
    <xf numFmtId="0" fontId="49" fillId="24" borderId="9" xfId="0" applyFont="1" applyFill="1" applyBorder="1" applyAlignment="1">
      <alignment horizontal="left" vertical="center" wrapText="1"/>
    </xf>
    <xf numFmtId="0" fontId="18" fillId="24" borderId="41" xfId="0" applyFont="1" applyFill="1" applyBorder="1" applyAlignment="1">
      <alignment horizontal="left" vertical="center" wrapText="1"/>
    </xf>
    <xf numFmtId="0" fontId="0" fillId="21" borderId="27" xfId="0" applyFill="1" applyBorder="1" applyAlignment="1">
      <alignment horizontal="left" vertical="center" wrapText="1" indent="4"/>
    </xf>
    <xf numFmtId="0" fontId="0" fillId="21" borderId="42" xfId="0" applyFill="1" applyBorder="1" applyAlignment="1">
      <alignment horizontal="left" vertical="center" wrapText="1" indent="4"/>
    </xf>
    <xf numFmtId="0" fontId="0" fillId="21" borderId="6" xfId="0" applyFill="1" applyBorder="1" applyAlignment="1">
      <alignment horizontal="left" vertical="center" wrapText="1" indent="2"/>
    </xf>
    <xf numFmtId="0" fontId="0" fillId="21" borderId="8" xfId="0" applyFill="1" applyBorder="1" applyAlignment="1">
      <alignment horizontal="left" vertical="center" wrapText="1" indent="2"/>
    </xf>
    <xf numFmtId="0" fontId="0" fillId="21" borderId="11" xfId="0" applyFill="1" applyBorder="1" applyAlignment="1">
      <alignment horizontal="left" vertical="center" wrapText="1" indent="2"/>
    </xf>
    <xf numFmtId="0" fontId="0" fillId="21" borderId="1" xfId="0" applyFill="1" applyBorder="1" applyAlignment="1">
      <alignment horizontal="left" vertical="center" wrapText="1" indent="2"/>
    </xf>
    <xf numFmtId="0" fontId="13" fillId="22" borderId="12" xfId="0" applyFont="1" applyFill="1" applyBorder="1" applyAlignment="1">
      <alignment horizontal="left" vertical="center" wrapText="1"/>
    </xf>
    <xf numFmtId="0" fontId="13" fillId="22" borderId="13" xfId="0" applyFont="1" applyFill="1" applyBorder="1" applyAlignment="1">
      <alignment horizontal="left" vertical="center" wrapText="1"/>
    </xf>
    <xf numFmtId="0" fontId="13" fillId="22" borderId="14" xfId="0" applyFont="1" applyFill="1" applyBorder="1" applyAlignment="1">
      <alignment horizontal="left" vertical="center" wrapText="1"/>
    </xf>
    <xf numFmtId="0" fontId="18" fillId="24" borderId="42" xfId="0" applyFont="1" applyFill="1" applyBorder="1" applyAlignment="1">
      <alignment horizontal="left" vertical="center" wrapText="1"/>
    </xf>
    <xf numFmtId="0" fontId="0" fillId="21" borderId="22" xfId="0" applyFill="1" applyBorder="1" applyAlignment="1">
      <alignment horizontal="left" vertical="center" wrapText="1" indent="2"/>
    </xf>
    <xf numFmtId="0" fontId="0" fillId="21" borderId="50" xfId="0" applyFill="1" applyBorder="1" applyAlignment="1">
      <alignment horizontal="left" vertical="center" wrapText="1" indent="2"/>
    </xf>
    <xf numFmtId="0" fontId="0" fillId="21" borderId="16" xfId="0" applyFill="1" applyBorder="1" applyAlignment="1">
      <alignment horizontal="left" vertical="center" wrapText="1" indent="2"/>
    </xf>
    <xf numFmtId="0" fontId="0" fillId="21" borderId="16" xfId="0" applyFill="1" applyBorder="1" applyAlignment="1">
      <alignment horizontal="left" vertical="center" wrapText="1" indent="4"/>
    </xf>
    <xf numFmtId="0" fontId="49" fillId="24" borderId="20" xfId="0" applyFont="1" applyFill="1" applyBorder="1" applyAlignment="1">
      <alignment horizontal="left" vertical="center" wrapText="1"/>
    </xf>
    <xf numFmtId="0" fontId="49" fillId="24" borderId="78" xfId="0" applyFont="1" applyFill="1" applyBorder="1" applyAlignment="1">
      <alignment horizontal="left" vertical="center" wrapText="1"/>
    </xf>
    <xf numFmtId="0" fontId="49" fillId="24" borderId="57" xfId="0" applyFont="1" applyFill="1" applyBorder="1" applyAlignment="1">
      <alignment horizontal="left" vertical="center" wrapText="1"/>
    </xf>
    <xf numFmtId="0" fontId="13" fillId="22" borderId="69" xfId="0" applyFont="1" applyFill="1" applyBorder="1" applyAlignment="1">
      <alignment horizontal="left" vertical="center" wrapText="1"/>
    </xf>
    <xf numFmtId="0" fontId="13" fillId="22" borderId="72" xfId="0" applyFont="1" applyFill="1" applyBorder="1" applyAlignment="1">
      <alignment horizontal="left" vertical="center" wrapText="1"/>
    </xf>
    <xf numFmtId="0" fontId="13" fillId="22" borderId="70" xfId="0" applyFont="1" applyFill="1" applyBorder="1" applyAlignment="1">
      <alignment horizontal="left" vertical="center" wrapText="1"/>
    </xf>
    <xf numFmtId="0" fontId="2" fillId="21" borderId="14" xfId="0" applyFont="1" applyFill="1" applyBorder="1" applyAlignment="1">
      <alignment horizontal="left" vertical="center" wrapText="1" indent="2"/>
    </xf>
    <xf numFmtId="0" fontId="0" fillId="21" borderId="3" xfId="0" applyFill="1" applyBorder="1" applyAlignment="1">
      <alignment horizontal="left" vertical="center" wrapText="1" indent="4"/>
    </xf>
    <xf numFmtId="0" fontId="0" fillId="21" borderId="1" xfId="0" applyFill="1" applyBorder="1" applyAlignment="1">
      <alignment horizontal="left" vertical="center" wrapText="1" indent="4"/>
    </xf>
    <xf numFmtId="0" fontId="0" fillId="21" borderId="11" xfId="0" applyFill="1" applyBorder="1" applyAlignment="1">
      <alignment horizontal="left" vertical="center" wrapText="1" indent="4"/>
    </xf>
    <xf numFmtId="0" fontId="49" fillId="24" borderId="3" xfId="0" applyFont="1" applyFill="1" applyBorder="1" applyAlignment="1">
      <alignment horizontal="left" vertical="center" wrapText="1"/>
    </xf>
    <xf numFmtId="0" fontId="18" fillId="24" borderId="3" xfId="0" applyFont="1" applyFill="1" applyBorder="1" applyAlignment="1">
      <alignment vertical="center" wrapText="1"/>
    </xf>
    <xf numFmtId="0" fontId="18" fillId="24" borderId="15" xfId="0" applyFont="1" applyFill="1" applyBorder="1" applyAlignment="1">
      <alignment vertical="center" wrapText="1"/>
    </xf>
    <xf numFmtId="0" fontId="18" fillId="24" borderId="1" xfId="0" applyFont="1" applyFill="1" applyBorder="1" applyAlignment="1">
      <alignment vertical="center" wrapText="1"/>
    </xf>
    <xf numFmtId="0" fontId="18" fillId="24" borderId="7" xfId="0" applyFont="1" applyFill="1" applyBorder="1" applyAlignment="1">
      <alignment vertical="center" wrapText="1"/>
    </xf>
    <xf numFmtId="0" fontId="0" fillId="21" borderId="16" xfId="0" applyFill="1" applyBorder="1" applyAlignment="1">
      <alignment horizontal="left" vertical="center" wrapText="1" indent="6"/>
    </xf>
    <xf numFmtId="0" fontId="0" fillId="21" borderId="3" xfId="0" applyFill="1" applyBorder="1" applyAlignment="1">
      <alignment horizontal="left" vertical="center" wrapText="1" indent="6"/>
    </xf>
    <xf numFmtId="0" fontId="2" fillId="21" borderId="4" xfId="0" applyFont="1" applyFill="1" applyBorder="1" applyAlignment="1">
      <alignment horizontal="left" vertical="center" wrapText="1" indent="2"/>
    </xf>
    <xf numFmtId="0" fontId="2" fillId="21" borderId="10" xfId="0" applyFont="1" applyFill="1" applyBorder="1" applyAlignment="1">
      <alignment horizontal="left" vertical="center" wrapText="1" indent="2"/>
    </xf>
    <xf numFmtId="0" fontId="2" fillId="21" borderId="5" xfId="0" applyFont="1" applyFill="1" applyBorder="1" applyAlignment="1">
      <alignment horizontal="left" vertical="center" wrapText="1" indent="2"/>
    </xf>
    <xf numFmtId="0" fontId="49" fillId="24" borderId="43" xfId="0" applyFont="1" applyFill="1" applyBorder="1" applyAlignment="1">
      <alignment horizontal="left" vertical="center" wrapText="1"/>
    </xf>
    <xf numFmtId="0" fontId="49" fillId="24" borderId="74" xfId="0" applyFont="1" applyFill="1" applyBorder="1" applyAlignment="1">
      <alignment horizontal="left" vertical="center" wrapText="1"/>
    </xf>
    <xf numFmtId="0" fontId="49" fillId="24" borderId="62" xfId="0" applyFont="1" applyFill="1" applyBorder="1" applyAlignment="1">
      <alignment horizontal="left" vertical="center" wrapText="1"/>
    </xf>
    <xf numFmtId="0" fontId="49" fillId="24" borderId="41" xfId="0" applyFont="1" applyFill="1" applyBorder="1" applyAlignment="1">
      <alignment horizontal="left" vertical="center" wrapText="1"/>
    </xf>
    <xf numFmtId="0" fontId="13" fillId="22" borderId="16" xfId="0" applyFont="1" applyFill="1" applyBorder="1" applyAlignment="1">
      <alignment horizontal="left" vertical="center" wrapText="1"/>
    </xf>
    <xf numFmtId="0" fontId="13" fillId="22" borderId="3" xfId="0" applyFont="1" applyFill="1" applyBorder="1" applyAlignment="1">
      <alignment horizontal="left" vertical="center" wrapText="1"/>
    </xf>
    <xf numFmtId="0" fontId="13" fillId="22" borderId="15" xfId="0" applyFont="1" applyFill="1" applyBorder="1" applyAlignment="1">
      <alignment horizontal="left" vertical="center" wrapText="1"/>
    </xf>
    <xf numFmtId="0" fontId="2" fillId="21" borderId="12" xfId="0" applyFont="1" applyFill="1" applyBorder="1" applyAlignment="1">
      <alignment horizontal="left" vertical="center" wrapText="1" indent="4"/>
    </xf>
    <xf numFmtId="0" fontId="2" fillId="21" borderId="13" xfId="0" applyFont="1" applyFill="1" applyBorder="1" applyAlignment="1">
      <alignment horizontal="left" vertical="center" wrapText="1" indent="4"/>
    </xf>
    <xf numFmtId="0" fontId="0" fillId="21" borderId="8" xfId="0" applyFill="1" applyBorder="1" applyAlignment="1">
      <alignment horizontal="left" vertical="center" wrapText="1" indent="6"/>
    </xf>
    <xf numFmtId="0" fontId="0" fillId="21" borderId="11" xfId="0" applyFill="1" applyBorder="1" applyAlignment="1">
      <alignment horizontal="left" vertical="center" wrapText="1" indent="6"/>
    </xf>
    <xf numFmtId="0" fontId="2" fillId="21" borderId="25" xfId="0" applyFont="1" applyFill="1" applyBorder="1" applyAlignment="1">
      <alignment horizontal="left" vertical="center" wrapText="1" indent="4"/>
    </xf>
    <xf numFmtId="0" fontId="2" fillId="21" borderId="54" xfId="0" applyFont="1" applyFill="1" applyBorder="1" applyAlignment="1">
      <alignment horizontal="left" vertical="center" wrapText="1" indent="4"/>
    </xf>
    <xf numFmtId="0" fontId="49" fillId="24" borderId="73" xfId="0" applyFont="1" applyFill="1" applyBorder="1" applyAlignment="1">
      <alignment horizontal="left" vertical="center" wrapText="1"/>
    </xf>
    <xf numFmtId="0" fontId="47" fillId="23" borderId="34" xfId="0" applyFont="1" applyFill="1" applyBorder="1" applyAlignment="1">
      <alignment horizontal="center" vertical="center" wrapText="1"/>
    </xf>
    <xf numFmtId="0" fontId="47" fillId="23" borderId="71" xfId="0" applyFont="1" applyFill="1" applyBorder="1" applyAlignment="1">
      <alignment horizontal="center" vertical="center" wrapText="1"/>
    </xf>
    <xf numFmtId="0" fontId="47" fillId="23" borderId="35" xfId="0" applyFont="1" applyFill="1" applyBorder="1" applyAlignment="1">
      <alignment horizontal="center" vertical="center" wrapText="1"/>
    </xf>
    <xf numFmtId="0" fontId="0" fillId="21" borderId="6" xfId="0" applyFill="1" applyBorder="1" applyAlignment="1">
      <alignment horizontal="left" vertical="center" wrapText="1" indent="6"/>
    </xf>
    <xf numFmtId="0" fontId="54" fillId="22" borderId="69" xfId="0" applyFont="1" applyFill="1" applyBorder="1" applyAlignment="1">
      <alignment horizontal="left" vertical="center" wrapText="1"/>
    </xf>
    <xf numFmtId="0" fontId="54" fillId="22" borderId="72" xfId="0" applyFont="1" applyFill="1" applyBorder="1" applyAlignment="1">
      <alignment horizontal="left" vertical="center" wrapText="1"/>
    </xf>
    <xf numFmtId="0" fontId="54" fillId="22" borderId="70" xfId="0" applyFont="1" applyFill="1" applyBorder="1" applyAlignment="1">
      <alignment horizontal="left" vertical="center" wrapText="1"/>
    </xf>
    <xf numFmtId="0" fontId="0" fillId="21" borderId="22" xfId="0" applyFill="1" applyBorder="1" applyAlignment="1">
      <alignment horizontal="left" vertical="center" wrapText="1" indent="6"/>
    </xf>
    <xf numFmtId="0" fontId="2" fillId="21" borderId="52" xfId="0" applyFont="1" applyFill="1" applyBorder="1" applyAlignment="1">
      <alignment horizontal="left" vertical="center" wrapText="1" indent="4"/>
    </xf>
    <xf numFmtId="0" fontId="0" fillId="21" borderId="6" xfId="0" applyFill="1" applyBorder="1" applyAlignment="1">
      <alignment horizontal="left" vertical="center" wrapText="1"/>
    </xf>
    <xf numFmtId="0" fontId="2" fillId="21" borderId="13" xfId="0" applyFont="1" applyFill="1" applyBorder="1" applyAlignment="1">
      <alignment horizontal="center" vertical="center" wrapText="1"/>
    </xf>
    <xf numFmtId="0" fontId="2" fillId="21" borderId="14" xfId="0" applyFont="1" applyFill="1" applyBorder="1" applyAlignment="1">
      <alignment horizontal="center" vertical="center" wrapText="1"/>
    </xf>
    <xf numFmtId="0" fontId="2" fillId="21" borderId="19" xfId="0" applyFont="1" applyFill="1" applyBorder="1" applyAlignment="1">
      <alignment horizontal="center" vertical="center" wrapText="1"/>
    </xf>
    <xf numFmtId="0" fontId="13" fillId="22" borderId="50" xfId="0" applyFont="1" applyFill="1" applyBorder="1" applyAlignment="1">
      <alignment horizontal="left" vertical="center" wrapText="1"/>
    </xf>
    <xf numFmtId="0" fontId="13" fillId="22" borderId="76" xfId="0" applyFont="1" applyFill="1" applyBorder="1" applyAlignment="1">
      <alignment horizontal="left" vertical="center" wrapText="1"/>
    </xf>
    <xf numFmtId="0" fontId="13" fillId="22" borderId="18" xfId="0" applyFont="1" applyFill="1" applyBorder="1" applyAlignment="1">
      <alignment horizontal="left" vertical="center" wrapText="1"/>
    </xf>
    <xf numFmtId="0" fontId="0" fillId="21" borderId="26" xfId="0" applyFill="1" applyBorder="1" applyAlignment="1">
      <alignment horizontal="left" vertical="center" wrapText="1" indent="4"/>
    </xf>
    <xf numFmtId="0" fontId="0" fillId="21" borderId="57" xfId="0" applyFill="1" applyBorder="1" applyAlignment="1">
      <alignment horizontal="left" vertical="center" wrapText="1" indent="4"/>
    </xf>
    <xf numFmtId="0" fontId="49" fillId="24" borderId="29" xfId="0" applyFont="1" applyFill="1" applyBorder="1" applyAlignment="1">
      <alignment horizontal="left" vertical="center" wrapText="1"/>
    </xf>
    <xf numFmtId="0" fontId="49" fillId="24" borderId="47" xfId="0" applyFont="1" applyFill="1" applyBorder="1" applyAlignment="1">
      <alignment horizontal="left" vertical="center" wrapText="1"/>
    </xf>
    <xf numFmtId="0" fontId="49" fillId="24" borderId="58" xfId="0" applyFont="1" applyFill="1" applyBorder="1" applyAlignment="1">
      <alignment horizontal="left" vertical="center" wrapText="1"/>
    </xf>
    <xf numFmtId="0" fontId="13" fillId="0" borderId="19" xfId="0" applyFont="1" applyBorder="1" applyAlignment="1">
      <alignment horizontal="left" vertical="top"/>
    </xf>
    <xf numFmtId="0" fontId="13" fillId="0" borderId="54" xfId="0" applyFont="1" applyBorder="1" applyAlignment="1">
      <alignment horizontal="left" vertical="top"/>
    </xf>
    <xf numFmtId="0" fontId="13" fillId="0" borderId="52" xfId="0" applyFont="1" applyBorder="1" applyAlignment="1">
      <alignment horizontal="left" vertical="top"/>
    </xf>
    <xf numFmtId="49" fontId="2" fillId="11" borderId="6" xfId="0" applyNumberFormat="1" applyFont="1" applyFill="1" applyBorder="1" applyAlignment="1">
      <alignment horizontal="left" vertical="center"/>
    </xf>
    <xf numFmtId="0" fontId="0" fillId="11" borderId="6" xfId="0" applyFill="1" applyBorder="1" applyAlignment="1">
      <alignment horizontal="left" vertical="center"/>
    </xf>
    <xf numFmtId="0" fontId="2" fillId="0" borderId="4" xfId="0" applyFont="1" applyBorder="1" applyAlignment="1">
      <alignment horizontal="left" vertical="top" wrapText="1"/>
    </xf>
    <xf numFmtId="0" fontId="2" fillId="0" borderId="74" xfId="0" applyFont="1" applyBorder="1" applyAlignment="1">
      <alignment horizontal="left" vertical="top" wrapText="1"/>
    </xf>
    <xf numFmtId="0" fontId="2" fillId="0" borderId="5" xfId="0" applyFont="1" applyBorder="1" applyAlignment="1">
      <alignment horizontal="left" vertical="top" wrapText="1"/>
    </xf>
    <xf numFmtId="0" fontId="0" fillId="0" borderId="6" xfId="0" applyBorder="1" applyAlignment="1">
      <alignment horizontal="left" vertical="top" wrapText="1"/>
    </xf>
    <xf numFmtId="0" fontId="0" fillId="0" borderId="41"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75" xfId="0" applyBorder="1" applyAlignment="1">
      <alignment horizontal="left" vertical="top" wrapText="1"/>
    </xf>
    <xf numFmtId="0" fontId="0" fillId="0" borderId="9" xfId="0" applyBorder="1" applyAlignment="1">
      <alignment horizontal="left" vertical="top" wrapText="1"/>
    </xf>
    <xf numFmtId="0" fontId="118" fillId="30" borderId="94" xfId="0" applyFont="1" applyFill="1" applyBorder="1" applyAlignment="1">
      <alignment horizontal="center" vertical="center" wrapText="1"/>
    </xf>
    <xf numFmtId="0" fontId="118" fillId="30" borderId="95" xfId="0" applyFont="1" applyFill="1" applyBorder="1" applyAlignment="1">
      <alignment horizontal="center" vertical="center" wrapText="1"/>
    </xf>
    <xf numFmtId="0" fontId="118" fillId="20" borderId="86" xfId="0" applyFont="1" applyFill="1" applyBorder="1" applyAlignment="1">
      <alignment horizontal="center" vertical="center"/>
    </xf>
    <xf numFmtId="0" fontId="118" fillId="20" borderId="82" xfId="0" applyFont="1" applyFill="1" applyBorder="1" applyAlignment="1">
      <alignment horizontal="center" vertical="center"/>
    </xf>
    <xf numFmtId="0" fontId="118" fillId="30" borderId="82" xfId="0" applyFont="1" applyFill="1" applyBorder="1" applyAlignment="1">
      <alignment horizontal="center" vertical="center"/>
    </xf>
    <xf numFmtId="0" fontId="118" fillId="30" borderId="83" xfId="0" applyFont="1" applyFill="1" applyBorder="1" applyAlignment="1">
      <alignment horizontal="center" vertical="center"/>
    </xf>
    <xf numFmtId="0" fontId="118" fillId="30" borderId="84" xfId="0" applyFont="1" applyFill="1" applyBorder="1" applyAlignment="1">
      <alignment horizontal="center" vertical="center"/>
    </xf>
    <xf numFmtId="0" fontId="118" fillId="30" borderId="85" xfId="0" applyFont="1" applyFill="1" applyBorder="1" applyAlignment="1">
      <alignment horizontal="center" vertical="center"/>
    </xf>
    <xf numFmtId="0" fontId="0" fillId="10" borderId="0" xfId="0" applyFill="1" applyAlignment="1">
      <alignment horizontal="left" vertical="top" wrapText="1"/>
    </xf>
    <xf numFmtId="0" fontId="109" fillId="33" borderId="0" xfId="0" applyFont="1" applyFill="1" applyAlignment="1">
      <alignment horizontal="center" vertical="center" wrapText="1"/>
    </xf>
    <xf numFmtId="0" fontId="109" fillId="33" borderId="77" xfId="0" applyFont="1" applyFill="1" applyBorder="1" applyAlignment="1">
      <alignment horizontal="center" vertical="center" wrapText="1"/>
    </xf>
    <xf numFmtId="0" fontId="122" fillId="0" borderId="34" xfId="0" applyFont="1" applyBorder="1" applyAlignment="1">
      <alignment horizontal="center" wrapText="1"/>
    </xf>
    <xf numFmtId="0" fontId="122" fillId="0" borderId="71" xfId="0" applyFont="1" applyBorder="1" applyAlignment="1">
      <alignment horizontal="center" wrapText="1"/>
    </xf>
    <xf numFmtId="0" fontId="122" fillId="0" borderId="35" xfId="0" applyFont="1" applyBorder="1" applyAlignment="1">
      <alignment horizontal="center" wrapText="1"/>
    </xf>
    <xf numFmtId="0" fontId="54" fillId="33" borderId="0" xfId="0" applyFont="1" applyFill="1" applyAlignment="1">
      <alignment horizontal="left" vertical="top" textRotation="90" wrapText="1"/>
    </xf>
    <xf numFmtId="0" fontId="25" fillId="10" borderId="77" xfId="0" applyFont="1" applyFill="1" applyBorder="1" applyAlignment="1">
      <alignment horizontal="center" wrapText="1"/>
    </xf>
    <xf numFmtId="0" fontId="25" fillId="10" borderId="60" xfId="0" applyFont="1" applyFill="1" applyBorder="1" applyAlignment="1">
      <alignment horizontal="center" wrapText="1"/>
    </xf>
    <xf numFmtId="0" fontId="0" fillId="0" borderId="1" xfId="0" applyBorder="1" applyAlignment="1">
      <alignment horizontal="left" wrapText="1"/>
    </xf>
    <xf numFmtId="0" fontId="17" fillId="3" borderId="51" xfId="0" applyFont="1" applyFill="1" applyBorder="1" applyAlignment="1">
      <alignment horizontal="center" vertical="center" wrapText="1"/>
    </xf>
    <xf numFmtId="0" fontId="17" fillId="3" borderId="74" xfId="0" applyFont="1" applyFill="1" applyBorder="1" applyAlignment="1">
      <alignment horizontal="center" vertical="center" wrapText="1"/>
    </xf>
    <xf numFmtId="0" fontId="17" fillId="3" borderId="48" xfId="0" applyFont="1" applyFill="1" applyBorder="1" applyAlignment="1">
      <alignment horizontal="center" vertical="center" wrapText="1"/>
    </xf>
    <xf numFmtId="0" fontId="3" fillId="4" borderId="27" xfId="0" applyFont="1" applyFill="1" applyBorder="1" applyAlignment="1">
      <alignment horizontal="left" vertical="center" wrapText="1"/>
    </xf>
    <xf numFmtId="0" fontId="3" fillId="4" borderId="41" xfId="0" applyFont="1" applyFill="1" applyBorder="1" applyAlignment="1">
      <alignment horizontal="left" vertical="center" wrapText="1"/>
    </xf>
    <xf numFmtId="0" fontId="3" fillId="4" borderId="40"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25" xfId="0" applyFont="1" applyFill="1" applyBorder="1" applyAlignment="1">
      <alignment horizontal="left" vertical="center" wrapText="1"/>
    </xf>
    <xf numFmtId="0" fontId="3" fillId="4" borderId="54" xfId="0" applyFont="1" applyFill="1" applyBorder="1" applyAlignment="1">
      <alignment horizontal="left" vertical="center" wrapText="1"/>
    </xf>
    <xf numFmtId="0" fontId="3" fillId="4" borderId="39" xfId="0" applyFont="1" applyFill="1" applyBorder="1" applyAlignment="1">
      <alignment horizontal="left" vertical="center" wrapText="1"/>
    </xf>
    <xf numFmtId="0" fontId="17" fillId="3" borderId="25" xfId="0" applyFont="1" applyFill="1" applyBorder="1" applyAlignment="1">
      <alignment horizontal="center" vertical="center" wrapText="1"/>
    </xf>
    <xf numFmtId="0" fontId="17" fillId="3" borderId="54" xfId="0" applyFont="1" applyFill="1" applyBorder="1" applyAlignment="1">
      <alignment horizontal="center" vertical="center" wrapText="1"/>
    </xf>
    <xf numFmtId="0" fontId="17" fillId="3" borderId="39" xfId="0" applyFont="1" applyFill="1" applyBorder="1" applyAlignment="1">
      <alignment horizontal="center" vertical="center" wrapText="1"/>
    </xf>
    <xf numFmtId="0" fontId="0" fillId="0" borderId="1" xfId="0" applyBorder="1" applyAlignment="1">
      <alignment horizontal="center" wrapText="1"/>
    </xf>
    <xf numFmtId="0" fontId="3" fillId="4" borderId="51" xfId="0" applyFont="1" applyFill="1" applyBorder="1" applyAlignment="1">
      <alignment horizontal="left" vertical="center" wrapText="1"/>
    </xf>
    <xf numFmtId="0" fontId="3" fillId="4" borderId="74" xfId="0" applyFont="1" applyFill="1" applyBorder="1" applyAlignment="1">
      <alignment horizontal="left" vertical="center" wrapText="1"/>
    </xf>
    <xf numFmtId="0" fontId="3" fillId="4" borderId="48" xfId="0" applyFont="1" applyFill="1" applyBorder="1" applyAlignment="1">
      <alignment horizontal="left" vertical="center" wrapText="1"/>
    </xf>
    <xf numFmtId="0" fontId="17" fillId="3" borderId="28" xfId="0" applyFont="1" applyFill="1" applyBorder="1" applyAlignment="1">
      <alignment horizontal="left" vertical="center" wrapText="1"/>
    </xf>
    <xf numFmtId="0" fontId="17" fillId="3" borderId="75" xfId="0" applyFont="1" applyFill="1" applyBorder="1" applyAlignment="1">
      <alignment horizontal="left" vertical="center" wrapText="1"/>
    </xf>
    <xf numFmtId="0" fontId="17" fillId="3" borderId="47" xfId="0" applyFont="1" applyFill="1" applyBorder="1" applyAlignment="1">
      <alignment horizontal="left" vertical="center" wrapText="1"/>
    </xf>
    <xf numFmtId="0" fontId="16" fillId="4" borderId="25" xfId="0" applyFont="1" applyFill="1" applyBorder="1" applyAlignment="1">
      <alignment horizontal="left" vertical="center" wrapText="1"/>
    </xf>
    <xf numFmtId="0" fontId="16" fillId="4" borderId="54" xfId="0" applyFont="1" applyFill="1" applyBorder="1" applyAlignment="1">
      <alignment horizontal="left" vertical="center" wrapText="1"/>
    </xf>
    <xf numFmtId="0" fontId="16" fillId="4" borderId="39" xfId="0" applyFont="1"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3" fillId="4" borderId="9" xfId="0" applyFont="1" applyFill="1" applyBorder="1" applyAlignment="1">
      <alignment horizontal="left" vertical="center" wrapText="1"/>
    </xf>
    <xf numFmtId="0" fontId="1" fillId="15" borderId="21" xfId="7" applyBorder="1" applyAlignment="1">
      <alignment horizontal="left" vertical="center" wrapText="1"/>
    </xf>
    <xf numFmtId="0" fontId="1" fillId="15" borderId="42" xfId="7" applyBorder="1" applyAlignment="1">
      <alignment horizontal="left" vertical="center" wrapText="1"/>
    </xf>
    <xf numFmtId="0" fontId="58" fillId="0" borderId="2" xfId="0" applyFont="1" applyBorder="1" applyAlignment="1">
      <alignment horizontal="center" vertical="center" wrapText="1"/>
    </xf>
    <xf numFmtId="0" fontId="58" fillId="0" borderId="76" xfId="0" applyFont="1" applyBorder="1" applyAlignment="1">
      <alignment horizontal="center" vertical="center" wrapText="1"/>
    </xf>
    <xf numFmtId="0" fontId="58" fillId="0" borderId="3" xfId="0" applyFont="1" applyBorder="1" applyAlignment="1">
      <alignment horizontal="center" vertical="center" wrapText="1"/>
    </xf>
    <xf numFmtId="0" fontId="58" fillId="8" borderId="2" xfId="0" applyFont="1" applyFill="1" applyBorder="1" applyAlignment="1">
      <alignment horizontal="left" vertical="center" wrapText="1"/>
    </xf>
    <xf numFmtId="0" fontId="58" fillId="8" borderId="76" xfId="0" applyFont="1" applyFill="1" applyBorder="1" applyAlignment="1">
      <alignment horizontal="left" vertical="center" wrapText="1"/>
    </xf>
    <xf numFmtId="0" fontId="58" fillId="8" borderId="3" xfId="0" applyFont="1" applyFill="1" applyBorder="1" applyAlignment="1">
      <alignment horizontal="left" vertical="center" wrapText="1"/>
    </xf>
    <xf numFmtId="0" fontId="58" fillId="0" borderId="2" xfId="0" applyFont="1" applyBorder="1" applyAlignment="1">
      <alignment horizontal="left" vertical="center" wrapText="1"/>
    </xf>
    <xf numFmtId="0" fontId="58" fillId="0" borderId="76" xfId="0" applyFont="1" applyBorder="1" applyAlignment="1">
      <alignment horizontal="left" vertical="center" wrapText="1"/>
    </xf>
    <xf numFmtId="0" fontId="58" fillId="0" borderId="3" xfId="0" applyFont="1" applyBorder="1" applyAlignment="1">
      <alignment horizontal="left" vertical="center" wrapText="1"/>
    </xf>
    <xf numFmtId="0" fontId="57" fillId="25" borderId="21" xfId="0" applyFont="1" applyFill="1" applyBorder="1" applyAlignment="1">
      <alignment horizontal="left" vertical="center"/>
    </xf>
    <xf numFmtId="0" fontId="57" fillId="25" borderId="41" xfId="0" applyFont="1" applyFill="1" applyBorder="1" applyAlignment="1">
      <alignment horizontal="left" vertical="center"/>
    </xf>
    <xf numFmtId="0" fontId="57" fillId="25" borderId="42" xfId="0" applyFont="1" applyFill="1" applyBorder="1" applyAlignment="1">
      <alignment horizontal="left" vertical="center"/>
    </xf>
    <xf numFmtId="0" fontId="58" fillId="13" borderId="0" xfId="0" applyFont="1" applyFill="1" applyAlignment="1">
      <alignment horizontal="left" vertical="center"/>
    </xf>
    <xf numFmtId="0" fontId="57" fillId="25" borderId="21" xfId="0" applyFont="1" applyFill="1" applyBorder="1" applyAlignment="1">
      <alignment horizontal="center" vertical="center" wrapText="1"/>
    </xf>
    <xf numFmtId="0" fontId="57" fillId="25" borderId="41" xfId="0" applyFont="1" applyFill="1" applyBorder="1" applyAlignment="1">
      <alignment horizontal="center" vertical="center" wrapText="1"/>
    </xf>
    <xf numFmtId="0" fontId="57" fillId="25" borderId="42" xfId="0" applyFont="1" applyFill="1" applyBorder="1" applyAlignment="1">
      <alignment horizontal="center" vertical="center" wrapText="1"/>
    </xf>
    <xf numFmtId="0" fontId="0" fillId="21" borderId="3" xfId="0" applyFill="1" applyBorder="1" applyAlignment="1">
      <alignment horizontal="center" vertical="center" wrapText="1"/>
    </xf>
    <xf numFmtId="0" fontId="0" fillId="21" borderId="1" xfId="0" applyFill="1" applyBorder="1" applyAlignment="1">
      <alignment horizontal="center" vertical="center" wrapText="1"/>
    </xf>
    <xf numFmtId="0" fontId="57" fillId="25" borderId="1" xfId="0" applyFont="1" applyFill="1" applyBorder="1" applyAlignment="1">
      <alignment horizontal="center" vertical="center" wrapText="1"/>
    </xf>
    <xf numFmtId="0" fontId="57" fillId="25" borderId="2" xfId="0" applyFont="1" applyFill="1" applyBorder="1" applyAlignment="1">
      <alignment horizontal="center" vertical="center" wrapText="1"/>
    </xf>
    <xf numFmtId="0" fontId="57" fillId="25" borderId="3" xfId="0" applyFont="1" applyFill="1" applyBorder="1" applyAlignment="1">
      <alignment horizontal="center" vertical="center" wrapText="1"/>
    </xf>
    <xf numFmtId="0" fontId="57" fillId="25" borderId="61" xfId="0" applyFont="1" applyFill="1" applyBorder="1" applyAlignment="1">
      <alignment horizontal="center" vertical="center" wrapText="1"/>
    </xf>
    <xf numFmtId="0" fontId="57" fillId="25" borderId="33" xfId="0" applyFont="1" applyFill="1" applyBorder="1" applyAlignment="1">
      <alignment horizontal="center" vertical="center" wrapText="1"/>
    </xf>
    <xf numFmtId="0" fontId="57" fillId="25" borderId="79" xfId="0" applyFont="1" applyFill="1" applyBorder="1" applyAlignment="1">
      <alignment horizontal="center" vertical="center" wrapText="1"/>
    </xf>
    <xf numFmtId="0" fontId="57" fillId="25" borderId="57" xfId="0" applyFont="1" applyFill="1" applyBorder="1" applyAlignment="1">
      <alignment horizontal="center" vertical="center" wrapText="1"/>
    </xf>
    <xf numFmtId="0" fontId="57" fillId="25" borderId="21" xfId="0" applyFont="1" applyFill="1" applyBorder="1" applyAlignment="1">
      <alignment horizontal="center" vertical="center"/>
    </xf>
    <xf numFmtId="0" fontId="97" fillId="25" borderId="21" xfId="0" applyFont="1" applyFill="1" applyBorder="1" applyAlignment="1">
      <alignment horizontal="center" vertical="center" wrapText="1"/>
    </xf>
    <xf numFmtId="44" fontId="104" fillId="25" borderId="2" xfId="2" applyFont="1" applyFill="1" applyBorder="1" applyAlignment="1">
      <alignment horizontal="center" vertical="center" wrapText="1"/>
    </xf>
    <xf numFmtId="44" fontId="104" fillId="25" borderId="3" xfId="2" applyFont="1" applyFill="1" applyBorder="1" applyAlignment="1">
      <alignment horizontal="center" vertical="center" wrapText="1"/>
    </xf>
    <xf numFmtId="1" fontId="104" fillId="25" borderId="21" xfId="0" applyNumberFormat="1" applyFont="1" applyFill="1" applyBorder="1" applyAlignment="1">
      <alignment horizontal="center" vertical="center"/>
    </xf>
    <xf numFmtId="0" fontId="104" fillId="25" borderId="1" xfId="0" applyFont="1" applyFill="1" applyBorder="1" applyAlignment="1">
      <alignment horizontal="center" vertical="center" wrapText="1"/>
    </xf>
    <xf numFmtId="0" fontId="104" fillId="25" borderId="3" xfId="0" applyFont="1" applyFill="1" applyBorder="1" applyAlignment="1">
      <alignment horizontal="center" vertical="center" wrapText="1"/>
    </xf>
    <xf numFmtId="0" fontId="104" fillId="25" borderId="2" xfId="0" applyFont="1" applyFill="1" applyBorder="1" applyAlignment="1">
      <alignment horizontal="center" vertical="center" wrapText="1"/>
    </xf>
    <xf numFmtId="0" fontId="104" fillId="25" borderId="22" xfId="0" applyFont="1" applyFill="1" applyBorder="1" applyAlignment="1">
      <alignment horizontal="center" vertical="center" wrapText="1"/>
    </xf>
    <xf numFmtId="0" fontId="104" fillId="25" borderId="16" xfId="0" applyFont="1" applyFill="1" applyBorder="1" applyAlignment="1">
      <alignment horizontal="center" vertical="center" wrapText="1"/>
    </xf>
    <xf numFmtId="0" fontId="104" fillId="8" borderId="21" xfId="0" applyFont="1" applyFill="1" applyBorder="1" applyAlignment="1">
      <alignment horizontal="center" vertical="center" wrapText="1"/>
    </xf>
    <xf numFmtId="0" fontId="104" fillId="25" borderId="21" xfId="0" applyFont="1" applyFill="1" applyBorder="1" applyAlignment="1">
      <alignment horizontal="center" vertical="center" wrapText="1"/>
    </xf>
    <xf numFmtId="0" fontId="57" fillId="25" borderId="69" xfId="0" applyFont="1" applyFill="1" applyBorder="1" applyAlignment="1">
      <alignment horizontal="center" vertical="center" wrapText="1"/>
    </xf>
    <xf numFmtId="0" fontId="57" fillId="25" borderId="16" xfId="0" applyFont="1" applyFill="1" applyBorder="1" applyAlignment="1">
      <alignment horizontal="center" vertical="center" wrapText="1"/>
    </xf>
    <xf numFmtId="0" fontId="104" fillId="25" borderId="79" xfId="0" applyFont="1" applyFill="1" applyBorder="1" applyAlignment="1">
      <alignment horizontal="center" vertical="center" wrapText="1"/>
    </xf>
    <xf numFmtId="0" fontId="104" fillId="25" borderId="57" xfId="0" applyFont="1" applyFill="1" applyBorder="1" applyAlignment="1">
      <alignment horizontal="center" vertical="center" wrapText="1"/>
    </xf>
    <xf numFmtId="0" fontId="103" fillId="8" borderId="2" xfId="0" applyFont="1" applyFill="1" applyBorder="1" applyAlignment="1">
      <alignment horizontal="left" vertical="center" wrapText="1"/>
    </xf>
    <xf numFmtId="0" fontId="103" fillId="8" borderId="76" xfId="0" applyFont="1" applyFill="1" applyBorder="1" applyAlignment="1">
      <alignment horizontal="left" vertical="center" wrapText="1"/>
    </xf>
    <xf numFmtId="0" fontId="103" fillId="8" borderId="3" xfId="0" applyFont="1" applyFill="1" applyBorder="1" applyAlignment="1">
      <alignment horizontal="left" vertical="center" wrapText="1"/>
    </xf>
    <xf numFmtId="164" fontId="57" fillId="25" borderId="61" xfId="0" applyNumberFormat="1" applyFont="1" applyFill="1" applyBorder="1" applyAlignment="1">
      <alignment horizontal="center" vertical="center" wrapText="1"/>
    </xf>
    <xf numFmtId="164" fontId="57" fillId="25" borderId="33" xfId="0" applyNumberFormat="1" applyFont="1" applyFill="1" applyBorder="1" applyAlignment="1">
      <alignment horizontal="center" vertical="center" wrapText="1"/>
    </xf>
    <xf numFmtId="0" fontId="104" fillId="8" borderId="25" xfId="0" applyFont="1" applyFill="1" applyBorder="1" applyAlignment="1">
      <alignment horizontal="center" vertical="center"/>
    </xf>
    <xf numFmtId="0" fontId="104" fillId="8" borderId="54" xfId="0" applyFont="1" applyFill="1" applyBorder="1" applyAlignment="1">
      <alignment horizontal="center" vertical="center"/>
    </xf>
    <xf numFmtId="0" fontId="104" fillId="8" borderId="52" xfId="0" applyFont="1" applyFill="1" applyBorder="1" applyAlignment="1">
      <alignment horizontal="center" vertical="center"/>
    </xf>
    <xf numFmtId="0" fontId="104" fillId="8" borderId="41" xfId="0" applyFont="1" applyFill="1" applyBorder="1" applyAlignment="1">
      <alignment horizontal="center" vertical="center" wrapText="1"/>
    </xf>
    <xf numFmtId="0" fontId="104" fillId="8" borderId="42" xfId="0" applyFont="1" applyFill="1" applyBorder="1" applyAlignment="1">
      <alignment horizontal="center" vertical="center" wrapText="1"/>
    </xf>
    <xf numFmtId="0" fontId="103" fillId="8" borderId="2" xfId="0" applyFont="1" applyFill="1" applyBorder="1" applyAlignment="1">
      <alignment horizontal="center" vertical="center" wrapText="1"/>
    </xf>
    <xf numFmtId="0" fontId="103" fillId="8" borderId="76" xfId="0" applyFont="1" applyFill="1" applyBorder="1" applyAlignment="1">
      <alignment horizontal="center" vertical="center" wrapText="1"/>
    </xf>
    <xf numFmtId="0" fontId="103" fillId="8" borderId="3" xfId="0" applyFont="1" applyFill="1" applyBorder="1" applyAlignment="1">
      <alignment horizontal="center" vertical="center"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25" xfId="0" applyBorder="1" applyAlignment="1">
      <alignment horizontal="left" vertical="top" wrapText="1"/>
    </xf>
    <xf numFmtId="0" fontId="0" fillId="0" borderId="39" xfId="0"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13" fillId="0" borderId="34"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25" xfId="0" applyFont="1" applyBorder="1" applyAlignment="1">
      <alignment horizontal="center" vertical="top" wrapText="1"/>
    </xf>
    <xf numFmtId="0" fontId="13" fillId="0" borderId="54" xfId="0" applyFont="1" applyBorder="1" applyAlignment="1">
      <alignment horizontal="center" vertical="top" wrapText="1"/>
    </xf>
    <xf numFmtId="0" fontId="13" fillId="0" borderId="39" xfId="0" applyFont="1" applyBorder="1" applyAlignment="1">
      <alignment horizontal="center" vertical="top"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77" fillId="28" borderId="21" xfId="0" applyFont="1" applyFill="1" applyBorder="1" applyAlignment="1">
      <alignment horizontal="center" vertical="center" wrapText="1"/>
    </xf>
    <xf numFmtId="0" fontId="77" fillId="28" borderId="41" xfId="0" applyFont="1" applyFill="1" applyBorder="1" applyAlignment="1">
      <alignment horizontal="center" vertical="center" wrapText="1"/>
    </xf>
    <xf numFmtId="0" fontId="77" fillId="28" borderId="42" xfId="0" applyFont="1" applyFill="1" applyBorder="1" applyAlignment="1">
      <alignment horizontal="center" vertical="center" wrapText="1"/>
    </xf>
    <xf numFmtId="0" fontId="77" fillId="8" borderId="1" xfId="0" applyFont="1" applyFill="1" applyBorder="1" applyAlignment="1">
      <alignment horizontal="center" vertical="center" wrapText="1"/>
    </xf>
    <xf numFmtId="0" fontId="60" fillId="26" borderId="1" xfId="0" applyFont="1" applyFill="1" applyBorder="1" applyAlignment="1">
      <alignment horizontal="center" vertical="center"/>
    </xf>
    <xf numFmtId="0" fontId="3" fillId="4" borderId="69" xfId="0" applyFont="1" applyFill="1" applyBorder="1" applyAlignment="1">
      <alignment horizontal="left" vertical="center" wrapText="1"/>
    </xf>
    <xf numFmtId="0" fontId="3" fillId="4" borderId="30" xfId="0" applyFont="1" applyFill="1" applyBorder="1" applyAlignment="1">
      <alignment horizontal="left" vertical="center" wrapText="1"/>
    </xf>
    <xf numFmtId="0" fontId="3" fillId="4" borderId="50" xfId="0" applyFont="1" applyFill="1" applyBorder="1" applyAlignment="1">
      <alignment horizontal="left" vertical="center" wrapText="1"/>
    </xf>
    <xf numFmtId="0" fontId="39" fillId="10" borderId="61" xfId="0" applyFont="1" applyFill="1" applyBorder="1" applyAlignment="1">
      <alignment horizontal="center" vertical="center" wrapText="1"/>
    </xf>
    <xf numFmtId="0" fontId="39" fillId="10" borderId="49" xfId="0" applyFont="1" applyFill="1" applyBorder="1" applyAlignment="1">
      <alignment horizontal="center" vertical="center" wrapText="1"/>
    </xf>
    <xf numFmtId="0" fontId="39" fillId="10" borderId="59" xfId="0" applyFont="1" applyFill="1" applyBorder="1" applyAlignment="1">
      <alignment horizontal="center" vertical="center" wrapText="1"/>
    </xf>
    <xf numFmtId="0" fontId="39" fillId="19" borderId="61" xfId="0" applyFont="1" applyFill="1" applyBorder="1" applyAlignment="1">
      <alignment horizontal="center" vertical="center" wrapText="1"/>
    </xf>
    <xf numFmtId="0" fontId="39" fillId="19" borderId="49" xfId="0" applyFont="1" applyFill="1" applyBorder="1" applyAlignment="1">
      <alignment horizontal="center" vertical="center" wrapText="1"/>
    </xf>
    <xf numFmtId="0" fontId="39" fillId="19" borderId="59" xfId="0" applyFont="1" applyFill="1" applyBorder="1" applyAlignment="1">
      <alignment horizontal="center" vertical="center" wrapText="1"/>
    </xf>
  </cellXfs>
  <cellStyles count="13">
    <cellStyle name="20% — акцент2" xfId="7" builtinId="34"/>
    <cellStyle name="20% — акцент3" xfId="8" builtinId="38"/>
    <cellStyle name="20% — акцент5" xfId="9" builtinId="46"/>
    <cellStyle name="20% — акцент6" xfId="10" builtinId="50"/>
    <cellStyle name="Денежный" xfId="2" builtinId="4"/>
    <cellStyle name="Денежный 2" xfId="11" xr:uid="{00000000-0005-0000-0000-000005000000}"/>
    <cellStyle name="Нейтральный" xfId="6" builtinId="28"/>
    <cellStyle name="Нейтральный 2" xfId="3" xr:uid="{00000000-0005-0000-0000-000007000000}"/>
    <cellStyle name="Обычный" xfId="0" builtinId="0"/>
    <cellStyle name="Плохой" xfId="5" builtinId="27"/>
    <cellStyle name="Процентный" xfId="4" builtinId="5"/>
    <cellStyle name="Финансовый" xfId="1" builtinId="3"/>
    <cellStyle name="Хороший" xfId="12" builtinId="26"/>
  </cellStyles>
  <dxfs count="1261">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2"/>
        </patternFill>
      </fill>
    </dxf>
    <dxf>
      <font>
        <color rgb="FF006100"/>
      </font>
      <fill>
        <patternFill>
          <bgColor rgb="FFC6EFCE"/>
        </patternFill>
      </fill>
    </dxf>
    <dxf>
      <font>
        <color rgb="FF9C0006"/>
      </font>
      <fill>
        <patternFill>
          <bgColor rgb="FFFFC7CE"/>
        </patternFill>
      </fill>
    </dxf>
    <dxf>
      <fill>
        <patternFill>
          <bgColor theme="2"/>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strike val="0"/>
        <color theme="1" tint="0.499984740745262"/>
      </font>
      <fill>
        <patternFill>
          <bgColor theme="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strike val="0"/>
        <color theme="1" tint="0.499984740745262"/>
      </font>
      <fill>
        <patternFill>
          <bgColor theme="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strike val="0"/>
        <color theme="1" tint="0.499984740745262"/>
      </font>
      <fill>
        <patternFill>
          <bgColor them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006100"/>
      </font>
      <fill>
        <patternFill>
          <bgColor rgb="FFC6EFCE"/>
        </patternFill>
      </fill>
    </dxf>
    <dxf>
      <font>
        <color rgb="FF9C5700"/>
      </font>
      <fill>
        <patternFill>
          <bgColor rgb="FFFFEB9C"/>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color theme="1" tint="0.499984740745262"/>
      </font>
      <fill>
        <patternFill>
          <bgColor theme="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color theme="1" tint="0.499984740745262"/>
      </font>
      <fill>
        <patternFill>
          <bgColor them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patternFill>
      </fill>
    </dxf>
    <dxf>
      <fill>
        <patternFill>
          <bgColor theme="8"/>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8"/>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8"/>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8"/>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0006"/>
      </font>
      <fill>
        <patternFill>
          <bgColor rgb="FFFFC7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8"/>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8"/>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0006"/>
      </font>
      <fill>
        <patternFill>
          <bgColor rgb="FFFFC7CE"/>
        </patternFill>
      </fill>
    </dxf>
    <dxf>
      <font>
        <color rgb="FF9C5700"/>
      </font>
      <fill>
        <patternFill>
          <bgColor rgb="FFFFEB9C"/>
        </patternFill>
      </fill>
    </dxf>
    <dxf>
      <fill>
        <patternFill>
          <bgColor theme="8"/>
        </patternFill>
      </fill>
    </dxf>
    <dxf>
      <font>
        <color rgb="FF006100"/>
      </font>
      <fill>
        <patternFill>
          <bgColor rgb="FFC6EF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ill>
        <patternFill>
          <bgColor theme="8"/>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0006"/>
      </font>
      <fill>
        <patternFill>
          <bgColor rgb="FFFFC7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0006"/>
      </font>
      <fill>
        <patternFill>
          <bgColor rgb="FFFFC7CE"/>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ill>
        <patternFill>
          <bgColor theme="8"/>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5700"/>
      </font>
      <fill>
        <patternFill>
          <bgColor rgb="FFFFEB9C"/>
        </patternFill>
      </fill>
    </dxf>
    <dxf>
      <font>
        <color rgb="FF006100"/>
      </font>
      <fill>
        <patternFill>
          <bgColor rgb="FFC6EFCE"/>
        </patternFill>
      </fill>
    </dxf>
    <dxf>
      <fill>
        <patternFill>
          <bgColor theme="8"/>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patternFill>
      </fill>
    </dxf>
    <dxf>
      <font>
        <color rgb="FF9C5700"/>
      </font>
      <fill>
        <patternFill>
          <bgColor rgb="FFFFEB9C"/>
        </patternFill>
      </fill>
    </dxf>
    <dxf>
      <fill>
        <patternFill>
          <bgColor theme="8"/>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8"/>
        </patternFill>
      </fill>
    </dxf>
    <dxf>
      <font>
        <color rgb="FF9C5700"/>
      </font>
      <fill>
        <patternFill>
          <bgColor rgb="FFFFEB9C"/>
        </patternFill>
      </fill>
    </dxf>
    <dxf>
      <fill>
        <patternFill>
          <bgColor theme="8"/>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8"/>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color auto="1"/>
        <name val="Times New Roman"/>
        <scheme val="none"/>
      </font>
    </dxf>
    <dxf>
      <font>
        <strike val="0"/>
        <outline val="0"/>
        <shadow val="0"/>
        <u val="none"/>
        <vertAlign val="baseline"/>
        <color auto="1"/>
        <name val="Times New Roman"/>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name val="Times New Roman"/>
        <scheme val="none"/>
      </font>
    </dxf>
    <dxf>
      <border>
        <bottom style="thin">
          <color indexed="64"/>
        </bottom>
      </border>
    </dxf>
    <dxf>
      <font>
        <strike val="0"/>
        <outline val="0"/>
        <shadow val="0"/>
        <u val="none"/>
        <vertAlign val="baseline"/>
        <sz val="14"/>
        <color theme="1"/>
        <name val="Times New Roman"/>
        <scheme val="none"/>
      </font>
      <fill>
        <patternFill patternType="solid">
          <fgColor indexed="64"/>
          <bgColor theme="0" tint="-0.14999847407452621"/>
        </patternFill>
      </fill>
      <border diagonalUp="0" diagonalDown="0" outline="0">
        <left style="thin">
          <color indexed="64"/>
        </left>
        <right style="thin">
          <color indexed="64"/>
        </right>
        <top/>
        <bottom/>
      </border>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D3:F102" totalsRowShown="0" headerRowDxfId="1260" dataDxfId="1258" headerRowBorderDxfId="1259" tableBorderDxfId="1257" totalsRowBorderDxfId="1256">
  <tableColumns count="3">
    <tableColumn id="2" xr3:uid="{00000000-0010-0000-0000-000002000000}" name="Наименование" dataDxfId="1255"/>
    <tableColumn id="3" xr3:uid="{00000000-0010-0000-0000-000003000000}" name="Цена(1)" dataDxfId="1254"/>
    <tableColumn id="7" xr3:uid="{00000000-0010-0000-0000-000007000000}" name="Рег.номер" dataDxfId="1253"/>
  </tableColumns>
  <tableStyleInfo name="TableStyleLight9"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9962-F8A2-4235-B266-8C69E0520C21}">
  <dimension ref="A1:C11"/>
  <sheetViews>
    <sheetView workbookViewId="0">
      <selection activeCell="B6" sqref="B6:B7"/>
    </sheetView>
  </sheetViews>
  <sheetFormatPr defaultRowHeight="15" x14ac:dyDescent="0.25"/>
  <cols>
    <col min="1" max="1" width="3.140625" style="1044" bestFit="1" customWidth="1"/>
    <col min="2" max="2" width="58.28515625" customWidth="1"/>
    <col min="3" max="3" width="97" customWidth="1"/>
  </cols>
  <sheetData>
    <row r="1" spans="1:3" s="1041" customFormat="1" x14ac:dyDescent="0.25">
      <c r="A1" s="1040" t="s">
        <v>1029</v>
      </c>
      <c r="B1" s="1040" t="s">
        <v>2305</v>
      </c>
      <c r="C1" s="1040" t="s">
        <v>2306</v>
      </c>
    </row>
    <row r="2" spans="1:3" x14ac:dyDescent="0.25">
      <c r="A2" s="1042">
        <v>1</v>
      </c>
      <c r="B2" s="1043"/>
      <c r="C2" s="1043"/>
    </row>
    <row r="3" spans="1:3" x14ac:dyDescent="0.25">
      <c r="A3" s="1042">
        <v>2</v>
      </c>
      <c r="B3" s="1043"/>
      <c r="C3" s="1043"/>
    </row>
    <row r="4" spans="1:3" x14ac:dyDescent="0.25">
      <c r="A4" s="1042">
        <v>3</v>
      </c>
      <c r="B4" s="1043"/>
      <c r="C4" s="1043"/>
    </row>
    <row r="5" spans="1:3" x14ac:dyDescent="0.25">
      <c r="A5" s="1042">
        <v>4</v>
      </c>
      <c r="B5" s="1043"/>
      <c r="C5" s="1043"/>
    </row>
    <row r="6" spans="1:3" x14ac:dyDescent="0.25">
      <c r="A6" s="1042">
        <v>5</v>
      </c>
      <c r="B6" s="1043"/>
      <c r="C6" s="1043"/>
    </row>
    <row r="7" spans="1:3" x14ac:dyDescent="0.25">
      <c r="A7" s="1042">
        <v>6</v>
      </c>
      <c r="B7" s="1043"/>
      <c r="C7" s="1043"/>
    </row>
    <row r="8" spans="1:3" x14ac:dyDescent="0.25">
      <c r="A8" s="1042">
        <v>7</v>
      </c>
      <c r="B8" s="1043"/>
      <c r="C8" s="1043"/>
    </row>
    <row r="9" spans="1:3" x14ac:dyDescent="0.25">
      <c r="A9" s="1042">
        <v>8</v>
      </c>
      <c r="B9" s="1043"/>
      <c r="C9" s="1043"/>
    </row>
    <row r="10" spans="1:3" x14ac:dyDescent="0.25">
      <c r="A10" s="1042">
        <v>9</v>
      </c>
      <c r="B10" s="1043"/>
      <c r="C10" s="1043"/>
    </row>
    <row r="11" spans="1:3" x14ac:dyDescent="0.25">
      <c r="A11" s="1042">
        <v>10</v>
      </c>
      <c r="B11" s="1043"/>
      <c r="C11" s="10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2"/>
  <sheetViews>
    <sheetView zoomScaleNormal="100" workbookViewId="0">
      <pane xSplit="1" ySplit="1" topLeftCell="B2" activePane="bottomRight" state="frozen"/>
      <selection pane="topRight" activeCell="B1" sqref="B1"/>
      <selection pane="bottomLeft" activeCell="A2" sqref="A2"/>
      <selection pane="bottomRight" activeCell="B35" sqref="B35"/>
    </sheetView>
  </sheetViews>
  <sheetFormatPr defaultColWidth="9.28515625" defaultRowHeight="15" outlineLevelRow="2" x14ac:dyDescent="0.25"/>
  <cols>
    <col min="1" max="1" width="28.7109375" style="1" customWidth="1"/>
    <col min="2" max="2" width="119.28515625" style="1" customWidth="1"/>
    <col min="3" max="16384" width="9.28515625" style="1"/>
  </cols>
  <sheetData>
    <row r="1" spans="1:2" x14ac:dyDescent="0.25">
      <c r="A1" s="856">
        <v>45260</v>
      </c>
    </row>
    <row r="2" spans="1:2" outlineLevel="1" collapsed="1" x14ac:dyDescent="0.25">
      <c r="A2" s="857" t="s">
        <v>1748</v>
      </c>
    </row>
    <row r="3" spans="1:2" ht="30" hidden="1" outlineLevel="2" x14ac:dyDescent="0.25">
      <c r="A3" s="1" t="s">
        <v>404</v>
      </c>
      <c r="B3" s="1" t="s">
        <v>1656</v>
      </c>
    </row>
    <row r="4" spans="1:2" ht="30" hidden="1" outlineLevel="2" x14ac:dyDescent="0.25">
      <c r="A4" s="1" t="s">
        <v>1655</v>
      </c>
      <c r="B4" s="1" t="s">
        <v>1660</v>
      </c>
    </row>
    <row r="5" spans="1:2" hidden="1" outlineLevel="2" x14ac:dyDescent="0.25">
      <c r="A5" s="1" t="s">
        <v>414</v>
      </c>
      <c r="B5" s="1" t="s">
        <v>1662</v>
      </c>
    </row>
    <row r="6" spans="1:2" hidden="1" outlineLevel="2" x14ac:dyDescent="0.25">
      <c r="A6" s="1" t="s">
        <v>1663</v>
      </c>
      <c r="B6" s="1" t="s">
        <v>1664</v>
      </c>
    </row>
    <row r="7" spans="1:2" ht="30" hidden="1" outlineLevel="2" x14ac:dyDescent="0.25">
      <c r="A7" s="1" t="s">
        <v>430</v>
      </c>
      <c r="B7" s="1" t="s">
        <v>1671</v>
      </c>
    </row>
    <row r="8" spans="1:2" hidden="1" outlineLevel="2" x14ac:dyDescent="0.25">
      <c r="B8" s="1" t="s">
        <v>1669</v>
      </c>
    </row>
    <row r="9" spans="1:2" hidden="1" outlineLevel="2" x14ac:dyDescent="0.25">
      <c r="B9" s="1" t="s">
        <v>1668</v>
      </c>
    </row>
    <row r="10" spans="1:2" ht="30" hidden="1" outlineLevel="2" x14ac:dyDescent="0.25">
      <c r="B10" s="1" t="s">
        <v>1672</v>
      </c>
    </row>
    <row r="11" spans="1:2" ht="30" hidden="1" outlineLevel="2" x14ac:dyDescent="0.25">
      <c r="B11" s="1" t="s">
        <v>1679</v>
      </c>
    </row>
    <row r="12" spans="1:2" hidden="1" outlineLevel="2" x14ac:dyDescent="0.25">
      <c r="B12" s="1" t="s">
        <v>1686</v>
      </c>
    </row>
    <row r="13" spans="1:2" hidden="1" outlineLevel="2" x14ac:dyDescent="0.25">
      <c r="B13" s="1" t="s">
        <v>1696</v>
      </c>
    </row>
    <row r="14" spans="1:2" hidden="1" outlineLevel="2" x14ac:dyDescent="0.25">
      <c r="B14" s="1" t="s">
        <v>1703</v>
      </c>
    </row>
    <row r="15" spans="1:2" hidden="1" outlineLevel="2" x14ac:dyDescent="0.25">
      <c r="B15" s="1" t="s">
        <v>1704</v>
      </c>
    </row>
    <row r="16" spans="1:2" hidden="1" outlineLevel="2" x14ac:dyDescent="0.25">
      <c r="B16" s="1" t="s">
        <v>1706</v>
      </c>
    </row>
    <row r="17" spans="1:2" ht="60" hidden="1" outlineLevel="2" x14ac:dyDescent="0.25">
      <c r="B17" s="1" t="s">
        <v>1707</v>
      </c>
    </row>
    <row r="18" spans="1:2" ht="18.75" customHeight="1" outlineLevel="1" x14ac:dyDescent="0.25">
      <c r="A18" s="857" t="s">
        <v>1747</v>
      </c>
    </row>
    <row r="19" spans="1:2" ht="90" outlineLevel="2" x14ac:dyDescent="0.25">
      <c r="B19" s="837" t="s">
        <v>1795</v>
      </c>
    </row>
    <row r="20" spans="1:2" ht="30" outlineLevel="2" x14ac:dyDescent="0.25">
      <c r="B20" s="837" t="s">
        <v>1796</v>
      </c>
    </row>
    <row r="21" spans="1:2" outlineLevel="2" x14ac:dyDescent="0.25">
      <c r="B21" s="1" t="s">
        <v>1746</v>
      </c>
    </row>
    <row r="22" spans="1:2" outlineLevel="2" x14ac:dyDescent="0.25">
      <c r="B22" s="836" t="s">
        <v>1797</v>
      </c>
    </row>
    <row r="23" spans="1:2" outlineLevel="2" x14ac:dyDescent="0.25">
      <c r="B23" s="836" t="s">
        <v>1798</v>
      </c>
    </row>
    <row r="24" spans="1:2" outlineLevel="2" x14ac:dyDescent="0.25">
      <c r="B24" s="836" t="s">
        <v>1800</v>
      </c>
    </row>
    <row r="25" spans="1:2" x14ac:dyDescent="0.25">
      <c r="A25" s="856">
        <v>45321</v>
      </c>
    </row>
    <row r="26" spans="1:2" outlineLevel="1" x14ac:dyDescent="0.25">
      <c r="B26" s="1" t="s">
        <v>1828</v>
      </c>
    </row>
    <row r="27" spans="1:2" outlineLevel="1" x14ac:dyDescent="0.25">
      <c r="B27" s="1" t="s">
        <v>1830</v>
      </c>
    </row>
    <row r="28" spans="1:2" outlineLevel="1" x14ac:dyDescent="0.25">
      <c r="B28" s="1" t="s">
        <v>1840</v>
      </c>
    </row>
    <row r="29" spans="1:2" x14ac:dyDescent="0.25">
      <c r="A29" s="863">
        <v>45335</v>
      </c>
    </row>
    <row r="30" spans="1:2" x14ac:dyDescent="0.25">
      <c r="B30" s="1" t="s">
        <v>1848</v>
      </c>
    </row>
    <row r="31" spans="1:2" x14ac:dyDescent="0.25">
      <c r="A31" s="1021">
        <v>45717</v>
      </c>
      <c r="B31" s="1" t="s">
        <v>2250</v>
      </c>
    </row>
    <row r="32" spans="1:2" x14ac:dyDescent="0.25">
      <c r="A32" s="863">
        <v>45805</v>
      </c>
      <c r="B32" s="1" t="s">
        <v>2298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5"/>
  <sheetViews>
    <sheetView topLeftCell="A55" zoomScaleNormal="100" workbookViewId="0">
      <selection activeCell="A178" sqref="A178"/>
    </sheetView>
  </sheetViews>
  <sheetFormatPr defaultColWidth="8.7109375" defaultRowHeight="15" outlineLevelRow="3" outlineLevelCol="1" x14ac:dyDescent="0.25"/>
  <cols>
    <col min="1" max="1" width="42.28515625" bestFit="1" customWidth="1"/>
    <col min="2" max="2" width="40" customWidth="1"/>
    <col min="3" max="3" width="27.42578125" customWidth="1"/>
    <col min="4" max="4" width="46.42578125" customWidth="1"/>
    <col min="5" max="5" width="36.5703125" bestFit="1" customWidth="1"/>
    <col min="6" max="6" width="11.7109375" style="129" customWidth="1" outlineLevel="1"/>
    <col min="7" max="7" width="13.7109375" customWidth="1" outlineLevel="1"/>
  </cols>
  <sheetData>
    <row r="1" spans="1:6" ht="21.75" thickBot="1" x14ac:dyDescent="0.3">
      <c r="A1" s="1135" t="s">
        <v>832</v>
      </c>
      <c r="B1" s="1136"/>
      <c r="C1" s="1136"/>
      <c r="D1" s="1136"/>
      <c r="E1" s="1137"/>
      <c r="F1" s="129" t="s">
        <v>1023</v>
      </c>
    </row>
    <row r="2" spans="1:6" ht="17.649999999999999" customHeight="1" thickBot="1" x14ac:dyDescent="0.3">
      <c r="A2" s="1104" t="s">
        <v>930</v>
      </c>
      <c r="B2" s="1105"/>
      <c r="C2" s="1105"/>
      <c r="D2" s="1105"/>
      <c r="E2" s="1106"/>
      <c r="F2" s="129" t="s">
        <v>1022</v>
      </c>
    </row>
    <row r="3" spans="1:6" ht="15.6" customHeight="1" outlineLevel="1" collapsed="1" thickBot="1" x14ac:dyDescent="0.3">
      <c r="A3" s="1061" t="s">
        <v>975</v>
      </c>
      <c r="B3" s="1062"/>
      <c r="C3" s="1062"/>
      <c r="D3" s="1059" t="s">
        <v>984</v>
      </c>
      <c r="E3" s="1060"/>
      <c r="F3" s="129" t="s">
        <v>1022</v>
      </c>
    </row>
    <row r="4" spans="1:6" hidden="1" outlineLevel="2" x14ac:dyDescent="0.25">
      <c r="A4" s="1080" t="s">
        <v>857</v>
      </c>
      <c r="B4" s="1065"/>
      <c r="C4" s="1065"/>
      <c r="D4" s="1065"/>
      <c r="E4" s="1066"/>
      <c r="F4" s="129" t="b">
        <f>ISBLANK(B4)</f>
        <v>1</v>
      </c>
    </row>
    <row r="5" spans="1:6" hidden="1" outlineLevel="2" x14ac:dyDescent="0.25">
      <c r="A5" s="1063"/>
      <c r="B5" s="1045"/>
      <c r="C5" s="1045"/>
      <c r="D5" s="1045"/>
      <c r="E5" s="1046"/>
      <c r="F5" s="129" t="b">
        <f t="shared" ref="F5:F67" si="0">ISBLANK(B5)</f>
        <v>1</v>
      </c>
    </row>
    <row r="6" spans="1:6" ht="15.6" hidden="1" customHeight="1" outlineLevel="2" x14ac:dyDescent="0.25">
      <c r="A6" s="1063"/>
      <c r="B6" s="1045"/>
      <c r="C6" s="1045"/>
      <c r="D6" s="1045"/>
      <c r="E6" s="1046"/>
      <c r="F6" s="129" t="b">
        <f t="shared" si="0"/>
        <v>1</v>
      </c>
    </row>
    <row r="7" spans="1:6" ht="15.6" hidden="1" customHeight="1" outlineLevel="2" x14ac:dyDescent="0.25">
      <c r="A7" s="1063"/>
      <c r="B7" s="1045"/>
      <c r="C7" s="1045"/>
      <c r="D7" s="1045"/>
      <c r="E7" s="1046"/>
      <c r="F7" s="129" t="b">
        <f t="shared" si="0"/>
        <v>1</v>
      </c>
    </row>
    <row r="8" spans="1:6" ht="15.6" hidden="1" customHeight="1" outlineLevel="2" x14ac:dyDescent="0.25">
      <c r="A8" s="1063"/>
      <c r="B8" s="1045"/>
      <c r="C8" s="1045"/>
      <c r="D8" s="1045"/>
      <c r="E8" s="1046"/>
      <c r="F8" s="129" t="b">
        <f t="shared" si="0"/>
        <v>1</v>
      </c>
    </row>
    <row r="9" spans="1:6" ht="15.6" hidden="1" customHeight="1" outlineLevel="2" x14ac:dyDescent="0.25">
      <c r="A9" s="1063"/>
      <c r="B9" s="1045"/>
      <c r="C9" s="1045"/>
      <c r="D9" s="1045"/>
      <c r="E9" s="1046"/>
      <c r="F9" s="129" t="b">
        <f t="shared" si="0"/>
        <v>1</v>
      </c>
    </row>
    <row r="10" spans="1:6" hidden="1" outlineLevel="2" x14ac:dyDescent="0.25">
      <c r="A10" s="1063"/>
      <c r="B10" s="1045"/>
      <c r="C10" s="1045"/>
      <c r="D10" s="1045"/>
      <c r="E10" s="1046"/>
      <c r="F10" s="129" t="b">
        <f t="shared" si="0"/>
        <v>1</v>
      </c>
    </row>
    <row r="11" spans="1:6" hidden="1" outlineLevel="2" x14ac:dyDescent="0.25">
      <c r="A11" s="1063" t="s">
        <v>856</v>
      </c>
      <c r="B11" s="1045"/>
      <c r="C11" s="1045"/>
      <c r="D11" s="1045"/>
      <c r="E11" s="1046"/>
      <c r="F11" s="129" t="b">
        <f t="shared" si="0"/>
        <v>1</v>
      </c>
    </row>
    <row r="12" spans="1:6" hidden="1" outlineLevel="2" x14ac:dyDescent="0.25">
      <c r="A12" s="1063"/>
      <c r="B12" s="1045"/>
      <c r="C12" s="1045"/>
      <c r="D12" s="1045"/>
      <c r="E12" s="1046"/>
      <c r="F12" s="129" t="b">
        <f t="shared" si="0"/>
        <v>1</v>
      </c>
    </row>
    <row r="13" spans="1:6" hidden="1" outlineLevel="2" x14ac:dyDescent="0.25">
      <c r="A13" s="1063"/>
      <c r="B13" s="1045"/>
      <c r="C13" s="1045"/>
      <c r="D13" s="1045"/>
      <c r="E13" s="1046"/>
      <c r="F13" s="129" t="b">
        <f t="shared" si="0"/>
        <v>1</v>
      </c>
    </row>
    <row r="14" spans="1:6" hidden="1" outlineLevel="2" x14ac:dyDescent="0.25">
      <c r="A14" s="1063"/>
      <c r="B14" s="1045"/>
      <c r="C14" s="1045"/>
      <c r="D14" s="1045"/>
      <c r="E14" s="1046"/>
      <c r="F14" s="129" t="b">
        <f t="shared" si="0"/>
        <v>1</v>
      </c>
    </row>
    <row r="15" spans="1:6" hidden="1" outlineLevel="2" x14ac:dyDescent="0.25">
      <c r="A15" s="1063"/>
      <c r="B15" s="1045"/>
      <c r="C15" s="1045"/>
      <c r="D15" s="1045"/>
      <c r="E15" s="1046"/>
      <c r="F15" s="129" t="b">
        <f t="shared" si="0"/>
        <v>1</v>
      </c>
    </row>
    <row r="16" spans="1:6" hidden="1" outlineLevel="2" x14ac:dyDescent="0.25">
      <c r="A16" s="1063"/>
      <c r="B16" s="1045"/>
      <c r="C16" s="1045"/>
      <c r="D16" s="1045"/>
      <c r="E16" s="1046"/>
      <c r="F16" s="129" t="b">
        <f t="shared" si="0"/>
        <v>1</v>
      </c>
    </row>
    <row r="17" spans="1:6" ht="15.75" hidden="1" outlineLevel="2" thickBot="1" x14ac:dyDescent="0.3">
      <c r="A17" s="1064"/>
      <c r="B17" s="1079"/>
      <c r="C17" s="1079"/>
      <c r="D17" s="1079"/>
      <c r="E17" s="1085"/>
      <c r="F17" s="129" t="b">
        <f t="shared" si="0"/>
        <v>1</v>
      </c>
    </row>
    <row r="18" spans="1:6" ht="15.6" customHeight="1" outlineLevel="1" collapsed="1" thickBot="1" x14ac:dyDescent="0.3">
      <c r="A18" s="1081" t="s">
        <v>869</v>
      </c>
      <c r="B18" s="1082"/>
      <c r="C18" s="1082"/>
      <c r="D18" s="1083"/>
      <c r="E18" s="501" t="s">
        <v>861</v>
      </c>
      <c r="F18" s="129" t="s">
        <v>1022</v>
      </c>
    </row>
    <row r="19" spans="1:6" hidden="1" outlineLevel="2" x14ac:dyDescent="0.25">
      <c r="A19" s="1100" t="s">
        <v>857</v>
      </c>
      <c r="B19" s="1111"/>
      <c r="C19" s="1111"/>
      <c r="D19" s="1111"/>
      <c r="E19" s="477"/>
      <c r="F19" s="129" t="b">
        <f t="shared" si="0"/>
        <v>1</v>
      </c>
    </row>
    <row r="20" spans="1:6" hidden="1" outlineLevel="2" x14ac:dyDescent="0.25">
      <c r="A20" s="1063"/>
      <c r="B20" s="1045"/>
      <c r="C20" s="1045"/>
      <c r="D20" s="1045"/>
      <c r="E20" s="456"/>
      <c r="F20" s="129" t="b">
        <f t="shared" si="0"/>
        <v>1</v>
      </c>
    </row>
    <row r="21" spans="1:6" ht="15.6" hidden="1" customHeight="1" outlineLevel="2" x14ac:dyDescent="0.25">
      <c r="A21" s="1063"/>
      <c r="B21" s="1045"/>
      <c r="C21" s="1045"/>
      <c r="D21" s="1045"/>
      <c r="E21" s="456"/>
      <c r="F21" s="129" t="b">
        <f t="shared" si="0"/>
        <v>1</v>
      </c>
    </row>
    <row r="22" spans="1:6" ht="15.6" hidden="1" customHeight="1" outlineLevel="2" x14ac:dyDescent="0.25">
      <c r="A22" s="1063"/>
      <c r="B22" s="1045"/>
      <c r="C22" s="1045"/>
      <c r="D22" s="1045"/>
      <c r="E22" s="456"/>
      <c r="F22" s="129" t="b">
        <f t="shared" si="0"/>
        <v>1</v>
      </c>
    </row>
    <row r="23" spans="1:6" ht="15.6" hidden="1" customHeight="1" outlineLevel="2" x14ac:dyDescent="0.25">
      <c r="A23" s="1063"/>
      <c r="B23" s="1045"/>
      <c r="C23" s="1045"/>
      <c r="D23" s="1045"/>
      <c r="E23" s="456"/>
      <c r="F23" s="129" t="b">
        <f t="shared" si="0"/>
        <v>1</v>
      </c>
    </row>
    <row r="24" spans="1:6" ht="15.6" hidden="1" customHeight="1" outlineLevel="2" x14ac:dyDescent="0.25">
      <c r="A24" s="1063"/>
      <c r="B24" s="1045"/>
      <c r="C24" s="1045"/>
      <c r="D24" s="1045"/>
      <c r="E24" s="456"/>
      <c r="F24" s="129" t="b">
        <f t="shared" si="0"/>
        <v>1</v>
      </c>
    </row>
    <row r="25" spans="1:6" hidden="1" outlineLevel="2" x14ac:dyDescent="0.25">
      <c r="A25" s="1063"/>
      <c r="B25" s="1045"/>
      <c r="C25" s="1045"/>
      <c r="D25" s="1045"/>
      <c r="E25" s="456"/>
      <c r="F25" s="129" t="b">
        <f t="shared" si="0"/>
        <v>1</v>
      </c>
    </row>
    <row r="26" spans="1:6" hidden="1" outlineLevel="2" x14ac:dyDescent="0.25">
      <c r="A26" s="1063" t="s">
        <v>856</v>
      </c>
      <c r="B26" s="1045"/>
      <c r="C26" s="1045"/>
      <c r="D26" s="1045"/>
      <c r="E26" s="454"/>
      <c r="F26" s="129" t="b">
        <f t="shared" si="0"/>
        <v>1</v>
      </c>
    </row>
    <row r="27" spans="1:6" hidden="1" outlineLevel="2" x14ac:dyDescent="0.25">
      <c r="A27" s="1063"/>
      <c r="B27" s="1045"/>
      <c r="C27" s="1045"/>
      <c r="D27" s="1045"/>
      <c r="E27" s="454"/>
      <c r="F27" s="129" t="b">
        <f t="shared" si="0"/>
        <v>1</v>
      </c>
    </row>
    <row r="28" spans="1:6" hidden="1" outlineLevel="2" x14ac:dyDescent="0.25">
      <c r="A28" s="1063"/>
      <c r="B28" s="1045"/>
      <c r="C28" s="1045"/>
      <c r="D28" s="1045"/>
      <c r="E28" s="454"/>
      <c r="F28" s="129" t="b">
        <f t="shared" si="0"/>
        <v>1</v>
      </c>
    </row>
    <row r="29" spans="1:6" hidden="1" outlineLevel="2" x14ac:dyDescent="0.25">
      <c r="A29" s="1063"/>
      <c r="B29" s="1045"/>
      <c r="C29" s="1045"/>
      <c r="D29" s="1045"/>
      <c r="E29" s="454"/>
      <c r="F29" s="129" t="b">
        <f t="shared" si="0"/>
        <v>1</v>
      </c>
    </row>
    <row r="30" spans="1:6" hidden="1" outlineLevel="2" x14ac:dyDescent="0.25">
      <c r="A30" s="1063"/>
      <c r="B30" s="1045"/>
      <c r="C30" s="1045"/>
      <c r="D30" s="1045"/>
      <c r="E30" s="454"/>
      <c r="F30" s="129" t="b">
        <f t="shared" si="0"/>
        <v>1</v>
      </c>
    </row>
    <row r="31" spans="1:6" hidden="1" outlineLevel="2" x14ac:dyDescent="0.25">
      <c r="A31" s="1063"/>
      <c r="B31" s="1045"/>
      <c r="C31" s="1045"/>
      <c r="D31" s="1045"/>
      <c r="E31" s="454"/>
      <c r="F31" s="129" t="b">
        <f t="shared" si="0"/>
        <v>1</v>
      </c>
    </row>
    <row r="32" spans="1:6" ht="15.75" hidden="1" outlineLevel="2" thickBot="1" x14ac:dyDescent="0.3">
      <c r="A32" s="1064"/>
      <c r="B32" s="1079"/>
      <c r="C32" s="1079"/>
      <c r="D32" s="1079"/>
      <c r="E32" s="469"/>
      <c r="F32" s="129" t="b">
        <f t="shared" si="0"/>
        <v>1</v>
      </c>
    </row>
    <row r="33" spans="1:6" ht="14.65" customHeight="1" outlineLevel="1" collapsed="1" thickBot="1" x14ac:dyDescent="0.3">
      <c r="A33" s="1069" t="s">
        <v>868</v>
      </c>
      <c r="B33" s="1070"/>
      <c r="C33" s="1070"/>
      <c r="D33" s="1084"/>
      <c r="E33" s="478" t="s">
        <v>861</v>
      </c>
      <c r="F33" s="129" t="s">
        <v>1022</v>
      </c>
    </row>
    <row r="34" spans="1:6" hidden="1" outlineLevel="2" x14ac:dyDescent="0.25">
      <c r="A34" s="1100" t="s">
        <v>857</v>
      </c>
      <c r="B34" s="1111"/>
      <c r="C34" s="1111"/>
      <c r="D34" s="1111"/>
      <c r="E34" s="477"/>
      <c r="F34" s="129" t="b">
        <f t="shared" si="0"/>
        <v>1</v>
      </c>
    </row>
    <row r="35" spans="1:6" hidden="1" outlineLevel="2" x14ac:dyDescent="0.25">
      <c r="A35" s="1063"/>
      <c r="B35" s="1045"/>
      <c r="C35" s="1045"/>
      <c r="D35" s="1045"/>
      <c r="E35" s="456"/>
      <c r="F35" s="129" t="b">
        <f t="shared" si="0"/>
        <v>1</v>
      </c>
    </row>
    <row r="36" spans="1:6" ht="15.6" hidden="1" customHeight="1" outlineLevel="2" x14ac:dyDescent="0.25">
      <c r="A36" s="1063"/>
      <c r="B36" s="1045"/>
      <c r="C36" s="1045"/>
      <c r="D36" s="1045"/>
      <c r="E36" s="456"/>
      <c r="F36" s="129" t="b">
        <f t="shared" si="0"/>
        <v>1</v>
      </c>
    </row>
    <row r="37" spans="1:6" ht="15.6" hidden="1" customHeight="1" outlineLevel="2" x14ac:dyDescent="0.25">
      <c r="A37" s="1063"/>
      <c r="B37" s="1045"/>
      <c r="C37" s="1045"/>
      <c r="D37" s="1045"/>
      <c r="E37" s="456"/>
      <c r="F37" s="129" t="b">
        <f t="shared" si="0"/>
        <v>1</v>
      </c>
    </row>
    <row r="38" spans="1:6" ht="15.6" hidden="1" customHeight="1" outlineLevel="2" x14ac:dyDescent="0.25">
      <c r="A38" s="1063"/>
      <c r="B38" s="1045"/>
      <c r="C38" s="1045"/>
      <c r="D38" s="1045"/>
      <c r="E38" s="456"/>
      <c r="F38" s="129" t="b">
        <f t="shared" si="0"/>
        <v>1</v>
      </c>
    </row>
    <row r="39" spans="1:6" ht="15.6" hidden="1" customHeight="1" outlineLevel="2" x14ac:dyDescent="0.25">
      <c r="A39" s="1063"/>
      <c r="B39" s="1045"/>
      <c r="C39" s="1045"/>
      <c r="D39" s="1045"/>
      <c r="E39" s="456"/>
      <c r="F39" s="129" t="b">
        <f t="shared" si="0"/>
        <v>1</v>
      </c>
    </row>
    <row r="40" spans="1:6" hidden="1" outlineLevel="2" x14ac:dyDescent="0.25">
      <c r="A40" s="1063"/>
      <c r="B40" s="1045"/>
      <c r="C40" s="1045"/>
      <c r="D40" s="1045"/>
      <c r="E40" s="456"/>
      <c r="F40" s="129" t="b">
        <f t="shared" si="0"/>
        <v>1</v>
      </c>
    </row>
    <row r="41" spans="1:6" hidden="1" outlineLevel="2" x14ac:dyDescent="0.25">
      <c r="A41" s="1063" t="s">
        <v>856</v>
      </c>
      <c r="B41" s="1045"/>
      <c r="C41" s="1045"/>
      <c r="D41" s="1045"/>
      <c r="E41" s="454"/>
      <c r="F41" s="129" t="b">
        <f t="shared" si="0"/>
        <v>1</v>
      </c>
    </row>
    <row r="42" spans="1:6" hidden="1" outlineLevel="2" x14ac:dyDescent="0.25">
      <c r="A42" s="1063"/>
      <c r="B42" s="1045"/>
      <c r="C42" s="1045"/>
      <c r="D42" s="1045"/>
      <c r="E42" s="454"/>
      <c r="F42" s="129" t="b">
        <f t="shared" si="0"/>
        <v>1</v>
      </c>
    </row>
    <row r="43" spans="1:6" hidden="1" outlineLevel="2" x14ac:dyDescent="0.25">
      <c r="A43" s="1063"/>
      <c r="B43" s="1045"/>
      <c r="C43" s="1045"/>
      <c r="D43" s="1045"/>
      <c r="E43" s="454"/>
      <c r="F43" s="129" t="b">
        <f t="shared" si="0"/>
        <v>1</v>
      </c>
    </row>
    <row r="44" spans="1:6" hidden="1" outlineLevel="2" x14ac:dyDescent="0.25">
      <c r="A44" s="1063"/>
      <c r="B44" s="1045"/>
      <c r="C44" s="1045"/>
      <c r="D44" s="1045"/>
      <c r="E44" s="454"/>
      <c r="F44" s="129" t="b">
        <f t="shared" si="0"/>
        <v>1</v>
      </c>
    </row>
    <row r="45" spans="1:6" hidden="1" outlineLevel="2" x14ac:dyDescent="0.25">
      <c r="A45" s="1063"/>
      <c r="B45" s="1045"/>
      <c r="C45" s="1045"/>
      <c r="D45" s="1045"/>
      <c r="E45" s="454"/>
      <c r="F45" s="129" t="b">
        <f t="shared" si="0"/>
        <v>1</v>
      </c>
    </row>
    <row r="46" spans="1:6" hidden="1" outlineLevel="2" x14ac:dyDescent="0.25">
      <c r="A46" s="1063"/>
      <c r="B46" s="1045"/>
      <c r="C46" s="1045"/>
      <c r="D46" s="1045"/>
      <c r="E46" s="454"/>
      <c r="F46" s="129" t="b">
        <f t="shared" si="0"/>
        <v>1</v>
      </c>
    </row>
    <row r="47" spans="1:6" ht="15.75" hidden="1" outlineLevel="2" thickBot="1" x14ac:dyDescent="0.3">
      <c r="A47" s="1064"/>
      <c r="B47" s="1079"/>
      <c r="C47" s="1079"/>
      <c r="D47" s="1079"/>
      <c r="E47" s="469"/>
      <c r="F47" s="129" t="b">
        <f t="shared" si="0"/>
        <v>1</v>
      </c>
    </row>
    <row r="48" spans="1:6" ht="16.5" thickBot="1" x14ac:dyDescent="0.3">
      <c r="A48" s="1139" t="s">
        <v>941</v>
      </c>
      <c r="B48" s="1140"/>
      <c r="C48" s="1140"/>
      <c r="D48" s="1140"/>
      <c r="E48" s="1141"/>
      <c r="F48" s="129" t="s">
        <v>1022</v>
      </c>
    </row>
    <row r="49" spans="1:6" ht="15.75" outlineLevel="1" collapsed="1" thickBot="1" x14ac:dyDescent="0.3">
      <c r="A49" s="1076" t="s">
        <v>940</v>
      </c>
      <c r="B49" s="1077"/>
      <c r="C49" s="1077"/>
      <c r="D49" s="1077"/>
      <c r="E49" s="1078" t="s">
        <v>861</v>
      </c>
      <c r="F49" s="129" t="s">
        <v>1022</v>
      </c>
    </row>
    <row r="50" spans="1:6" ht="16.5" thickBot="1" x14ac:dyDescent="0.3">
      <c r="A50" s="1104" t="s">
        <v>938</v>
      </c>
      <c r="B50" s="1105"/>
      <c r="C50" s="1105"/>
      <c r="D50" s="1105"/>
      <c r="E50" s="1106"/>
      <c r="F50" s="129" t="s">
        <v>1022</v>
      </c>
    </row>
    <row r="51" spans="1:6" ht="29.65" customHeight="1" outlineLevel="1" collapsed="1" thickBot="1" x14ac:dyDescent="0.3">
      <c r="A51" s="1061" t="s">
        <v>880</v>
      </c>
      <c r="B51" s="1062"/>
      <c r="C51" s="1062"/>
      <c r="D51" s="1062"/>
      <c r="E51" s="478" t="s">
        <v>861</v>
      </c>
      <c r="F51" s="129" t="s">
        <v>1022</v>
      </c>
    </row>
    <row r="52" spans="1:6" hidden="1" outlineLevel="2" x14ac:dyDescent="0.25">
      <c r="A52" s="1100" t="s">
        <v>870</v>
      </c>
      <c r="B52" s="1108"/>
      <c r="C52" s="1073"/>
      <c r="D52" s="1073"/>
      <c r="E52" s="479"/>
      <c r="F52" s="129" t="s">
        <v>1022</v>
      </c>
    </row>
    <row r="53" spans="1:6" ht="15.6" hidden="1" customHeight="1" outlineLevel="2" x14ac:dyDescent="0.25">
      <c r="A53" s="1063" t="s">
        <v>871</v>
      </c>
      <c r="B53" s="1109"/>
      <c r="C53" s="1074"/>
      <c r="D53" s="1074"/>
      <c r="E53" s="451"/>
      <c r="F53" s="129" t="s">
        <v>1022</v>
      </c>
    </row>
    <row r="54" spans="1:6" ht="15.6" hidden="1" customHeight="1" outlineLevel="2" thickBot="1" x14ac:dyDescent="0.3">
      <c r="A54" s="1064" t="s">
        <v>872</v>
      </c>
      <c r="B54" s="1110"/>
      <c r="C54" s="1075"/>
      <c r="D54" s="1075"/>
      <c r="E54" s="468"/>
      <c r="F54" s="129" t="s">
        <v>1022</v>
      </c>
    </row>
    <row r="55" spans="1:6" ht="15.75" outlineLevel="1" collapsed="1" thickBot="1" x14ac:dyDescent="0.3">
      <c r="A55" s="1061" t="s">
        <v>875</v>
      </c>
      <c r="B55" s="1062"/>
      <c r="C55" s="1062"/>
      <c r="D55" s="1062"/>
      <c r="E55" s="1107"/>
      <c r="F55" s="129" t="s">
        <v>1022</v>
      </c>
    </row>
    <row r="56" spans="1:6" s="455" customFormat="1" ht="30" hidden="1" outlineLevel="2" x14ac:dyDescent="0.25">
      <c r="A56" s="480" t="s">
        <v>854</v>
      </c>
      <c r="B56" s="481" t="s">
        <v>834</v>
      </c>
      <c r="C56" s="481" t="s">
        <v>874</v>
      </c>
      <c r="D56" s="481" t="s">
        <v>835</v>
      </c>
      <c r="E56" s="472" t="s">
        <v>873</v>
      </c>
      <c r="F56" s="129" t="b">
        <f t="shared" si="0"/>
        <v>0</v>
      </c>
    </row>
    <row r="57" spans="1:6" ht="90" hidden="1" outlineLevel="2" x14ac:dyDescent="0.25">
      <c r="A57" s="458"/>
      <c r="B57" s="459"/>
      <c r="C57" s="462" t="s">
        <v>836</v>
      </c>
      <c r="D57" s="467" t="s">
        <v>853</v>
      </c>
      <c r="E57" s="456"/>
      <c r="F57" s="129" t="b">
        <f t="shared" si="0"/>
        <v>1</v>
      </c>
    </row>
    <row r="58" spans="1:6" ht="46.9" hidden="1" customHeight="1" outlineLevel="2" x14ac:dyDescent="0.25">
      <c r="A58" s="458"/>
      <c r="B58" s="459"/>
      <c r="C58" s="462" t="s">
        <v>837</v>
      </c>
      <c r="D58" s="463" t="s">
        <v>838</v>
      </c>
      <c r="E58" s="456"/>
      <c r="F58" s="129" t="b">
        <f t="shared" si="0"/>
        <v>1</v>
      </c>
    </row>
    <row r="59" spans="1:6" ht="43.9" hidden="1" customHeight="1" outlineLevel="2" x14ac:dyDescent="0.25">
      <c r="A59" s="458"/>
      <c r="B59" s="459"/>
      <c r="C59" s="462" t="s">
        <v>839</v>
      </c>
      <c r="D59" s="463" t="s">
        <v>840</v>
      </c>
      <c r="E59" s="456"/>
      <c r="F59" s="129" t="b">
        <f t="shared" si="0"/>
        <v>1</v>
      </c>
    </row>
    <row r="60" spans="1:6" ht="56.65" hidden="1" customHeight="1" outlineLevel="2" x14ac:dyDescent="0.25">
      <c r="A60" s="458"/>
      <c r="B60" s="459"/>
      <c r="C60" s="462" t="s">
        <v>841</v>
      </c>
      <c r="D60" s="463" t="s">
        <v>842</v>
      </c>
      <c r="E60" s="456"/>
      <c r="F60" s="129" t="b">
        <f t="shared" si="0"/>
        <v>1</v>
      </c>
    </row>
    <row r="61" spans="1:6" ht="60" hidden="1" customHeight="1" outlineLevel="2" x14ac:dyDescent="0.25">
      <c r="A61" s="458"/>
      <c r="B61" s="459"/>
      <c r="C61" s="462" t="s">
        <v>843</v>
      </c>
      <c r="D61" s="463" t="s">
        <v>844</v>
      </c>
      <c r="E61" s="456"/>
      <c r="F61" s="129" t="b">
        <f t="shared" si="0"/>
        <v>1</v>
      </c>
    </row>
    <row r="62" spans="1:6" ht="63.6" hidden="1" customHeight="1" outlineLevel="2" x14ac:dyDescent="0.25">
      <c r="A62" s="458"/>
      <c r="B62" s="459"/>
      <c r="C62" s="462" t="s">
        <v>845</v>
      </c>
      <c r="D62" s="463" t="s">
        <v>846</v>
      </c>
      <c r="E62" s="456"/>
      <c r="F62" s="129" t="b">
        <f t="shared" si="0"/>
        <v>1</v>
      </c>
    </row>
    <row r="63" spans="1:6" ht="49.15" hidden="1" customHeight="1" outlineLevel="2" x14ac:dyDescent="0.25">
      <c r="A63" s="458"/>
      <c r="B63" s="459"/>
      <c r="C63" s="462" t="s">
        <v>847</v>
      </c>
      <c r="D63" s="463" t="s">
        <v>848</v>
      </c>
      <c r="E63" s="456"/>
      <c r="F63" s="129" t="b">
        <f t="shared" si="0"/>
        <v>1</v>
      </c>
    </row>
    <row r="64" spans="1:6" ht="28.9" hidden="1" customHeight="1" outlineLevel="2" x14ac:dyDescent="0.25">
      <c r="A64" s="458"/>
      <c r="B64" s="459"/>
      <c r="C64" s="459" t="s">
        <v>1454</v>
      </c>
      <c r="D64" s="464" t="s">
        <v>855</v>
      </c>
      <c r="E64" s="456"/>
      <c r="F64" s="129" t="b">
        <f t="shared" si="0"/>
        <v>1</v>
      </c>
    </row>
    <row r="65" spans="1:6" ht="28.9" hidden="1" customHeight="1" outlineLevel="2" x14ac:dyDescent="0.25">
      <c r="A65" s="458"/>
      <c r="B65" s="459"/>
      <c r="C65" s="459" t="s">
        <v>1454</v>
      </c>
      <c r="D65" s="464" t="s">
        <v>855</v>
      </c>
      <c r="E65" s="456"/>
      <c r="F65" s="129" t="b">
        <f t="shared" si="0"/>
        <v>1</v>
      </c>
    </row>
    <row r="66" spans="1:6" ht="28.9" hidden="1" customHeight="1" outlineLevel="2" x14ac:dyDescent="0.25">
      <c r="A66" s="458"/>
      <c r="B66" s="459"/>
      <c r="C66" s="459" t="s">
        <v>1454</v>
      </c>
      <c r="D66" s="464" t="s">
        <v>855</v>
      </c>
      <c r="E66" s="456"/>
      <c r="F66" s="129" t="b">
        <f t="shared" si="0"/>
        <v>1</v>
      </c>
    </row>
    <row r="67" spans="1:6" ht="15.75" hidden="1" outlineLevel="2" thickBot="1" x14ac:dyDescent="0.3">
      <c r="A67" s="460"/>
      <c r="B67" s="461"/>
      <c r="C67" s="459" t="s">
        <v>1454</v>
      </c>
      <c r="D67" s="465" t="s">
        <v>855</v>
      </c>
      <c r="E67" s="457"/>
      <c r="F67" s="129" t="b">
        <f t="shared" si="0"/>
        <v>1</v>
      </c>
    </row>
    <row r="68" spans="1:6" ht="17.649999999999999" customHeight="1" thickBot="1" x14ac:dyDescent="0.3">
      <c r="A68" s="1125" t="s">
        <v>939</v>
      </c>
      <c r="B68" s="1126"/>
      <c r="C68" s="1126"/>
      <c r="D68" s="1126"/>
      <c r="E68" s="1127"/>
      <c r="F68" s="129" t="s">
        <v>1022</v>
      </c>
    </row>
    <row r="69" spans="1:6" ht="15.6" customHeight="1" outlineLevel="1" collapsed="1" thickBot="1" x14ac:dyDescent="0.3">
      <c r="A69" s="1069" t="s">
        <v>881</v>
      </c>
      <c r="B69" s="1070"/>
      <c r="C69" s="1070"/>
      <c r="D69" s="1084"/>
      <c r="E69" s="478" t="s">
        <v>861</v>
      </c>
      <c r="F69" s="129" t="s">
        <v>1022</v>
      </c>
    </row>
    <row r="70" spans="1:6" hidden="1" outlineLevel="2" x14ac:dyDescent="0.25">
      <c r="A70" s="1100" t="s">
        <v>857</v>
      </c>
      <c r="B70" s="1121"/>
      <c r="C70" s="1122"/>
      <c r="D70" s="1123"/>
      <c r="E70" s="477"/>
      <c r="F70" s="129" t="b">
        <f t="shared" ref="F70:F141" si="1">ISBLANK(B70)</f>
        <v>1</v>
      </c>
    </row>
    <row r="71" spans="1:6" hidden="1" outlineLevel="2" x14ac:dyDescent="0.25">
      <c r="A71" s="1063"/>
      <c r="B71" s="1053"/>
      <c r="C71" s="1124"/>
      <c r="D71" s="1055"/>
      <c r="E71" s="456"/>
      <c r="F71" s="129" t="b">
        <f t="shared" si="1"/>
        <v>1</v>
      </c>
    </row>
    <row r="72" spans="1:6" ht="15.6" hidden="1" customHeight="1" outlineLevel="2" x14ac:dyDescent="0.25">
      <c r="A72" s="1063"/>
      <c r="B72" s="1053"/>
      <c r="C72" s="1124"/>
      <c r="D72" s="1055"/>
      <c r="E72" s="456"/>
      <c r="F72" s="129" t="b">
        <f t="shared" si="1"/>
        <v>1</v>
      </c>
    </row>
    <row r="73" spans="1:6" ht="15.6" hidden="1" customHeight="1" outlineLevel="2" x14ac:dyDescent="0.25">
      <c r="A73" s="1063"/>
      <c r="B73" s="1053"/>
      <c r="C73" s="1124"/>
      <c r="D73" s="1055"/>
      <c r="E73" s="456"/>
      <c r="F73" s="129" t="b">
        <f t="shared" si="1"/>
        <v>1</v>
      </c>
    </row>
    <row r="74" spans="1:6" ht="15.6" hidden="1" customHeight="1" outlineLevel="2" x14ac:dyDescent="0.25">
      <c r="A74" s="1063"/>
      <c r="B74" s="1053"/>
      <c r="C74" s="1124"/>
      <c r="D74" s="1055"/>
      <c r="E74" s="456"/>
      <c r="F74" s="129" t="b">
        <f t="shared" si="1"/>
        <v>1</v>
      </c>
    </row>
    <row r="75" spans="1:6" ht="15.6" hidden="1" customHeight="1" outlineLevel="2" x14ac:dyDescent="0.25">
      <c r="A75" s="1063"/>
      <c r="B75" s="1053"/>
      <c r="C75" s="1124"/>
      <c r="D75" s="1055"/>
      <c r="E75" s="456"/>
      <c r="F75" s="129" t="b">
        <f t="shared" si="1"/>
        <v>1</v>
      </c>
    </row>
    <row r="76" spans="1:6" hidden="1" outlineLevel="2" x14ac:dyDescent="0.25">
      <c r="A76" s="1063"/>
      <c r="B76" s="1053"/>
      <c r="C76" s="1124"/>
      <c r="D76" s="1055"/>
      <c r="E76" s="456"/>
      <c r="F76" s="129" t="b">
        <f t="shared" si="1"/>
        <v>1</v>
      </c>
    </row>
    <row r="77" spans="1:6" hidden="1" outlineLevel="2" x14ac:dyDescent="0.25">
      <c r="A77" s="1063" t="s">
        <v>856</v>
      </c>
      <c r="B77" s="1045"/>
      <c r="C77" s="1045"/>
      <c r="D77" s="1045"/>
      <c r="E77" s="454"/>
      <c r="F77" s="129" t="b">
        <f>ISBLANK(#REF!)</f>
        <v>0</v>
      </c>
    </row>
    <row r="78" spans="1:6" hidden="1" outlineLevel="2" x14ac:dyDescent="0.25">
      <c r="A78" s="1063"/>
      <c r="B78" s="1045"/>
      <c r="C78" s="1045"/>
      <c r="D78" s="1045"/>
      <c r="E78" s="454"/>
      <c r="F78" s="129" t="b">
        <f t="shared" si="1"/>
        <v>1</v>
      </c>
    </row>
    <row r="79" spans="1:6" hidden="1" outlineLevel="2" x14ac:dyDescent="0.25">
      <c r="A79" s="1063"/>
      <c r="B79" s="1045"/>
      <c r="C79" s="1045"/>
      <c r="D79" s="1045"/>
      <c r="E79" s="454"/>
      <c r="F79" s="129" t="b">
        <f t="shared" si="1"/>
        <v>1</v>
      </c>
    </row>
    <row r="80" spans="1:6" hidden="1" outlineLevel="2" x14ac:dyDescent="0.25">
      <c r="A80" s="1063"/>
      <c r="B80" s="1045"/>
      <c r="C80" s="1045"/>
      <c r="D80" s="1045"/>
      <c r="E80" s="454"/>
      <c r="F80" s="129" t="b">
        <f t="shared" si="1"/>
        <v>1</v>
      </c>
    </row>
    <row r="81" spans="1:7" hidden="1" outlineLevel="2" x14ac:dyDescent="0.25">
      <c r="A81" s="1063"/>
      <c r="B81" s="1045"/>
      <c r="C81" s="1045"/>
      <c r="D81" s="1045"/>
      <c r="E81" s="454"/>
      <c r="F81" s="129" t="b">
        <f t="shared" si="1"/>
        <v>1</v>
      </c>
    </row>
    <row r="82" spans="1:7" hidden="1" outlineLevel="2" x14ac:dyDescent="0.25">
      <c r="A82" s="1063"/>
      <c r="B82" s="1045"/>
      <c r="C82" s="1045"/>
      <c r="D82" s="1045"/>
      <c r="E82" s="454"/>
      <c r="F82" s="129" t="b">
        <f t="shared" si="1"/>
        <v>1</v>
      </c>
    </row>
    <row r="83" spans="1:7" ht="15.75" hidden="1" outlineLevel="2" thickBot="1" x14ac:dyDescent="0.3">
      <c r="A83" s="1064"/>
      <c r="B83" s="1079"/>
      <c r="C83" s="1079"/>
      <c r="D83" s="1079"/>
      <c r="E83" s="469"/>
      <c r="F83" s="129" t="b">
        <f t="shared" si="1"/>
        <v>1</v>
      </c>
    </row>
    <row r="84" spans="1:7" ht="15.75" outlineLevel="1" thickBot="1" x14ac:dyDescent="0.3">
      <c r="A84" s="1118" t="s">
        <v>945</v>
      </c>
      <c r="B84" s="1119"/>
      <c r="C84" s="1119"/>
      <c r="D84" s="1119"/>
      <c r="E84" s="1120"/>
      <c r="F84" s="129" t="s">
        <v>1022</v>
      </c>
    </row>
    <row r="85" spans="1:7" ht="15.75" outlineLevel="2" collapsed="1" thickBot="1" x14ac:dyDescent="0.3">
      <c r="A85" s="1132" t="s">
        <v>886</v>
      </c>
      <c r="B85" s="1133"/>
      <c r="C85" s="1133"/>
      <c r="D85" s="1143"/>
      <c r="E85" s="478" t="s">
        <v>861</v>
      </c>
      <c r="F85" s="129" t="b">
        <f t="shared" si="1"/>
        <v>1</v>
      </c>
      <c r="G85" s="855" t="s">
        <v>1835</v>
      </c>
    </row>
    <row r="86" spans="1:7" ht="15" hidden="1" customHeight="1" outlineLevel="3" x14ac:dyDescent="0.25">
      <c r="A86" s="1116" t="s">
        <v>857</v>
      </c>
      <c r="B86" s="1049" t="s">
        <v>887</v>
      </c>
      <c r="C86" s="1058"/>
      <c r="D86" s="1049"/>
      <c r="E86" s="1050"/>
      <c r="F86" s="129" t="b">
        <f t="shared" si="1"/>
        <v>0</v>
      </c>
      <c r="G86" s="855">
        <f>IF(OR(B86="Не ожидается методической работы и результатов",B86=""),0,1)</f>
        <v>0</v>
      </c>
    </row>
    <row r="87" spans="1:7" hidden="1" outlineLevel="3" x14ac:dyDescent="0.25">
      <c r="A87" s="1138"/>
      <c r="B87" s="1047"/>
      <c r="C87" s="1057"/>
      <c r="D87" s="1047"/>
      <c r="E87" s="1048"/>
      <c r="F87" s="129" t="b">
        <f t="shared" si="1"/>
        <v>1</v>
      </c>
      <c r="G87" s="855">
        <f t="shared" ref="G87:G99" si="2">IF(OR(B87="Не ожидается методической работы и результатов",B87=""),0,1)</f>
        <v>0</v>
      </c>
    </row>
    <row r="88" spans="1:7" ht="15.6" hidden="1" customHeight="1" outlineLevel="3" x14ac:dyDescent="0.25">
      <c r="A88" s="1138"/>
      <c r="B88" s="1047"/>
      <c r="C88" s="1057"/>
      <c r="D88" s="1047"/>
      <c r="E88" s="1048"/>
      <c r="F88" s="129" t="b">
        <f t="shared" si="1"/>
        <v>1</v>
      </c>
      <c r="G88" s="855">
        <f t="shared" si="2"/>
        <v>0</v>
      </c>
    </row>
    <row r="89" spans="1:7" ht="15.6" hidden="1" customHeight="1" outlineLevel="3" x14ac:dyDescent="0.25">
      <c r="A89" s="1138"/>
      <c r="B89" s="1047"/>
      <c r="C89" s="1057"/>
      <c r="D89" s="1047"/>
      <c r="E89" s="1048"/>
      <c r="F89" s="129" t="b">
        <f t="shared" si="1"/>
        <v>1</v>
      </c>
      <c r="G89" s="855">
        <f t="shared" si="2"/>
        <v>0</v>
      </c>
    </row>
    <row r="90" spans="1:7" ht="15.6" hidden="1" customHeight="1" outlineLevel="3" x14ac:dyDescent="0.25">
      <c r="A90" s="1138"/>
      <c r="B90" s="1047"/>
      <c r="C90" s="1057"/>
      <c r="D90" s="1047"/>
      <c r="E90" s="1048"/>
      <c r="F90" s="129" t="b">
        <f t="shared" si="1"/>
        <v>1</v>
      </c>
      <c r="G90" s="855">
        <f t="shared" si="2"/>
        <v>0</v>
      </c>
    </row>
    <row r="91" spans="1:7" ht="15.6" hidden="1" customHeight="1" outlineLevel="3" x14ac:dyDescent="0.25">
      <c r="A91" s="1138"/>
      <c r="B91" s="1047"/>
      <c r="C91" s="1057"/>
      <c r="D91" s="1047"/>
      <c r="E91" s="1048"/>
      <c r="F91" s="129" t="b">
        <f t="shared" si="1"/>
        <v>1</v>
      </c>
      <c r="G91" s="855">
        <f t="shared" si="2"/>
        <v>0</v>
      </c>
    </row>
    <row r="92" spans="1:7" hidden="1" outlineLevel="3" x14ac:dyDescent="0.25">
      <c r="A92" s="1138"/>
      <c r="B92" s="1047"/>
      <c r="C92" s="1057"/>
      <c r="D92" s="1047"/>
      <c r="E92" s="1048"/>
      <c r="F92" s="129" t="b">
        <f t="shared" si="1"/>
        <v>1</v>
      </c>
      <c r="G92" s="855">
        <f t="shared" si="2"/>
        <v>0</v>
      </c>
    </row>
    <row r="93" spans="1:7" hidden="1" outlineLevel="3" x14ac:dyDescent="0.25">
      <c r="A93" s="1138" t="s">
        <v>856</v>
      </c>
      <c r="B93" s="1047"/>
      <c r="C93" s="1057"/>
      <c r="D93" s="1047"/>
      <c r="E93" s="1048"/>
      <c r="F93" s="129" t="b">
        <f t="shared" si="1"/>
        <v>1</v>
      </c>
      <c r="G93" s="855">
        <f t="shared" si="2"/>
        <v>0</v>
      </c>
    </row>
    <row r="94" spans="1:7" hidden="1" outlineLevel="3" x14ac:dyDescent="0.25">
      <c r="A94" s="1138"/>
      <c r="B94" s="1047"/>
      <c r="C94" s="1057"/>
      <c r="D94" s="1047"/>
      <c r="E94" s="1048"/>
      <c r="F94" s="129" t="b">
        <f t="shared" si="1"/>
        <v>1</v>
      </c>
      <c r="G94" s="855">
        <f t="shared" si="2"/>
        <v>0</v>
      </c>
    </row>
    <row r="95" spans="1:7" hidden="1" outlineLevel="3" x14ac:dyDescent="0.25">
      <c r="A95" s="1138"/>
      <c r="B95" s="1047"/>
      <c r="C95" s="1057"/>
      <c r="D95" s="1047"/>
      <c r="E95" s="1048"/>
      <c r="F95" s="129" t="b">
        <f t="shared" si="1"/>
        <v>1</v>
      </c>
      <c r="G95" s="855">
        <f t="shared" si="2"/>
        <v>0</v>
      </c>
    </row>
    <row r="96" spans="1:7" hidden="1" outlineLevel="3" x14ac:dyDescent="0.25">
      <c r="A96" s="1138"/>
      <c r="B96" s="1047"/>
      <c r="C96" s="1057"/>
      <c r="D96" s="1047"/>
      <c r="E96" s="1048"/>
      <c r="F96" s="129" t="b">
        <f t="shared" si="1"/>
        <v>1</v>
      </c>
      <c r="G96" s="855">
        <f t="shared" si="2"/>
        <v>0</v>
      </c>
    </row>
    <row r="97" spans="1:7" hidden="1" outlineLevel="3" x14ac:dyDescent="0.25">
      <c r="A97" s="1138"/>
      <c r="B97" s="1047"/>
      <c r="C97" s="1057"/>
      <c r="D97" s="1047"/>
      <c r="E97" s="1048"/>
      <c r="F97" s="129" t="b">
        <f t="shared" si="1"/>
        <v>1</v>
      </c>
      <c r="G97" s="855">
        <f t="shared" si="2"/>
        <v>0</v>
      </c>
    </row>
    <row r="98" spans="1:7" hidden="1" outlineLevel="3" x14ac:dyDescent="0.25">
      <c r="A98" s="1138"/>
      <c r="B98" s="1047"/>
      <c r="C98" s="1057"/>
      <c r="D98" s="1047"/>
      <c r="E98" s="1048"/>
      <c r="F98" s="129" t="b">
        <f t="shared" si="1"/>
        <v>1</v>
      </c>
      <c r="G98" s="855">
        <f t="shared" si="2"/>
        <v>0</v>
      </c>
    </row>
    <row r="99" spans="1:7" ht="15.75" hidden="1" outlineLevel="3" thickBot="1" x14ac:dyDescent="0.3">
      <c r="A99" s="1142"/>
      <c r="B99" s="1051"/>
      <c r="C99" s="1056"/>
      <c r="D99" s="1051"/>
      <c r="E99" s="1052"/>
      <c r="F99" s="129" t="b">
        <f t="shared" si="1"/>
        <v>1</v>
      </c>
      <c r="G99" s="855">
        <f t="shared" si="2"/>
        <v>0</v>
      </c>
    </row>
    <row r="100" spans="1:7" ht="15.75" outlineLevel="2" thickBot="1" x14ac:dyDescent="0.3">
      <c r="A100" s="1128" t="s">
        <v>895</v>
      </c>
      <c r="B100" s="1129"/>
      <c r="C100" s="1129"/>
      <c r="D100" s="1129"/>
      <c r="E100" s="478" t="s">
        <v>861</v>
      </c>
      <c r="F100" s="129" t="b">
        <f t="shared" si="1"/>
        <v>1</v>
      </c>
    </row>
    <row r="101" spans="1:7" ht="32.65" customHeight="1" outlineLevel="3" x14ac:dyDescent="0.25">
      <c r="A101" s="1116" t="s">
        <v>956</v>
      </c>
      <c r="B101" s="1117"/>
      <c r="C101" s="1117"/>
      <c r="D101" s="851" t="s">
        <v>255</v>
      </c>
      <c r="E101" s="473"/>
      <c r="F101" s="129" t="b">
        <f>ISBLANK(D101)</f>
        <v>0</v>
      </c>
    </row>
    <row r="102" spans="1:7" s="1" customFormat="1" ht="21.75" customHeight="1" outlineLevel="3" x14ac:dyDescent="0.25">
      <c r="A102" s="1144" t="s">
        <v>857</v>
      </c>
      <c r="B102" s="851" t="s">
        <v>1006</v>
      </c>
      <c r="C102" s="851" t="s">
        <v>255</v>
      </c>
      <c r="D102" s="1047"/>
      <c r="E102" s="1048"/>
      <c r="F102" s="852" t="b">
        <f>ISBLANK(B102)</f>
        <v>0</v>
      </c>
    </row>
    <row r="103" spans="1:7" s="1" customFormat="1" ht="21.75" customHeight="1" outlineLevel="3" x14ac:dyDescent="0.25">
      <c r="A103" s="1144"/>
      <c r="B103" s="851" t="s">
        <v>721</v>
      </c>
      <c r="C103" s="851" t="s">
        <v>255</v>
      </c>
      <c r="D103" s="1047"/>
      <c r="E103" s="1048"/>
      <c r="F103" s="852" t="b">
        <f>ISBLANK(B103)</f>
        <v>0</v>
      </c>
    </row>
    <row r="104" spans="1:7" s="1" customFormat="1" ht="21.75" customHeight="1" outlineLevel="3" x14ac:dyDescent="0.25">
      <c r="A104" s="1144"/>
      <c r="B104" s="851" t="s">
        <v>1005</v>
      </c>
      <c r="C104" s="851" t="s">
        <v>255</v>
      </c>
      <c r="D104" s="1047"/>
      <c r="E104" s="1048"/>
      <c r="F104" s="852" t="b">
        <f>ISBLANK(B104)</f>
        <v>0</v>
      </c>
    </row>
    <row r="105" spans="1:7" s="1" customFormat="1" ht="21.75" customHeight="1" outlineLevel="3" x14ac:dyDescent="0.25">
      <c r="A105" s="1144"/>
      <c r="B105" s="851" t="s">
        <v>1838</v>
      </c>
      <c r="C105" s="851" t="s">
        <v>255</v>
      </c>
      <c r="D105" s="853"/>
      <c r="E105" s="854"/>
      <c r="F105" s="852"/>
    </row>
    <row r="106" spans="1:7" s="1" customFormat="1" ht="21.75" customHeight="1" outlineLevel="3" x14ac:dyDescent="0.25">
      <c r="A106" s="1144"/>
      <c r="B106" s="851" t="s">
        <v>891</v>
      </c>
      <c r="C106" s="851" t="s">
        <v>242</v>
      </c>
      <c r="D106" s="1047"/>
      <c r="E106" s="1048"/>
      <c r="F106" s="852" t="b">
        <f>ISBLANK(B106)</f>
        <v>0</v>
      </c>
    </row>
    <row r="107" spans="1:7" s="1" customFormat="1" ht="21.75" customHeight="1" outlineLevel="3" x14ac:dyDescent="0.25">
      <c r="A107" s="1144"/>
      <c r="B107" s="851" t="s">
        <v>1007</v>
      </c>
      <c r="C107" s="851" t="s">
        <v>255</v>
      </c>
      <c r="D107" s="1047"/>
      <c r="E107" s="1048"/>
      <c r="F107" s="852" t="b">
        <f>ISBLANK(B107)</f>
        <v>0</v>
      </c>
    </row>
    <row r="108" spans="1:7" s="1" customFormat="1" ht="30.75" customHeight="1" outlineLevel="3" x14ac:dyDescent="0.25">
      <c r="A108" s="1144"/>
      <c r="B108" s="851" t="s">
        <v>1831</v>
      </c>
      <c r="C108" s="851" t="s">
        <v>242</v>
      </c>
      <c r="D108" s="1047"/>
      <c r="E108" s="1048"/>
      <c r="F108" s="852" t="b">
        <f>ISBLANK(B108)</f>
        <v>0</v>
      </c>
    </row>
    <row r="109" spans="1:7" s="1" customFormat="1" ht="30.75" customHeight="1" outlineLevel="3" x14ac:dyDescent="0.25">
      <c r="A109" s="1144"/>
      <c r="B109" s="851" t="s">
        <v>892</v>
      </c>
      <c r="C109" s="851" t="s">
        <v>242</v>
      </c>
      <c r="D109" s="1047"/>
      <c r="E109" s="1048"/>
      <c r="F109" s="852" t="b">
        <f>ISBLANK(B109)</f>
        <v>0</v>
      </c>
    </row>
    <row r="110" spans="1:7" s="1" customFormat="1" ht="21.75" customHeight="1" outlineLevel="3" x14ac:dyDescent="0.25">
      <c r="A110" s="1144"/>
      <c r="B110" s="851" t="s">
        <v>893</v>
      </c>
      <c r="C110" s="851" t="s">
        <v>242</v>
      </c>
      <c r="D110" s="1047"/>
      <c r="E110" s="1048"/>
      <c r="F110" s="852" t="b">
        <f t="shared" si="1"/>
        <v>0</v>
      </c>
    </row>
    <row r="111" spans="1:7" s="1" customFormat="1" ht="21.75" customHeight="1" outlineLevel="3" x14ac:dyDescent="0.25">
      <c r="A111" s="1144"/>
      <c r="B111" s="851" t="s">
        <v>1008</v>
      </c>
      <c r="C111" s="851" t="s">
        <v>255</v>
      </c>
      <c r="D111" s="1047"/>
      <c r="E111" s="1048"/>
      <c r="F111" s="852" t="b">
        <f t="shared" si="1"/>
        <v>0</v>
      </c>
    </row>
    <row r="112" spans="1:7" s="1" customFormat="1" ht="30.75" customHeight="1" outlineLevel="3" x14ac:dyDescent="0.25">
      <c r="A112" s="1144"/>
      <c r="B112" s="851" t="s">
        <v>1832</v>
      </c>
      <c r="C112" s="851" t="s">
        <v>242</v>
      </c>
      <c r="D112" s="1047"/>
      <c r="E112" s="1048"/>
      <c r="F112" s="852" t="b">
        <f t="shared" si="1"/>
        <v>0</v>
      </c>
    </row>
    <row r="113" spans="1:7" s="1" customFormat="1" ht="21.75" customHeight="1" outlineLevel="3" x14ac:dyDescent="0.25">
      <c r="A113" s="1144"/>
      <c r="B113" s="851" t="s">
        <v>1010</v>
      </c>
      <c r="C113" s="851" t="s">
        <v>255</v>
      </c>
      <c r="D113" s="1047"/>
      <c r="E113" s="1048"/>
      <c r="F113" s="852" t="b">
        <f t="shared" si="1"/>
        <v>0</v>
      </c>
    </row>
    <row r="114" spans="1:7" s="1" customFormat="1" ht="21.75" customHeight="1" outlineLevel="3" x14ac:dyDescent="0.25">
      <c r="A114" s="1144"/>
      <c r="B114" s="851" t="s">
        <v>894</v>
      </c>
      <c r="C114" s="851" t="s">
        <v>242</v>
      </c>
      <c r="D114" s="1047"/>
      <c r="E114" s="1048"/>
      <c r="F114" s="852" t="b">
        <f t="shared" si="1"/>
        <v>0</v>
      </c>
    </row>
    <row r="115" spans="1:7" s="1" customFormat="1" ht="28.5" customHeight="1" outlineLevel="3" x14ac:dyDescent="0.25">
      <c r="A115" s="1144"/>
      <c r="B115" s="851" t="s">
        <v>1836</v>
      </c>
      <c r="C115" s="851" t="s">
        <v>255</v>
      </c>
      <c r="D115" s="853"/>
      <c r="E115" s="854"/>
      <c r="F115" s="852"/>
    </row>
    <row r="116" spans="1:7" s="1" customFormat="1" ht="27.75" customHeight="1" outlineLevel="3" x14ac:dyDescent="0.25">
      <c r="A116" s="1144"/>
      <c r="B116" s="851" t="s">
        <v>1011</v>
      </c>
      <c r="C116" s="851" t="s">
        <v>255</v>
      </c>
      <c r="D116" s="1047"/>
      <c r="E116" s="1048"/>
      <c r="F116" s="852" t="b">
        <f t="shared" ref="F116" si="3">ISBLANK(B116)</f>
        <v>0</v>
      </c>
      <c r="G116" s="855" t="s">
        <v>1835</v>
      </c>
    </row>
    <row r="117" spans="1:7" outlineLevel="3" x14ac:dyDescent="0.25">
      <c r="A117" s="1138" t="s">
        <v>856</v>
      </c>
      <c r="B117" s="1047"/>
      <c r="C117" s="1057"/>
      <c r="D117" s="1047"/>
      <c r="E117" s="1048"/>
      <c r="F117" s="129" t="b">
        <f t="shared" si="1"/>
        <v>1</v>
      </c>
      <c r="G117" s="855">
        <f>IF(OR(B117="Не ожидается методической работы и результатов",B117=""),0,1)</f>
        <v>0</v>
      </c>
    </row>
    <row r="118" spans="1:7" outlineLevel="3" x14ac:dyDescent="0.25">
      <c r="A118" s="1138"/>
      <c r="B118" s="1047"/>
      <c r="C118" s="1057"/>
      <c r="D118" s="1047"/>
      <c r="E118" s="1048"/>
      <c r="F118" s="129" t="b">
        <f t="shared" si="1"/>
        <v>1</v>
      </c>
      <c r="G118" s="855">
        <f t="shared" ref="G118:G123" si="4">IF(OR(B118="Не ожидается методической работы и результатов",B118=""),0,1)</f>
        <v>0</v>
      </c>
    </row>
    <row r="119" spans="1:7" outlineLevel="3" x14ac:dyDescent="0.25">
      <c r="A119" s="1138"/>
      <c r="B119" s="1047"/>
      <c r="C119" s="1057"/>
      <c r="D119" s="1047"/>
      <c r="E119" s="1048"/>
      <c r="F119" s="129" t="b">
        <f t="shared" si="1"/>
        <v>1</v>
      </c>
      <c r="G119" s="855">
        <f t="shared" si="4"/>
        <v>0</v>
      </c>
    </row>
    <row r="120" spans="1:7" outlineLevel="3" x14ac:dyDescent="0.25">
      <c r="A120" s="1138"/>
      <c r="B120" s="1047"/>
      <c r="C120" s="1057"/>
      <c r="D120" s="1047"/>
      <c r="E120" s="1048"/>
      <c r="F120" s="129" t="b">
        <f t="shared" si="1"/>
        <v>1</v>
      </c>
      <c r="G120" s="855">
        <f t="shared" si="4"/>
        <v>0</v>
      </c>
    </row>
    <row r="121" spans="1:7" outlineLevel="3" x14ac:dyDescent="0.25">
      <c r="A121" s="1138"/>
      <c r="B121" s="1047"/>
      <c r="C121" s="1057"/>
      <c r="D121" s="1047"/>
      <c r="E121" s="1048"/>
      <c r="F121" s="129" t="b">
        <f t="shared" si="1"/>
        <v>1</v>
      </c>
      <c r="G121" s="855">
        <f t="shared" si="4"/>
        <v>0</v>
      </c>
    </row>
    <row r="122" spans="1:7" outlineLevel="3" x14ac:dyDescent="0.25">
      <c r="A122" s="1138"/>
      <c r="B122" s="1047"/>
      <c r="C122" s="1057"/>
      <c r="D122" s="1047"/>
      <c r="E122" s="1048"/>
      <c r="F122" s="129" t="b">
        <f t="shared" si="1"/>
        <v>1</v>
      </c>
      <c r="G122" s="855">
        <f t="shared" si="4"/>
        <v>0</v>
      </c>
    </row>
    <row r="123" spans="1:7" ht="15.75" outlineLevel="3" thickBot="1" x14ac:dyDescent="0.3">
      <c r="A123" s="1142"/>
      <c r="B123" s="1051"/>
      <c r="C123" s="1056"/>
      <c r="D123" s="1051"/>
      <c r="E123" s="1052"/>
      <c r="F123" s="129" t="b">
        <f t="shared" si="1"/>
        <v>1</v>
      </c>
      <c r="G123" s="855">
        <f t="shared" si="4"/>
        <v>0</v>
      </c>
    </row>
    <row r="124" spans="1:7" ht="36" customHeight="1" outlineLevel="2" collapsed="1" thickBot="1" x14ac:dyDescent="0.3">
      <c r="A124" s="1132" t="s">
        <v>1651</v>
      </c>
      <c r="B124" s="1133"/>
      <c r="C124" s="1133"/>
      <c r="D124" s="1059" t="s">
        <v>861</v>
      </c>
      <c r="E124" s="1060"/>
      <c r="F124" s="129" t="b">
        <f t="shared" si="1"/>
        <v>1</v>
      </c>
    </row>
    <row r="125" spans="1:7" hidden="1" outlineLevel="3" x14ac:dyDescent="0.25">
      <c r="A125" s="1116" t="s">
        <v>914</v>
      </c>
      <c r="B125" s="1101"/>
      <c r="C125" s="1103"/>
      <c r="D125" s="1101"/>
      <c r="E125" s="1134"/>
      <c r="F125" s="129" t="b">
        <f t="shared" si="1"/>
        <v>1</v>
      </c>
    </row>
    <row r="126" spans="1:7" hidden="1" outlineLevel="3" x14ac:dyDescent="0.25">
      <c r="A126" s="1138"/>
      <c r="B126" s="1053"/>
      <c r="C126" s="1055"/>
      <c r="D126" s="1053"/>
      <c r="E126" s="1054"/>
      <c r="F126" s="129" t="b">
        <f t="shared" si="1"/>
        <v>1</v>
      </c>
    </row>
    <row r="127" spans="1:7" hidden="1" outlineLevel="3" x14ac:dyDescent="0.25">
      <c r="A127" s="1138"/>
      <c r="B127" s="1053"/>
      <c r="C127" s="1055"/>
      <c r="D127" s="1053"/>
      <c r="E127" s="1054"/>
      <c r="F127" s="129" t="b">
        <f t="shared" si="1"/>
        <v>1</v>
      </c>
    </row>
    <row r="128" spans="1:7" hidden="1" outlineLevel="3" x14ac:dyDescent="0.25">
      <c r="A128" s="1138"/>
      <c r="B128" s="1053"/>
      <c r="C128" s="1055"/>
      <c r="D128" s="1053"/>
      <c r="E128" s="1054"/>
      <c r="F128" s="129" t="b">
        <f t="shared" si="1"/>
        <v>1</v>
      </c>
    </row>
    <row r="129" spans="1:6" hidden="1" outlineLevel="3" x14ac:dyDescent="0.25">
      <c r="A129" s="1138"/>
      <c r="B129" s="1053"/>
      <c r="C129" s="1055"/>
      <c r="D129" s="1053"/>
      <c r="E129" s="1054"/>
      <c r="F129" s="129" t="b">
        <f t="shared" si="1"/>
        <v>1</v>
      </c>
    </row>
    <row r="130" spans="1:6" hidden="1" outlineLevel="3" x14ac:dyDescent="0.25">
      <c r="A130" s="1138"/>
      <c r="B130" s="1053"/>
      <c r="C130" s="1055"/>
      <c r="D130" s="1053"/>
      <c r="E130" s="1054"/>
      <c r="F130" s="129" t="b">
        <f t="shared" si="1"/>
        <v>1</v>
      </c>
    </row>
    <row r="131" spans="1:6" hidden="1" outlineLevel="3" x14ac:dyDescent="0.25">
      <c r="A131" s="1142"/>
      <c r="B131" s="1053"/>
      <c r="C131" s="1055"/>
      <c r="D131" s="1053"/>
      <c r="E131" s="1054"/>
      <c r="F131" s="129" t="b">
        <f t="shared" si="1"/>
        <v>1</v>
      </c>
    </row>
    <row r="132" spans="1:6" hidden="1" outlineLevel="3" x14ac:dyDescent="0.25">
      <c r="A132" s="1138" t="s">
        <v>915</v>
      </c>
      <c r="B132" s="1053"/>
      <c r="C132" s="1055"/>
      <c r="D132" s="1053"/>
      <c r="E132" s="1054"/>
      <c r="F132" s="129" t="b">
        <f t="shared" si="1"/>
        <v>1</v>
      </c>
    </row>
    <row r="133" spans="1:6" hidden="1" outlineLevel="3" x14ac:dyDescent="0.25">
      <c r="A133" s="1138"/>
      <c r="B133" s="1053"/>
      <c r="C133" s="1055"/>
      <c r="D133" s="1053"/>
      <c r="E133" s="1054"/>
      <c r="F133" s="129" t="b">
        <f t="shared" si="1"/>
        <v>1</v>
      </c>
    </row>
    <row r="134" spans="1:6" hidden="1" outlineLevel="3" x14ac:dyDescent="0.25">
      <c r="A134" s="1138"/>
      <c r="B134" s="1053"/>
      <c r="C134" s="1055"/>
      <c r="D134" s="1053"/>
      <c r="E134" s="1054"/>
      <c r="F134" s="129" t="b">
        <f t="shared" si="1"/>
        <v>1</v>
      </c>
    </row>
    <row r="135" spans="1:6" hidden="1" outlineLevel="3" x14ac:dyDescent="0.25">
      <c r="A135" s="1138"/>
      <c r="B135" s="1053"/>
      <c r="C135" s="1055"/>
      <c r="D135" s="1053"/>
      <c r="E135" s="1054"/>
      <c r="F135" s="129" t="b">
        <f t="shared" si="1"/>
        <v>1</v>
      </c>
    </row>
    <row r="136" spans="1:6" hidden="1" outlineLevel="3" x14ac:dyDescent="0.25">
      <c r="A136" s="1138"/>
      <c r="B136" s="1053"/>
      <c r="C136" s="1055"/>
      <c r="D136" s="1053"/>
      <c r="E136" s="1054"/>
      <c r="F136" s="129" t="b">
        <f t="shared" si="1"/>
        <v>1</v>
      </c>
    </row>
    <row r="137" spans="1:6" hidden="1" outlineLevel="3" x14ac:dyDescent="0.25">
      <c r="A137" s="1138"/>
      <c r="B137" s="1053"/>
      <c r="C137" s="1055"/>
      <c r="D137" s="1053"/>
      <c r="E137" s="1054"/>
      <c r="F137" s="129" t="b">
        <f t="shared" si="1"/>
        <v>1</v>
      </c>
    </row>
    <row r="138" spans="1:6" hidden="1" outlineLevel="3" x14ac:dyDescent="0.25">
      <c r="A138" s="1142"/>
      <c r="B138" s="1053"/>
      <c r="C138" s="1055"/>
      <c r="D138" s="1053"/>
      <c r="E138" s="1054"/>
      <c r="F138" s="129" t="b">
        <f t="shared" si="1"/>
        <v>1</v>
      </c>
    </row>
    <row r="139" spans="1:6" hidden="1" outlineLevel="3" x14ac:dyDescent="0.25">
      <c r="A139" s="1138" t="s">
        <v>916</v>
      </c>
      <c r="B139" s="1053"/>
      <c r="C139" s="1055"/>
      <c r="D139" s="1053"/>
      <c r="E139" s="1054"/>
      <c r="F139" s="129" t="b">
        <f t="shared" si="1"/>
        <v>1</v>
      </c>
    </row>
    <row r="140" spans="1:6" hidden="1" outlineLevel="3" x14ac:dyDescent="0.25">
      <c r="A140" s="1138"/>
      <c r="B140" s="1053"/>
      <c r="C140" s="1055"/>
      <c r="D140" s="1053"/>
      <c r="E140" s="1054"/>
      <c r="F140" s="129" t="b">
        <f t="shared" si="1"/>
        <v>1</v>
      </c>
    </row>
    <row r="141" spans="1:6" hidden="1" outlineLevel="3" x14ac:dyDescent="0.25">
      <c r="A141" s="1138"/>
      <c r="B141" s="1053"/>
      <c r="C141" s="1055"/>
      <c r="D141" s="1053"/>
      <c r="E141" s="1054"/>
      <c r="F141" s="129" t="b">
        <f t="shared" si="1"/>
        <v>1</v>
      </c>
    </row>
    <row r="142" spans="1:6" hidden="1" outlineLevel="3" x14ac:dyDescent="0.25">
      <c r="A142" s="1138"/>
      <c r="B142" s="1053"/>
      <c r="C142" s="1055"/>
      <c r="D142" s="1053"/>
      <c r="E142" s="1054"/>
      <c r="F142" s="129" t="b">
        <f t="shared" ref="F142:F213" si="5">ISBLANK(B142)</f>
        <v>1</v>
      </c>
    </row>
    <row r="143" spans="1:6" hidden="1" outlineLevel="3" x14ac:dyDescent="0.25">
      <c r="A143" s="1138"/>
      <c r="B143" s="1053"/>
      <c r="C143" s="1055"/>
      <c r="D143" s="1053"/>
      <c r="E143" s="1054"/>
      <c r="F143" s="129" t="b">
        <f t="shared" si="5"/>
        <v>1</v>
      </c>
    </row>
    <row r="144" spans="1:6" hidden="1" outlineLevel="3" x14ac:dyDescent="0.25">
      <c r="A144" s="1138"/>
      <c r="B144" s="1053"/>
      <c r="C144" s="1055"/>
      <c r="D144" s="1053"/>
      <c r="E144" s="1054"/>
      <c r="F144" s="129" t="b">
        <f t="shared" si="5"/>
        <v>1</v>
      </c>
    </row>
    <row r="145" spans="1:6" ht="15.75" hidden="1" outlineLevel="3" thickBot="1" x14ac:dyDescent="0.3">
      <c r="A145" s="1130"/>
      <c r="B145" s="1153"/>
      <c r="C145" s="1155"/>
      <c r="D145" s="1153"/>
      <c r="E145" s="1154"/>
      <c r="F145" s="129" t="b">
        <f t="shared" si="5"/>
        <v>1</v>
      </c>
    </row>
    <row r="146" spans="1:6" ht="15.75" outlineLevel="2" collapsed="1" thickBot="1" x14ac:dyDescent="0.3">
      <c r="A146" s="1128" t="s">
        <v>896</v>
      </c>
      <c r="B146" s="1129"/>
      <c r="C146" s="1129"/>
      <c r="D146" s="1129"/>
      <c r="E146" s="478" t="s">
        <v>861</v>
      </c>
      <c r="F146" s="129" t="b">
        <f t="shared" si="5"/>
        <v>1</v>
      </c>
    </row>
    <row r="147" spans="1:6" ht="15.6" hidden="1" customHeight="1" outlineLevel="3" x14ac:dyDescent="0.25">
      <c r="A147" s="1116" t="s">
        <v>937</v>
      </c>
      <c r="B147" s="1117"/>
      <c r="C147" s="1117"/>
      <c r="D147" s="1117"/>
      <c r="E147" s="483">
        <f>SUM(B57:B67)</f>
        <v>0</v>
      </c>
      <c r="F147" s="129" t="b">
        <f>ISBLANK(E147)</f>
        <v>0</v>
      </c>
    </row>
    <row r="148" spans="1:6" ht="15.6" hidden="1" customHeight="1" outlineLevel="3" thickBot="1" x14ac:dyDescent="0.3">
      <c r="A148" s="1130" t="s">
        <v>936</v>
      </c>
      <c r="B148" s="1131"/>
      <c r="C148" s="1131"/>
      <c r="D148" s="1131"/>
      <c r="E148" s="474">
        <v>0</v>
      </c>
      <c r="F148" s="129" t="b">
        <f>ISBLANK(E148)</f>
        <v>0</v>
      </c>
    </row>
    <row r="149" spans="1:6" ht="15.75" outlineLevel="2" collapsed="1" thickBot="1" x14ac:dyDescent="0.3">
      <c r="A149" s="1128" t="s">
        <v>897</v>
      </c>
      <c r="B149" s="1129"/>
      <c r="C149" s="1129"/>
      <c r="D149" s="1129"/>
      <c r="E149" s="478" t="s">
        <v>898</v>
      </c>
      <c r="F149" s="129" t="b">
        <f t="shared" si="5"/>
        <v>1</v>
      </c>
    </row>
    <row r="150" spans="1:6" hidden="1" outlineLevel="3" x14ac:dyDescent="0.25">
      <c r="A150" s="1116" t="s">
        <v>857</v>
      </c>
      <c r="B150" s="1111"/>
      <c r="C150" s="1111"/>
      <c r="D150" s="1111"/>
      <c r="E150" s="477"/>
      <c r="F150" s="129" t="b">
        <f t="shared" si="5"/>
        <v>1</v>
      </c>
    </row>
    <row r="151" spans="1:6" hidden="1" outlineLevel="3" x14ac:dyDescent="0.25">
      <c r="A151" s="1138"/>
      <c r="B151" s="1045"/>
      <c r="C151" s="1045"/>
      <c r="D151" s="1045"/>
      <c r="E151" s="456"/>
      <c r="F151" s="129" t="b">
        <f t="shared" si="5"/>
        <v>1</v>
      </c>
    </row>
    <row r="152" spans="1:6" ht="15.6" hidden="1" customHeight="1" outlineLevel="3" x14ac:dyDescent="0.25">
      <c r="A152" s="1138"/>
      <c r="B152" s="1045"/>
      <c r="C152" s="1045"/>
      <c r="D152" s="1045"/>
      <c r="E152" s="456"/>
      <c r="F152" s="129" t="b">
        <f t="shared" si="5"/>
        <v>1</v>
      </c>
    </row>
    <row r="153" spans="1:6" ht="15.6" hidden="1" customHeight="1" outlineLevel="3" x14ac:dyDescent="0.25">
      <c r="A153" s="1138"/>
      <c r="B153" s="1045"/>
      <c r="C153" s="1045"/>
      <c r="D153" s="1045"/>
      <c r="E153" s="456"/>
      <c r="F153" s="129" t="b">
        <f t="shared" si="5"/>
        <v>1</v>
      </c>
    </row>
    <row r="154" spans="1:6" ht="15.6" hidden="1" customHeight="1" outlineLevel="3" x14ac:dyDescent="0.25">
      <c r="A154" s="1138"/>
      <c r="B154" s="1045"/>
      <c r="C154" s="1045"/>
      <c r="D154" s="1045"/>
      <c r="E154" s="456"/>
      <c r="F154" s="129" t="b">
        <f t="shared" si="5"/>
        <v>1</v>
      </c>
    </row>
    <row r="155" spans="1:6" ht="15.6" hidden="1" customHeight="1" outlineLevel="3" x14ac:dyDescent="0.25">
      <c r="A155" s="1138"/>
      <c r="B155" s="1045"/>
      <c r="C155" s="1045"/>
      <c r="D155" s="1045"/>
      <c r="E155" s="456"/>
      <c r="F155" s="129" t="b">
        <f t="shared" si="5"/>
        <v>1</v>
      </c>
    </row>
    <row r="156" spans="1:6" hidden="1" outlineLevel="3" x14ac:dyDescent="0.25">
      <c r="A156" s="1138"/>
      <c r="B156" s="1045"/>
      <c r="C156" s="1045"/>
      <c r="D156" s="1045"/>
      <c r="E156" s="456"/>
      <c r="F156" s="129" t="b">
        <f t="shared" si="5"/>
        <v>1</v>
      </c>
    </row>
    <row r="157" spans="1:6" hidden="1" outlineLevel="3" x14ac:dyDescent="0.25">
      <c r="A157" s="1138" t="s">
        <v>856</v>
      </c>
      <c r="B157" s="1045"/>
      <c r="C157" s="1045"/>
      <c r="D157" s="1045"/>
      <c r="E157" s="454"/>
      <c r="F157" s="129" t="b">
        <f t="shared" si="5"/>
        <v>1</v>
      </c>
    </row>
    <row r="158" spans="1:6" hidden="1" outlineLevel="3" x14ac:dyDescent="0.25">
      <c r="A158" s="1138"/>
      <c r="B158" s="1045"/>
      <c r="C158" s="1045"/>
      <c r="D158" s="1045"/>
      <c r="E158" s="454"/>
      <c r="F158" s="129" t="b">
        <f t="shared" si="5"/>
        <v>1</v>
      </c>
    </row>
    <row r="159" spans="1:6" hidden="1" outlineLevel="3" x14ac:dyDescent="0.25">
      <c r="A159" s="1138"/>
      <c r="B159" s="1045"/>
      <c r="C159" s="1045"/>
      <c r="D159" s="1045"/>
      <c r="E159" s="454"/>
      <c r="F159" s="129" t="b">
        <f t="shared" si="5"/>
        <v>1</v>
      </c>
    </row>
    <row r="160" spans="1:6" hidden="1" outlineLevel="3" x14ac:dyDescent="0.25">
      <c r="A160" s="1138"/>
      <c r="B160" s="1045"/>
      <c r="C160" s="1045"/>
      <c r="D160" s="1045"/>
      <c r="E160" s="454"/>
      <c r="F160" s="129" t="b">
        <f t="shared" si="5"/>
        <v>1</v>
      </c>
    </row>
    <row r="161" spans="1:7" hidden="1" outlineLevel="3" x14ac:dyDescent="0.25">
      <c r="A161" s="1138"/>
      <c r="B161" s="1045"/>
      <c r="C161" s="1045"/>
      <c r="D161" s="1045"/>
      <c r="E161" s="454"/>
      <c r="F161" s="129" t="b">
        <f t="shared" si="5"/>
        <v>1</v>
      </c>
    </row>
    <row r="162" spans="1:7" hidden="1" outlineLevel="3" x14ac:dyDescent="0.25">
      <c r="A162" s="1138"/>
      <c r="B162" s="1045"/>
      <c r="C162" s="1045"/>
      <c r="D162" s="1045"/>
      <c r="E162" s="454"/>
      <c r="F162" s="129" t="b">
        <f t="shared" si="5"/>
        <v>1</v>
      </c>
    </row>
    <row r="163" spans="1:7" ht="15.75" hidden="1" outlineLevel="3" thickBot="1" x14ac:dyDescent="0.3">
      <c r="A163" s="1130"/>
      <c r="B163" s="1079"/>
      <c r="C163" s="1079"/>
      <c r="D163" s="1079"/>
      <c r="E163" s="469"/>
      <c r="F163" s="129" t="b">
        <f t="shared" si="5"/>
        <v>1</v>
      </c>
    </row>
    <row r="164" spans="1:7" ht="15" customHeight="1" outlineLevel="2" thickBot="1" x14ac:dyDescent="0.3">
      <c r="A164" s="1132" t="s">
        <v>947</v>
      </c>
      <c r="B164" s="1133"/>
      <c r="C164" s="1143"/>
      <c r="D164" s="1147" t="s">
        <v>861</v>
      </c>
      <c r="E164" s="1060"/>
      <c r="F164" s="129" t="b">
        <f t="shared" si="5"/>
        <v>1</v>
      </c>
    </row>
    <row r="165" spans="1:7" ht="45" outlineLevel="3" x14ac:dyDescent="0.25">
      <c r="A165" s="487" t="s">
        <v>946</v>
      </c>
      <c r="B165" s="1049" t="s">
        <v>255</v>
      </c>
      <c r="C165" s="1058"/>
      <c r="D165" s="1065"/>
      <c r="E165" s="1066"/>
      <c r="F165" s="129" t="b">
        <f t="shared" si="5"/>
        <v>0</v>
      </c>
    </row>
    <row r="166" spans="1:7" ht="30" outlineLevel="3" x14ac:dyDescent="0.25">
      <c r="A166" s="485" t="s">
        <v>942</v>
      </c>
      <c r="B166" s="1047" t="s">
        <v>243</v>
      </c>
      <c r="C166" s="1057"/>
      <c r="D166" s="1045"/>
      <c r="E166" s="1046"/>
      <c r="F166" s="129" t="b">
        <f t="shared" si="5"/>
        <v>0</v>
      </c>
    </row>
    <row r="167" spans="1:7" outlineLevel="3" x14ac:dyDescent="0.25">
      <c r="A167" s="485" t="s">
        <v>1834</v>
      </c>
      <c r="B167" s="1047" t="s">
        <v>243</v>
      </c>
      <c r="C167" s="1057"/>
      <c r="D167" s="1045"/>
      <c r="E167" s="1046"/>
      <c r="F167" s="129" t="b">
        <f t="shared" si="5"/>
        <v>0</v>
      </c>
    </row>
    <row r="168" spans="1:7" outlineLevel="3" x14ac:dyDescent="0.25">
      <c r="A168" s="485" t="s">
        <v>943</v>
      </c>
      <c r="B168" s="1047" t="s">
        <v>243</v>
      </c>
      <c r="C168" s="1057"/>
      <c r="D168" s="1045"/>
      <c r="E168" s="1046"/>
      <c r="F168" s="129" t="b">
        <f t="shared" si="5"/>
        <v>0</v>
      </c>
    </row>
    <row r="169" spans="1:7" ht="30" outlineLevel="3" x14ac:dyDescent="0.25">
      <c r="A169" s="485" t="s">
        <v>944</v>
      </c>
      <c r="B169" s="1047" t="s">
        <v>243</v>
      </c>
      <c r="C169" s="1057"/>
      <c r="D169" s="1045"/>
      <c r="E169" s="1046"/>
      <c r="F169" s="129" t="b">
        <f t="shared" si="5"/>
        <v>0</v>
      </c>
    </row>
    <row r="170" spans="1:7" outlineLevel="3" x14ac:dyDescent="0.25">
      <c r="A170" s="485" t="s">
        <v>1833</v>
      </c>
      <c r="B170" s="1047" t="s">
        <v>243</v>
      </c>
      <c r="C170" s="1057"/>
      <c r="D170" s="1045"/>
      <c r="E170" s="1046"/>
      <c r="F170" s="129" t="b">
        <f t="shared" si="5"/>
        <v>0</v>
      </c>
    </row>
    <row r="171" spans="1:7" ht="45" outlineLevel="3" x14ac:dyDescent="0.25">
      <c r="A171" s="485" t="s">
        <v>955</v>
      </c>
      <c r="B171" s="1047" t="s">
        <v>243</v>
      </c>
      <c r="C171" s="1057"/>
      <c r="D171" s="1045"/>
      <c r="E171" s="1046"/>
      <c r="F171" s="129" t="b">
        <f t="shared" si="5"/>
        <v>0</v>
      </c>
    </row>
    <row r="172" spans="1:7" ht="60" outlineLevel="3" x14ac:dyDescent="0.25">
      <c r="A172" s="485" t="s">
        <v>957</v>
      </c>
      <c r="B172" s="1047" t="s">
        <v>243</v>
      </c>
      <c r="C172" s="1057"/>
      <c r="D172" s="1045"/>
      <c r="E172" s="1046"/>
      <c r="F172" s="129" t="b">
        <f t="shared" si="5"/>
        <v>0</v>
      </c>
    </row>
    <row r="173" spans="1:7" outlineLevel="3" x14ac:dyDescent="0.25">
      <c r="A173" s="1011" t="s">
        <v>2234</v>
      </c>
      <c r="B173" s="1012" t="s">
        <v>2235</v>
      </c>
      <c r="C173" s="1010"/>
      <c r="D173" s="1045"/>
      <c r="E173" s="1046"/>
      <c r="F173" s="129" t="b">
        <f t="shared" si="5"/>
        <v>0</v>
      </c>
    </row>
    <row r="174" spans="1:7" ht="30" outlineLevel="3" x14ac:dyDescent="0.25">
      <c r="A174" s="1008" t="s">
        <v>2231</v>
      </c>
      <c r="B174" s="1009" t="s">
        <v>246</v>
      </c>
      <c r="C174" s="1010"/>
      <c r="D174" s="1045"/>
      <c r="E174" s="1046"/>
      <c r="F174" s="129" t="b">
        <f t="shared" ref="F174:F176" si="6">ISBLANK(B174)</f>
        <v>0</v>
      </c>
      <c r="G174" s="701"/>
    </row>
    <row r="175" spans="1:7" ht="30" outlineLevel="3" x14ac:dyDescent="0.25">
      <c r="A175" s="1008" t="s">
        <v>2232</v>
      </c>
      <c r="B175" s="1009" t="s">
        <v>246</v>
      </c>
      <c r="C175" s="1010"/>
      <c r="D175" s="1045"/>
      <c r="E175" s="1046"/>
      <c r="F175" s="129" t="b">
        <f t="shared" si="6"/>
        <v>0</v>
      </c>
      <c r="G175" s="701"/>
    </row>
    <row r="176" spans="1:7" ht="30" outlineLevel="3" x14ac:dyDescent="0.25">
      <c r="A176" s="1008" t="s">
        <v>2238</v>
      </c>
      <c r="B176" s="1009" t="s">
        <v>246</v>
      </c>
      <c r="C176" s="1010"/>
      <c r="D176" s="1045"/>
      <c r="E176" s="1046"/>
      <c r="F176" s="129" t="b">
        <f t="shared" si="6"/>
        <v>0</v>
      </c>
      <c r="G176" s="701"/>
    </row>
    <row r="177" spans="1:7" ht="60" outlineLevel="3" x14ac:dyDescent="0.25">
      <c r="A177" s="1008" t="s">
        <v>2247</v>
      </c>
      <c r="B177" s="1009" t="s">
        <v>246</v>
      </c>
      <c r="C177" s="1010"/>
      <c r="D177" s="657"/>
      <c r="E177" s="456"/>
      <c r="G177" s="701"/>
    </row>
    <row r="178" spans="1:7" ht="45" outlineLevel="3" x14ac:dyDescent="0.25">
      <c r="A178" s="1008" t="s">
        <v>2239</v>
      </c>
      <c r="B178" s="1009" t="s">
        <v>246</v>
      </c>
      <c r="C178" s="1010"/>
      <c r="D178" s="657"/>
      <c r="E178" s="456"/>
      <c r="G178" s="701"/>
    </row>
    <row r="179" spans="1:7" ht="30" outlineLevel="3" x14ac:dyDescent="0.25">
      <c r="A179" s="1008" t="s">
        <v>2249</v>
      </c>
      <c r="B179" s="1009" t="str">
        <f>IF(AND(B180&gt;=30%,B181&lt;=10),"ДА","НЕТ")</f>
        <v>ДА</v>
      </c>
      <c r="C179" s="1018" t="s">
        <v>2246</v>
      </c>
      <c r="D179" s="1045"/>
      <c r="E179" s="1046"/>
      <c r="F179" s="129" t="b">
        <f t="shared" ref="F179" si="7">ISBLANK(B179)</f>
        <v>0</v>
      </c>
      <c r="G179" s="701"/>
    </row>
    <row r="180" spans="1:7" outlineLevel="3" x14ac:dyDescent="0.25">
      <c r="A180" s="1017" t="s">
        <v>2243</v>
      </c>
      <c r="B180" s="1015">
        <v>0.5</v>
      </c>
      <c r="C180" s="1014" t="s">
        <v>2242</v>
      </c>
      <c r="D180" s="657"/>
      <c r="E180" s="456"/>
    </row>
    <row r="181" spans="1:7" outlineLevel="3" x14ac:dyDescent="0.25">
      <c r="A181" s="1017" t="s">
        <v>2244</v>
      </c>
      <c r="B181" s="1016">
        <v>10</v>
      </c>
      <c r="C181" s="1014" t="s">
        <v>2242</v>
      </c>
      <c r="D181" s="657"/>
      <c r="E181" s="456"/>
    </row>
    <row r="182" spans="1:7" outlineLevel="3" x14ac:dyDescent="0.25">
      <c r="A182" s="1017" t="s">
        <v>2245</v>
      </c>
      <c r="B182" s="1016"/>
      <c r="C182" s="1014" t="s">
        <v>2242</v>
      </c>
      <c r="D182" s="657"/>
      <c r="E182" s="456"/>
    </row>
    <row r="183" spans="1:7" outlineLevel="3" x14ac:dyDescent="0.25">
      <c r="A183" s="485"/>
      <c r="B183" s="1045"/>
      <c r="C183" s="1045"/>
      <c r="D183" s="1045"/>
      <c r="E183" s="1046"/>
      <c r="F183" s="129" t="b">
        <f t="shared" si="5"/>
        <v>1</v>
      </c>
    </row>
    <row r="184" spans="1:7" ht="15.75" outlineLevel="3" thickBot="1" x14ac:dyDescent="0.3">
      <c r="A184" s="486"/>
      <c r="B184" s="1079"/>
      <c r="C184" s="1079"/>
      <c r="D184" s="1079"/>
      <c r="E184" s="1085"/>
      <c r="F184" s="129" t="b">
        <f t="shared" si="5"/>
        <v>1</v>
      </c>
    </row>
    <row r="185" spans="1:7" ht="17.649999999999999" customHeight="1" thickBot="1" x14ac:dyDescent="0.3">
      <c r="A185" s="1148" t="s">
        <v>963</v>
      </c>
      <c r="B185" s="1149"/>
      <c r="C185" s="1149"/>
      <c r="D185" s="1149"/>
      <c r="E185" s="1150"/>
      <c r="F185" s="129" t="s">
        <v>1022</v>
      </c>
    </row>
    <row r="186" spans="1:7" ht="15.6" customHeight="1" outlineLevel="1" collapsed="1" thickBot="1" x14ac:dyDescent="0.3">
      <c r="A186" s="1069" t="s">
        <v>969</v>
      </c>
      <c r="B186" s="1070"/>
      <c r="C186" s="1070"/>
      <c r="D186" s="1145" t="s">
        <v>861</v>
      </c>
      <c r="E186" s="1146"/>
      <c r="F186" s="129" t="s">
        <v>1022</v>
      </c>
    </row>
    <row r="187" spans="1:7" hidden="1" outlineLevel="2" x14ac:dyDescent="0.25">
      <c r="A187" s="1151" t="s">
        <v>964</v>
      </c>
      <c r="B187" s="1152"/>
      <c r="C187" s="482">
        <v>1</v>
      </c>
      <c r="D187" s="1071"/>
      <c r="E187" s="1072"/>
      <c r="F187" s="129" t="b">
        <f>ISBLANK(C187)</f>
        <v>0</v>
      </c>
    </row>
    <row r="188" spans="1:7" ht="15.75" hidden="1" outlineLevel="2" thickBot="1" x14ac:dyDescent="0.3">
      <c r="A188" s="1087" t="s">
        <v>965</v>
      </c>
      <c r="B188" s="1088"/>
      <c r="C188" s="488" t="s">
        <v>966</v>
      </c>
      <c r="D188" s="1067"/>
      <c r="E188" s="1068"/>
      <c r="F188" s="129" t="b">
        <f>ISBLANK(C188)</f>
        <v>0</v>
      </c>
    </row>
    <row r="189" spans="1:7" ht="15.6" customHeight="1" outlineLevel="1" collapsed="1" thickBot="1" x14ac:dyDescent="0.3">
      <c r="A189" s="1069" t="s">
        <v>970</v>
      </c>
      <c r="B189" s="1070"/>
      <c r="C189" s="1070"/>
      <c r="D189" s="1145" t="s">
        <v>861</v>
      </c>
      <c r="E189" s="1146"/>
      <c r="F189" s="129" t="s">
        <v>1022</v>
      </c>
    </row>
    <row r="190" spans="1:7" ht="14.65" hidden="1" customHeight="1" outlineLevel="2" x14ac:dyDescent="0.25">
      <c r="A190" s="1087" t="s">
        <v>967</v>
      </c>
      <c r="B190" s="1088"/>
      <c r="C190" s="488" t="s">
        <v>242</v>
      </c>
      <c r="D190" s="1067" t="s">
        <v>968</v>
      </c>
      <c r="E190" s="1068"/>
      <c r="F190" s="129" t="b">
        <f t="shared" ref="F190:F193" si="8">ISBLANK(C190)</f>
        <v>0</v>
      </c>
    </row>
    <row r="191" spans="1:7" ht="14.65" hidden="1" customHeight="1" outlineLevel="2" x14ac:dyDescent="0.25">
      <c r="A191" s="1087" t="s">
        <v>973</v>
      </c>
      <c r="B191" s="1088"/>
      <c r="C191" s="488" t="s">
        <v>974</v>
      </c>
      <c r="D191" s="1067" t="s">
        <v>968</v>
      </c>
      <c r="E191" s="1068"/>
      <c r="F191" s="129" t="b">
        <f t="shared" si="8"/>
        <v>0</v>
      </c>
    </row>
    <row r="192" spans="1:7" ht="14.65" hidden="1" customHeight="1" outlineLevel="2" x14ac:dyDescent="0.25">
      <c r="A192" s="1087" t="s">
        <v>971</v>
      </c>
      <c r="B192" s="1088"/>
      <c r="C192" s="488" t="s">
        <v>243</v>
      </c>
      <c r="D192" s="1067" t="s">
        <v>968</v>
      </c>
      <c r="E192" s="1068"/>
      <c r="F192" s="129" t="b">
        <f t="shared" si="8"/>
        <v>0</v>
      </c>
    </row>
    <row r="193" spans="1:6" ht="31.15" hidden="1" customHeight="1" outlineLevel="2" x14ac:dyDescent="0.25">
      <c r="A193" s="1087" t="s">
        <v>972</v>
      </c>
      <c r="B193" s="1088"/>
      <c r="C193" s="488" t="s">
        <v>243</v>
      </c>
      <c r="D193" s="1067" t="s">
        <v>968</v>
      </c>
      <c r="E193" s="1068"/>
      <c r="F193" s="129" t="b">
        <f t="shared" si="8"/>
        <v>0</v>
      </c>
    </row>
    <row r="194" spans="1:6" ht="17.649999999999999" customHeight="1" thickBot="1" x14ac:dyDescent="0.3">
      <c r="A194" s="1125" t="s">
        <v>961</v>
      </c>
      <c r="B194" s="1126"/>
      <c r="C194" s="1126"/>
      <c r="D194" s="1126"/>
      <c r="E194" s="1127"/>
      <c r="F194" s="129" t="s">
        <v>1022</v>
      </c>
    </row>
    <row r="195" spans="1:6" ht="15.75" outlineLevel="1" collapsed="1" thickBot="1" x14ac:dyDescent="0.3">
      <c r="A195" s="1069" t="s">
        <v>921</v>
      </c>
      <c r="B195" s="1070"/>
      <c r="C195" s="1070"/>
      <c r="D195" s="1084"/>
      <c r="E195" s="478" t="s">
        <v>861</v>
      </c>
      <c r="F195" s="129" t="s">
        <v>1022</v>
      </c>
    </row>
    <row r="196" spans="1:6" ht="34.5" hidden="1" customHeight="1" outlineLevel="2" x14ac:dyDescent="0.25">
      <c r="A196" s="1100" t="s">
        <v>857</v>
      </c>
      <c r="B196" s="1101" t="s">
        <v>909</v>
      </c>
      <c r="C196" s="1102"/>
      <c r="D196" s="1103"/>
      <c r="E196" s="477"/>
      <c r="F196" s="129" t="b">
        <f t="shared" si="5"/>
        <v>0</v>
      </c>
    </row>
    <row r="197" spans="1:6" ht="34.5" hidden="1" customHeight="1" outlineLevel="2" x14ac:dyDescent="0.25">
      <c r="A197" s="1063"/>
      <c r="B197" s="1045" t="s">
        <v>908</v>
      </c>
      <c r="C197" s="1045"/>
      <c r="D197" s="1045"/>
      <c r="E197" s="456"/>
      <c r="F197" s="129" t="b">
        <f t="shared" si="5"/>
        <v>0</v>
      </c>
    </row>
    <row r="198" spans="1:6" ht="34.5" hidden="1" customHeight="1" outlineLevel="2" x14ac:dyDescent="0.25">
      <c r="A198" s="1063"/>
      <c r="B198" s="1045" t="s">
        <v>910</v>
      </c>
      <c r="C198" s="1045"/>
      <c r="D198" s="1045"/>
      <c r="E198" s="456"/>
      <c r="F198" s="129" t="b">
        <f t="shared" si="5"/>
        <v>0</v>
      </c>
    </row>
    <row r="199" spans="1:6" ht="34.5" hidden="1" customHeight="1" outlineLevel="2" x14ac:dyDescent="0.25">
      <c r="A199" s="1063"/>
      <c r="B199" s="1045" t="s">
        <v>911</v>
      </c>
      <c r="C199" s="1045"/>
      <c r="D199" s="1045"/>
      <c r="E199" s="456"/>
      <c r="F199" s="129" t="b">
        <f t="shared" si="5"/>
        <v>0</v>
      </c>
    </row>
    <row r="200" spans="1:6" ht="34.5" hidden="1" customHeight="1" outlineLevel="2" x14ac:dyDescent="0.25">
      <c r="A200" s="1063"/>
      <c r="B200" s="1045" t="s">
        <v>912</v>
      </c>
      <c r="C200" s="1045"/>
      <c r="D200" s="1045"/>
      <c r="E200" s="456"/>
      <c r="F200" s="129" t="b">
        <f t="shared" si="5"/>
        <v>0</v>
      </c>
    </row>
    <row r="201" spans="1:6" ht="34.5" hidden="1" customHeight="1" outlineLevel="2" x14ac:dyDescent="0.25">
      <c r="A201" s="1063"/>
      <c r="B201" s="1045" t="s">
        <v>913</v>
      </c>
      <c r="C201" s="1045"/>
      <c r="D201" s="1045"/>
      <c r="E201" s="456"/>
      <c r="F201" s="129" t="b">
        <f t="shared" si="5"/>
        <v>0</v>
      </c>
    </row>
    <row r="202" spans="1:6" ht="34.5" hidden="1" customHeight="1" outlineLevel="2" x14ac:dyDescent="0.25">
      <c r="A202" s="1063"/>
      <c r="B202" s="1045" t="s">
        <v>907</v>
      </c>
      <c r="C202" s="1045"/>
      <c r="D202" s="1045"/>
      <c r="E202" s="456"/>
      <c r="F202" s="129" t="b">
        <f t="shared" si="5"/>
        <v>0</v>
      </c>
    </row>
    <row r="203" spans="1:6" hidden="1" outlineLevel="2" x14ac:dyDescent="0.25">
      <c r="A203" s="1063" t="s">
        <v>856</v>
      </c>
      <c r="B203" s="1045"/>
      <c r="C203" s="1045"/>
      <c r="D203" s="1045"/>
      <c r="E203" s="456"/>
      <c r="F203" s="129" t="b">
        <f t="shared" si="5"/>
        <v>1</v>
      </c>
    </row>
    <row r="204" spans="1:6" hidden="1" outlineLevel="2" x14ac:dyDescent="0.25">
      <c r="A204" s="1063"/>
      <c r="B204" s="1045"/>
      <c r="C204" s="1045"/>
      <c r="D204" s="1045"/>
      <c r="E204" s="456"/>
      <c r="F204" s="129" t="b">
        <f t="shared" si="5"/>
        <v>1</v>
      </c>
    </row>
    <row r="205" spans="1:6" hidden="1" outlineLevel="2" x14ac:dyDescent="0.25">
      <c r="A205" s="1063"/>
      <c r="B205" s="1045"/>
      <c r="C205" s="1045"/>
      <c r="D205" s="1045"/>
      <c r="E205" s="456"/>
      <c r="F205" s="129" t="b">
        <f t="shared" si="5"/>
        <v>1</v>
      </c>
    </row>
    <row r="206" spans="1:6" hidden="1" outlineLevel="2" x14ac:dyDescent="0.25">
      <c r="A206" s="1063"/>
      <c r="B206" s="1045"/>
      <c r="C206" s="1045"/>
      <c r="D206" s="1045"/>
      <c r="E206" s="456"/>
      <c r="F206" s="129" t="b">
        <f t="shared" si="5"/>
        <v>1</v>
      </c>
    </row>
    <row r="207" spans="1:6" hidden="1" outlineLevel="2" x14ac:dyDescent="0.25">
      <c r="A207" s="1063"/>
      <c r="B207" s="1045"/>
      <c r="C207" s="1045"/>
      <c r="D207" s="1045"/>
      <c r="E207" s="456"/>
      <c r="F207" s="129" t="b">
        <f t="shared" si="5"/>
        <v>1</v>
      </c>
    </row>
    <row r="208" spans="1:6" hidden="1" outlineLevel="2" x14ac:dyDescent="0.25">
      <c r="A208" s="1063"/>
      <c r="B208" s="1045"/>
      <c r="C208" s="1045"/>
      <c r="D208" s="1045"/>
      <c r="E208" s="456"/>
      <c r="F208" s="129" t="b">
        <f t="shared" si="5"/>
        <v>1</v>
      </c>
    </row>
    <row r="209" spans="1:6" ht="15.75" hidden="1" outlineLevel="2" thickBot="1" x14ac:dyDescent="0.3">
      <c r="A209" s="1064"/>
      <c r="B209" s="1079"/>
      <c r="C209" s="1079"/>
      <c r="D209" s="1079"/>
      <c r="E209" s="457"/>
      <c r="F209" s="129" t="b">
        <f t="shared" si="5"/>
        <v>1</v>
      </c>
    </row>
    <row r="210" spans="1:6" ht="15.75" outlineLevel="1" thickBot="1" x14ac:dyDescent="0.3">
      <c r="A210" s="1069" t="s">
        <v>917</v>
      </c>
      <c r="B210" s="1070"/>
      <c r="C210" s="1070"/>
      <c r="D210" s="1084"/>
      <c r="E210" s="478" t="s">
        <v>861</v>
      </c>
      <c r="F210" s="129" t="s">
        <v>1022</v>
      </c>
    </row>
    <row r="211" spans="1:6" ht="25.5" customHeight="1" outlineLevel="2" x14ac:dyDescent="0.25">
      <c r="A211" s="1099" t="s">
        <v>857</v>
      </c>
      <c r="B211" s="1111" t="s">
        <v>919</v>
      </c>
      <c r="C211" s="1111"/>
      <c r="D211" s="1111"/>
      <c r="E211" s="477"/>
      <c r="F211" s="129" t="b">
        <f t="shared" si="5"/>
        <v>0</v>
      </c>
    </row>
    <row r="212" spans="1:6" ht="25.5" customHeight="1" outlineLevel="2" x14ac:dyDescent="0.25">
      <c r="A212" s="1089"/>
      <c r="B212" s="1045" t="s">
        <v>918</v>
      </c>
      <c r="C212" s="1045"/>
      <c r="D212" s="1045"/>
      <c r="E212" s="456"/>
      <c r="F212" s="129" t="b">
        <f t="shared" si="5"/>
        <v>0</v>
      </c>
    </row>
    <row r="213" spans="1:6" ht="25.5" customHeight="1" outlineLevel="2" x14ac:dyDescent="0.25">
      <c r="A213" s="1089"/>
      <c r="B213" s="1045" t="s">
        <v>920</v>
      </c>
      <c r="C213" s="1045"/>
      <c r="D213" s="1045"/>
      <c r="E213" s="456"/>
      <c r="F213" s="129" t="b">
        <f t="shared" si="5"/>
        <v>0</v>
      </c>
    </row>
    <row r="214" spans="1:6" ht="25.5" customHeight="1" outlineLevel="2" x14ac:dyDescent="0.25">
      <c r="A214" s="1089"/>
      <c r="B214" s="1045"/>
      <c r="C214" s="1045"/>
      <c r="D214" s="1045"/>
      <c r="E214" s="456"/>
      <c r="F214" s="129" t="b">
        <f t="shared" ref="F214:F250" si="9">ISBLANK(B214)</f>
        <v>1</v>
      </c>
    </row>
    <row r="215" spans="1:6" ht="25.5" customHeight="1" outlineLevel="2" x14ac:dyDescent="0.25">
      <c r="A215" s="1089"/>
      <c r="B215" s="1045"/>
      <c r="C215" s="1045"/>
      <c r="D215" s="1045"/>
      <c r="E215" s="456"/>
      <c r="F215" s="129" t="b">
        <f t="shared" si="9"/>
        <v>1</v>
      </c>
    </row>
    <row r="216" spans="1:6" ht="25.5" customHeight="1" outlineLevel="2" x14ac:dyDescent="0.25">
      <c r="A216" s="1089"/>
      <c r="B216" s="1045"/>
      <c r="C216" s="1045"/>
      <c r="D216" s="1045"/>
      <c r="E216" s="456"/>
      <c r="F216" s="129" t="b">
        <f t="shared" si="9"/>
        <v>1</v>
      </c>
    </row>
    <row r="217" spans="1:6" ht="25.5" customHeight="1" outlineLevel="2" x14ac:dyDescent="0.25">
      <c r="A217" s="1089"/>
      <c r="B217" s="1045"/>
      <c r="C217" s="1045"/>
      <c r="D217" s="1045"/>
      <c r="E217" s="456"/>
      <c r="F217" s="129" t="b">
        <f t="shared" si="9"/>
        <v>1</v>
      </c>
    </row>
    <row r="218" spans="1:6" outlineLevel="2" x14ac:dyDescent="0.25">
      <c r="A218" s="1089" t="s">
        <v>856</v>
      </c>
      <c r="B218" s="1045"/>
      <c r="C218" s="1045"/>
      <c r="D218" s="1045"/>
      <c r="E218" s="456"/>
      <c r="F218" s="129" t="b">
        <f t="shared" si="9"/>
        <v>1</v>
      </c>
    </row>
    <row r="219" spans="1:6" outlineLevel="2" x14ac:dyDescent="0.25">
      <c r="A219" s="1089"/>
      <c r="B219" s="1045"/>
      <c r="C219" s="1045"/>
      <c r="D219" s="1045"/>
      <c r="E219" s="456"/>
      <c r="F219" s="129" t="b">
        <f t="shared" si="9"/>
        <v>1</v>
      </c>
    </row>
    <row r="220" spans="1:6" outlineLevel="2" x14ac:dyDescent="0.25">
      <c r="A220" s="1089"/>
      <c r="B220" s="1045"/>
      <c r="C220" s="1045"/>
      <c r="D220" s="1045"/>
      <c r="E220" s="456"/>
      <c r="F220" s="129" t="b">
        <f t="shared" si="9"/>
        <v>1</v>
      </c>
    </row>
    <row r="221" spans="1:6" outlineLevel="2" x14ac:dyDescent="0.25">
      <c r="A221" s="1089"/>
      <c r="B221" s="1045"/>
      <c r="C221" s="1045"/>
      <c r="D221" s="1045"/>
      <c r="E221" s="456"/>
      <c r="F221" s="129" t="b">
        <f t="shared" si="9"/>
        <v>1</v>
      </c>
    </row>
    <row r="222" spans="1:6" outlineLevel="2" x14ac:dyDescent="0.25">
      <c r="A222" s="1089"/>
      <c r="B222" s="1045"/>
      <c r="C222" s="1045"/>
      <c r="D222" s="1045"/>
      <c r="E222" s="456"/>
      <c r="F222" s="129" t="b">
        <f t="shared" si="9"/>
        <v>1</v>
      </c>
    </row>
    <row r="223" spans="1:6" outlineLevel="2" x14ac:dyDescent="0.25">
      <c r="A223" s="1089"/>
      <c r="B223" s="1045"/>
      <c r="C223" s="1045"/>
      <c r="D223" s="1045"/>
      <c r="E223" s="456"/>
      <c r="F223" s="129" t="b">
        <f t="shared" si="9"/>
        <v>1</v>
      </c>
    </row>
    <row r="224" spans="1:6" ht="15.75" outlineLevel="2" thickBot="1" x14ac:dyDescent="0.3">
      <c r="A224" s="1090"/>
      <c r="B224" s="1079"/>
      <c r="C224" s="1079"/>
      <c r="D224" s="1079"/>
      <c r="E224" s="457"/>
      <c r="F224" s="129" t="b">
        <f t="shared" si="9"/>
        <v>1</v>
      </c>
    </row>
    <row r="225" spans="1:6" ht="15.75" outlineLevel="1" collapsed="1" thickBot="1" x14ac:dyDescent="0.3">
      <c r="A225" s="1069" t="s">
        <v>922</v>
      </c>
      <c r="B225" s="1070"/>
      <c r="C225" s="1070"/>
      <c r="D225" s="1084"/>
      <c r="E225" s="478" t="s">
        <v>861</v>
      </c>
      <c r="F225" s="129" t="s">
        <v>1022</v>
      </c>
    </row>
    <row r="226" spans="1:6" hidden="1" outlineLevel="2" x14ac:dyDescent="0.25">
      <c r="A226" s="1099" t="s">
        <v>857</v>
      </c>
      <c r="B226" s="1111" t="s">
        <v>924</v>
      </c>
      <c r="C226" s="1111"/>
      <c r="D226" s="1111"/>
      <c r="E226" s="477"/>
      <c r="F226" s="129" t="b">
        <f t="shared" si="9"/>
        <v>0</v>
      </c>
    </row>
    <row r="227" spans="1:6" hidden="1" outlineLevel="2" x14ac:dyDescent="0.25">
      <c r="A227" s="1089"/>
      <c r="B227" s="1045" t="s">
        <v>925</v>
      </c>
      <c r="C227" s="1045"/>
      <c r="D227" s="1045"/>
      <c r="E227" s="456"/>
      <c r="F227" s="129" t="b">
        <f t="shared" si="9"/>
        <v>0</v>
      </c>
    </row>
    <row r="228" spans="1:6" ht="15.6" hidden="1" customHeight="1" outlineLevel="2" x14ac:dyDescent="0.25">
      <c r="A228" s="1089"/>
      <c r="B228" s="1045" t="s">
        <v>926</v>
      </c>
      <c r="C228" s="1045"/>
      <c r="D228" s="1045"/>
      <c r="E228" s="456"/>
      <c r="F228" s="129" t="b">
        <f t="shared" si="9"/>
        <v>0</v>
      </c>
    </row>
    <row r="229" spans="1:6" ht="15.6" hidden="1" customHeight="1" outlineLevel="2" x14ac:dyDescent="0.25">
      <c r="A229" s="1089"/>
      <c r="B229" s="1045" t="s">
        <v>927</v>
      </c>
      <c r="C229" s="1045"/>
      <c r="D229" s="1045"/>
      <c r="E229" s="456"/>
      <c r="F229" s="129" t="b">
        <f t="shared" si="9"/>
        <v>0</v>
      </c>
    </row>
    <row r="230" spans="1:6" ht="15.6" hidden="1" customHeight="1" outlineLevel="2" x14ac:dyDescent="0.25">
      <c r="A230" s="1089"/>
      <c r="B230" s="1045" t="s">
        <v>928</v>
      </c>
      <c r="C230" s="1045"/>
      <c r="D230" s="1045"/>
      <c r="E230" s="456"/>
      <c r="F230" s="129" t="b">
        <f t="shared" si="9"/>
        <v>0</v>
      </c>
    </row>
    <row r="231" spans="1:6" ht="15.6" hidden="1" customHeight="1" outlineLevel="2" x14ac:dyDescent="0.25">
      <c r="A231" s="1089"/>
      <c r="B231" s="1045" t="s">
        <v>929</v>
      </c>
      <c r="C231" s="1045"/>
      <c r="D231" s="1045"/>
      <c r="E231" s="456"/>
      <c r="F231" s="129" t="b">
        <f t="shared" si="9"/>
        <v>0</v>
      </c>
    </row>
    <row r="232" spans="1:6" hidden="1" outlineLevel="2" x14ac:dyDescent="0.25">
      <c r="A232" s="1089"/>
      <c r="B232" s="1045"/>
      <c r="C232" s="1045"/>
      <c r="D232" s="1045"/>
      <c r="E232" s="456"/>
      <c r="F232" s="129" t="b">
        <f t="shared" si="9"/>
        <v>1</v>
      </c>
    </row>
    <row r="233" spans="1:6" hidden="1" outlineLevel="2" x14ac:dyDescent="0.25">
      <c r="A233" s="1089" t="s">
        <v>856</v>
      </c>
      <c r="B233" s="1045"/>
      <c r="C233" s="1045"/>
      <c r="D233" s="1045"/>
      <c r="E233" s="456"/>
      <c r="F233" s="129" t="b">
        <f t="shared" si="9"/>
        <v>1</v>
      </c>
    </row>
    <row r="234" spans="1:6" hidden="1" outlineLevel="2" x14ac:dyDescent="0.25">
      <c r="A234" s="1089"/>
      <c r="B234" s="1045"/>
      <c r="C234" s="1045"/>
      <c r="D234" s="1045"/>
      <c r="E234" s="456"/>
      <c r="F234" s="129" t="b">
        <f t="shared" si="9"/>
        <v>1</v>
      </c>
    </row>
    <row r="235" spans="1:6" hidden="1" outlineLevel="2" x14ac:dyDescent="0.25">
      <c r="A235" s="1089"/>
      <c r="B235" s="1045"/>
      <c r="C235" s="1045"/>
      <c r="D235" s="1045"/>
      <c r="E235" s="456"/>
      <c r="F235" s="129" t="b">
        <f t="shared" si="9"/>
        <v>1</v>
      </c>
    </row>
    <row r="236" spans="1:6" hidden="1" outlineLevel="2" x14ac:dyDescent="0.25">
      <c r="A236" s="1089"/>
      <c r="B236" s="1045"/>
      <c r="C236" s="1045"/>
      <c r="D236" s="1045"/>
      <c r="E236" s="456"/>
      <c r="F236" s="129" t="b">
        <f t="shared" si="9"/>
        <v>1</v>
      </c>
    </row>
    <row r="237" spans="1:6" hidden="1" outlineLevel="2" x14ac:dyDescent="0.25">
      <c r="A237" s="1089"/>
      <c r="B237" s="1045"/>
      <c r="C237" s="1045"/>
      <c r="D237" s="1045"/>
      <c r="E237" s="456"/>
      <c r="F237" s="129" t="b">
        <f t="shared" si="9"/>
        <v>1</v>
      </c>
    </row>
    <row r="238" spans="1:6" hidden="1" outlineLevel="2" x14ac:dyDescent="0.25">
      <c r="A238" s="1089"/>
      <c r="B238" s="1045"/>
      <c r="C238" s="1045"/>
      <c r="D238" s="1045"/>
      <c r="E238" s="456"/>
      <c r="F238" s="129" t="b">
        <f t="shared" si="9"/>
        <v>1</v>
      </c>
    </row>
    <row r="239" spans="1:6" ht="15.75" hidden="1" outlineLevel="2" thickBot="1" x14ac:dyDescent="0.3">
      <c r="A239" s="1090"/>
      <c r="B239" s="1079"/>
      <c r="C239" s="1079"/>
      <c r="D239" s="1079"/>
      <c r="E239" s="457"/>
      <c r="F239" s="129" t="b">
        <f t="shared" si="9"/>
        <v>1</v>
      </c>
    </row>
    <row r="240" spans="1:6" ht="16.5" thickBot="1" x14ac:dyDescent="0.3">
      <c r="A240" s="1093" t="s">
        <v>962</v>
      </c>
      <c r="B240" s="1094"/>
      <c r="C240" s="1094"/>
      <c r="D240" s="1094"/>
      <c r="E240" s="1095"/>
      <c r="F240" s="129" t="s">
        <v>1022</v>
      </c>
    </row>
    <row r="241" spans="1:6" outlineLevel="1" x14ac:dyDescent="0.25">
      <c r="A241" s="484" t="s">
        <v>833</v>
      </c>
      <c r="B241" s="1112" t="s">
        <v>851</v>
      </c>
      <c r="C241" s="1112"/>
      <c r="D241" s="1112"/>
      <c r="E241" s="1113"/>
      <c r="F241" s="129" t="b">
        <f t="shared" si="9"/>
        <v>0</v>
      </c>
    </row>
    <row r="242" spans="1:6" outlineLevel="1" x14ac:dyDescent="0.25">
      <c r="A242" s="1097" t="s">
        <v>959</v>
      </c>
      <c r="B242" s="1074"/>
      <c r="C242" s="1074"/>
      <c r="D242" s="1086"/>
      <c r="E242" s="1068"/>
      <c r="F242" s="129" t="b">
        <f t="shared" si="9"/>
        <v>1</v>
      </c>
    </row>
    <row r="243" spans="1:6" outlineLevel="1" x14ac:dyDescent="0.25">
      <c r="A243" s="1098"/>
      <c r="B243" s="1074"/>
      <c r="C243" s="1074"/>
      <c r="D243" s="1086"/>
      <c r="E243" s="1068"/>
      <c r="F243" s="129" t="b">
        <f t="shared" si="9"/>
        <v>1</v>
      </c>
    </row>
    <row r="244" spans="1:6" outlineLevel="1" x14ac:dyDescent="0.25">
      <c r="A244" s="1098"/>
      <c r="B244" s="1074"/>
      <c r="C244" s="1074"/>
      <c r="D244" s="1086"/>
      <c r="E244" s="1068"/>
      <c r="F244" s="129" t="b">
        <f t="shared" si="9"/>
        <v>1</v>
      </c>
    </row>
    <row r="245" spans="1:6" outlineLevel="1" x14ac:dyDescent="0.25">
      <c r="A245" s="1098"/>
      <c r="B245" s="1074"/>
      <c r="C245" s="1074"/>
      <c r="D245" s="1086"/>
      <c r="E245" s="1068"/>
      <c r="F245" s="129" t="b">
        <f t="shared" si="9"/>
        <v>1</v>
      </c>
    </row>
    <row r="246" spans="1:6" outlineLevel="1" x14ac:dyDescent="0.25">
      <c r="A246" s="1098"/>
      <c r="B246" s="1074"/>
      <c r="C246" s="1074"/>
      <c r="D246" s="1086"/>
      <c r="E246" s="1068"/>
      <c r="F246" s="129" t="b">
        <f t="shared" si="9"/>
        <v>1</v>
      </c>
    </row>
    <row r="247" spans="1:6" outlineLevel="1" x14ac:dyDescent="0.25">
      <c r="A247" s="1098"/>
      <c r="B247" s="1074"/>
      <c r="C247" s="1074"/>
      <c r="D247" s="1086"/>
      <c r="E247" s="1068"/>
      <c r="F247" s="129" t="b">
        <f t="shared" si="9"/>
        <v>1</v>
      </c>
    </row>
    <row r="248" spans="1:6" outlineLevel="1" x14ac:dyDescent="0.25">
      <c r="A248" s="1098"/>
      <c r="B248" s="1074"/>
      <c r="C248" s="1074"/>
      <c r="D248" s="1086"/>
      <c r="E248" s="1068"/>
      <c r="F248" s="129" t="b">
        <f t="shared" si="9"/>
        <v>1</v>
      </c>
    </row>
    <row r="249" spans="1:6" outlineLevel="1" x14ac:dyDescent="0.25">
      <c r="A249" s="1098"/>
      <c r="B249" s="1074"/>
      <c r="C249" s="1074"/>
      <c r="D249" s="1086"/>
      <c r="E249" s="1068"/>
      <c r="F249" s="129" t="b">
        <f t="shared" si="9"/>
        <v>1</v>
      </c>
    </row>
    <row r="250" spans="1:6" outlineLevel="1" x14ac:dyDescent="0.25">
      <c r="A250" s="1099"/>
      <c r="B250" s="1074"/>
      <c r="C250" s="1074"/>
      <c r="D250" s="1086"/>
      <c r="E250" s="1068"/>
      <c r="F250" s="129" t="b">
        <f t="shared" si="9"/>
        <v>1</v>
      </c>
    </row>
    <row r="251" spans="1:6" ht="61.9" customHeight="1" outlineLevel="1" x14ac:dyDescent="0.25">
      <c r="A251" s="475" t="s">
        <v>849</v>
      </c>
      <c r="B251" s="1114" t="s">
        <v>860</v>
      </c>
      <c r="C251" s="1114"/>
      <c r="D251" s="1114"/>
      <c r="E251" s="1115"/>
      <c r="F251" s="129" t="s">
        <v>1022</v>
      </c>
    </row>
    <row r="252" spans="1:6" ht="45" outlineLevel="1" x14ac:dyDescent="0.25">
      <c r="A252" s="475" t="s">
        <v>865</v>
      </c>
      <c r="B252" s="450" t="s">
        <v>850</v>
      </c>
      <c r="C252" s="1092" t="s">
        <v>852</v>
      </c>
      <c r="D252" s="1092"/>
      <c r="E252" s="451" t="s">
        <v>859</v>
      </c>
      <c r="F252" s="129" t="s">
        <v>1022</v>
      </c>
    </row>
    <row r="253" spans="1:6" outlineLevel="1" x14ac:dyDescent="0.25">
      <c r="A253" s="475" t="s">
        <v>866</v>
      </c>
      <c r="B253" s="450" t="s">
        <v>850</v>
      </c>
      <c r="C253" s="1092" t="s">
        <v>862</v>
      </c>
      <c r="D253" s="1092"/>
      <c r="E253" s="466">
        <v>44547</v>
      </c>
      <c r="F253" s="129" t="s">
        <v>1022</v>
      </c>
    </row>
    <row r="254" spans="1:6" ht="30" outlineLevel="1" x14ac:dyDescent="0.25">
      <c r="A254" s="500" t="s">
        <v>960</v>
      </c>
      <c r="B254" s="1067" t="s">
        <v>242</v>
      </c>
      <c r="C254" s="1096"/>
      <c r="D254" s="1086"/>
      <c r="E254" s="1068"/>
      <c r="F254" s="129" t="s">
        <v>1022</v>
      </c>
    </row>
    <row r="255" spans="1:6" ht="30.75" outlineLevel="1" thickBot="1" x14ac:dyDescent="0.3">
      <c r="A255" s="476" t="s">
        <v>876</v>
      </c>
      <c r="B255" s="452" t="s">
        <v>879</v>
      </c>
      <c r="C255" s="1091" t="s">
        <v>877</v>
      </c>
      <c r="D255" s="1091"/>
      <c r="E255" s="453" t="s">
        <v>878</v>
      </c>
      <c r="F255" s="129" t="s">
        <v>1022</v>
      </c>
    </row>
  </sheetData>
  <autoFilter ref="A1:F255" xr:uid="{00000000-0009-0000-0000-000001000000}">
    <filterColumn colId="0" showButton="0"/>
    <filterColumn colId="1" showButton="0"/>
    <filterColumn colId="2" showButton="0"/>
    <filterColumn colId="3" showButton="0"/>
  </autoFilter>
  <mergeCells count="350">
    <mergeCell ref="B207:D207"/>
    <mergeCell ref="B208:D208"/>
    <mergeCell ref="B209:D209"/>
    <mergeCell ref="D128:E128"/>
    <mergeCell ref="D129:E129"/>
    <mergeCell ref="D130:E130"/>
    <mergeCell ref="D131:E131"/>
    <mergeCell ref="B136:C136"/>
    <mergeCell ref="B137:C137"/>
    <mergeCell ref="B138:C138"/>
    <mergeCell ref="B139:C139"/>
    <mergeCell ref="B140:C140"/>
    <mergeCell ref="D144:E144"/>
    <mergeCell ref="D145:E145"/>
    <mergeCell ref="D143:E143"/>
    <mergeCell ref="B143:C143"/>
    <mergeCell ref="B144:C144"/>
    <mergeCell ref="B145:C145"/>
    <mergeCell ref="B197:D197"/>
    <mergeCell ref="D165:E165"/>
    <mergeCell ref="D166:E166"/>
    <mergeCell ref="D167:E167"/>
    <mergeCell ref="D168:E168"/>
    <mergeCell ref="D184:E184"/>
    <mergeCell ref="B199:D199"/>
    <mergeCell ref="B200:D200"/>
    <mergeCell ref="A139:A145"/>
    <mergeCell ref="D139:E139"/>
    <mergeCell ref="D140:E140"/>
    <mergeCell ref="D141:E141"/>
    <mergeCell ref="D142:E142"/>
    <mergeCell ref="B171:C171"/>
    <mergeCell ref="D171:E171"/>
    <mergeCell ref="B169:C169"/>
    <mergeCell ref="D169:E169"/>
    <mergeCell ref="B170:C170"/>
    <mergeCell ref="D170:E170"/>
    <mergeCell ref="B165:C165"/>
    <mergeCell ref="B166:C166"/>
    <mergeCell ref="B167:C167"/>
    <mergeCell ref="B168:C168"/>
    <mergeCell ref="B184:C184"/>
    <mergeCell ref="A164:C164"/>
    <mergeCell ref="D164:E164"/>
    <mergeCell ref="A157:A163"/>
    <mergeCell ref="B157:D157"/>
    <mergeCell ref="A185:E185"/>
    <mergeCell ref="A187:B187"/>
    <mergeCell ref="A195:D195"/>
    <mergeCell ref="B160:D160"/>
    <mergeCell ref="B161:D161"/>
    <mergeCell ref="B162:D162"/>
    <mergeCell ref="B163:D163"/>
    <mergeCell ref="B141:C141"/>
    <mergeCell ref="D138:E138"/>
    <mergeCell ref="B155:D155"/>
    <mergeCell ref="B156:D156"/>
    <mergeCell ref="B158:D158"/>
    <mergeCell ref="B159:D159"/>
    <mergeCell ref="A132:A138"/>
    <mergeCell ref="D186:E186"/>
    <mergeCell ref="A190:B190"/>
    <mergeCell ref="D190:E190"/>
    <mergeCell ref="A189:C189"/>
    <mergeCell ref="D189:E189"/>
    <mergeCell ref="A191:B191"/>
    <mergeCell ref="D191:E191"/>
    <mergeCell ref="A192:B192"/>
    <mergeCell ref="D192:E192"/>
    <mergeCell ref="A188:B188"/>
    <mergeCell ref="D133:E133"/>
    <mergeCell ref="D134:E134"/>
    <mergeCell ref="B130:C130"/>
    <mergeCell ref="B131:C131"/>
    <mergeCell ref="A125:A131"/>
    <mergeCell ref="B125:C125"/>
    <mergeCell ref="B126:C126"/>
    <mergeCell ref="B127:C127"/>
    <mergeCell ref="D132:E132"/>
    <mergeCell ref="B132:C132"/>
    <mergeCell ref="D135:E135"/>
    <mergeCell ref="B133:C133"/>
    <mergeCell ref="B134:C134"/>
    <mergeCell ref="B135:C135"/>
    <mergeCell ref="A48:E48"/>
    <mergeCell ref="A117:A123"/>
    <mergeCell ref="A77:A83"/>
    <mergeCell ref="B77:D77"/>
    <mergeCell ref="B78:D78"/>
    <mergeCell ref="B79:D79"/>
    <mergeCell ref="B80:D80"/>
    <mergeCell ref="B81:D81"/>
    <mergeCell ref="B82:D82"/>
    <mergeCell ref="B83:D83"/>
    <mergeCell ref="A69:D69"/>
    <mergeCell ref="A85:D85"/>
    <mergeCell ref="A100:D100"/>
    <mergeCell ref="A102:A116"/>
    <mergeCell ref="A93:A99"/>
    <mergeCell ref="A86:A92"/>
    <mergeCell ref="D123:E123"/>
    <mergeCell ref="D122:E122"/>
    <mergeCell ref="D121:E121"/>
    <mergeCell ref="D120:E120"/>
    <mergeCell ref="D119:E119"/>
    <mergeCell ref="D106:E106"/>
    <mergeCell ref="D104:E104"/>
    <mergeCell ref="B122:C122"/>
    <mergeCell ref="A1:E1"/>
    <mergeCell ref="A19:A25"/>
    <mergeCell ref="A26:A32"/>
    <mergeCell ref="A225:D225"/>
    <mergeCell ref="A226:A232"/>
    <mergeCell ref="B226:D226"/>
    <mergeCell ref="B227:D227"/>
    <mergeCell ref="A211:A217"/>
    <mergeCell ref="B211:D211"/>
    <mergeCell ref="B212:D212"/>
    <mergeCell ref="B213:D213"/>
    <mergeCell ref="B214:D214"/>
    <mergeCell ref="B215:D215"/>
    <mergeCell ref="B216:D216"/>
    <mergeCell ref="B217:D217"/>
    <mergeCell ref="A210:D210"/>
    <mergeCell ref="B201:D201"/>
    <mergeCell ref="B202:D202"/>
    <mergeCell ref="A203:A209"/>
    <mergeCell ref="B203:D203"/>
    <mergeCell ref="A194:E194"/>
    <mergeCell ref="A149:D149"/>
    <mergeCell ref="A150:A156"/>
    <mergeCell ref="B150:D150"/>
    <mergeCell ref="B241:E241"/>
    <mergeCell ref="B251:E251"/>
    <mergeCell ref="A101:C101"/>
    <mergeCell ref="A84:E84"/>
    <mergeCell ref="A70:A76"/>
    <mergeCell ref="B70:D70"/>
    <mergeCell ref="B71:D71"/>
    <mergeCell ref="B72:D72"/>
    <mergeCell ref="A68:E68"/>
    <mergeCell ref="B73:D73"/>
    <mergeCell ref="B74:D74"/>
    <mergeCell ref="B75:D75"/>
    <mergeCell ref="B76:D76"/>
    <mergeCell ref="B151:D151"/>
    <mergeCell ref="A146:D146"/>
    <mergeCell ref="A147:D147"/>
    <mergeCell ref="A148:D148"/>
    <mergeCell ref="D124:E124"/>
    <mergeCell ref="A124:C124"/>
    <mergeCell ref="D125:E125"/>
    <mergeCell ref="D126:E126"/>
    <mergeCell ref="D127:E127"/>
    <mergeCell ref="B128:C128"/>
    <mergeCell ref="B129:C129"/>
    <mergeCell ref="A196:A202"/>
    <mergeCell ref="B196:D196"/>
    <mergeCell ref="B204:D204"/>
    <mergeCell ref="B205:D205"/>
    <mergeCell ref="B206:D206"/>
    <mergeCell ref="B198:D198"/>
    <mergeCell ref="A2:E2"/>
    <mergeCell ref="A55:E55"/>
    <mergeCell ref="A51:D51"/>
    <mergeCell ref="A52:B52"/>
    <mergeCell ref="A53:B53"/>
    <mergeCell ref="A50:E50"/>
    <mergeCell ref="A54:B54"/>
    <mergeCell ref="A34:A40"/>
    <mergeCell ref="B34:D34"/>
    <mergeCell ref="B35:D35"/>
    <mergeCell ref="B36:D36"/>
    <mergeCell ref="B28:D28"/>
    <mergeCell ref="B29:D29"/>
    <mergeCell ref="B30:D30"/>
    <mergeCell ref="B31:D31"/>
    <mergeCell ref="B32:D32"/>
    <mergeCell ref="B19:D19"/>
    <mergeCell ref="B20:D20"/>
    <mergeCell ref="C255:D255"/>
    <mergeCell ref="C252:D252"/>
    <mergeCell ref="C253:D253"/>
    <mergeCell ref="A240:E240"/>
    <mergeCell ref="A233:A239"/>
    <mergeCell ref="B233:D233"/>
    <mergeCell ref="B234:D234"/>
    <mergeCell ref="B235:D235"/>
    <mergeCell ref="B236:D236"/>
    <mergeCell ref="D249:E249"/>
    <mergeCell ref="B250:C250"/>
    <mergeCell ref="D250:E250"/>
    <mergeCell ref="B254:C254"/>
    <mergeCell ref="D254:E254"/>
    <mergeCell ref="B246:C246"/>
    <mergeCell ref="D246:E246"/>
    <mergeCell ref="B247:C247"/>
    <mergeCell ref="D247:E247"/>
    <mergeCell ref="B248:C248"/>
    <mergeCell ref="D248:E248"/>
    <mergeCell ref="B249:C249"/>
    <mergeCell ref="A242:A250"/>
    <mergeCell ref="B237:D237"/>
    <mergeCell ref="B238:D238"/>
    <mergeCell ref="B242:C242"/>
    <mergeCell ref="D242:E242"/>
    <mergeCell ref="B243:C243"/>
    <mergeCell ref="D243:E243"/>
    <mergeCell ref="B244:C244"/>
    <mergeCell ref="D244:E244"/>
    <mergeCell ref="B245:C245"/>
    <mergeCell ref="D245:E245"/>
    <mergeCell ref="A193:B193"/>
    <mergeCell ref="D193:E193"/>
    <mergeCell ref="A218:A224"/>
    <mergeCell ref="B218:D218"/>
    <mergeCell ref="B219:D219"/>
    <mergeCell ref="B220:D220"/>
    <mergeCell ref="B221:D221"/>
    <mergeCell ref="B222:D222"/>
    <mergeCell ref="B223:D223"/>
    <mergeCell ref="B224:D224"/>
    <mergeCell ref="B239:D239"/>
    <mergeCell ref="B230:D230"/>
    <mergeCell ref="B231:D231"/>
    <mergeCell ref="B232:D232"/>
    <mergeCell ref="B228:D228"/>
    <mergeCell ref="B229:D229"/>
    <mergeCell ref="D10:E10"/>
    <mergeCell ref="B11:C11"/>
    <mergeCell ref="D11:E11"/>
    <mergeCell ref="A4:A10"/>
    <mergeCell ref="A18:D18"/>
    <mergeCell ref="A33:D33"/>
    <mergeCell ref="B26:D26"/>
    <mergeCell ref="B27:D27"/>
    <mergeCell ref="B17:C17"/>
    <mergeCell ref="D17:E17"/>
    <mergeCell ref="B16:C16"/>
    <mergeCell ref="D16:E16"/>
    <mergeCell ref="B21:D21"/>
    <mergeCell ref="B22:D22"/>
    <mergeCell ref="B23:D23"/>
    <mergeCell ref="B24:D24"/>
    <mergeCell ref="B25:D25"/>
    <mergeCell ref="D188:E188"/>
    <mergeCell ref="A186:C186"/>
    <mergeCell ref="B172:C172"/>
    <mergeCell ref="D172:E172"/>
    <mergeCell ref="D179:E179"/>
    <mergeCell ref="B183:C183"/>
    <mergeCell ref="D183:E183"/>
    <mergeCell ref="B37:D37"/>
    <mergeCell ref="B38:D38"/>
    <mergeCell ref="B39:D39"/>
    <mergeCell ref="B40:D40"/>
    <mergeCell ref="D187:E187"/>
    <mergeCell ref="C52:D52"/>
    <mergeCell ref="C53:D53"/>
    <mergeCell ref="C54:D54"/>
    <mergeCell ref="A49:E49"/>
    <mergeCell ref="A41:A47"/>
    <mergeCell ref="B41:D41"/>
    <mergeCell ref="B42:D42"/>
    <mergeCell ref="B43:D43"/>
    <mergeCell ref="B44:D44"/>
    <mergeCell ref="B45:D45"/>
    <mergeCell ref="B46:D46"/>
    <mergeCell ref="B47:D47"/>
    <mergeCell ref="D3:E3"/>
    <mergeCell ref="A3:C3"/>
    <mergeCell ref="B12:C12"/>
    <mergeCell ref="D12:E12"/>
    <mergeCell ref="B13:C13"/>
    <mergeCell ref="D13:E13"/>
    <mergeCell ref="B14:C14"/>
    <mergeCell ref="D14:E14"/>
    <mergeCell ref="B15:C15"/>
    <mergeCell ref="D15:E15"/>
    <mergeCell ref="A11:A17"/>
    <mergeCell ref="B4:C4"/>
    <mergeCell ref="D4:E4"/>
    <mergeCell ref="B5:C5"/>
    <mergeCell ref="D5:E5"/>
    <mergeCell ref="B6:C6"/>
    <mergeCell ref="D6:E6"/>
    <mergeCell ref="B7:C7"/>
    <mergeCell ref="D7:E7"/>
    <mergeCell ref="B8:C8"/>
    <mergeCell ref="D8:E8"/>
    <mergeCell ref="B9:C9"/>
    <mergeCell ref="D9:E9"/>
    <mergeCell ref="B10:C10"/>
    <mergeCell ref="B123:C123"/>
    <mergeCell ref="D103:E103"/>
    <mergeCell ref="D102:E102"/>
    <mergeCell ref="D116:E116"/>
    <mergeCell ref="D114:E114"/>
    <mergeCell ref="D113:E113"/>
    <mergeCell ref="D112:E112"/>
    <mergeCell ref="D111:E111"/>
    <mergeCell ref="D110:E110"/>
    <mergeCell ref="D109:E109"/>
    <mergeCell ref="D108:E108"/>
    <mergeCell ref="D107:E107"/>
    <mergeCell ref="B88:C88"/>
    <mergeCell ref="B87:C87"/>
    <mergeCell ref="B86:C86"/>
    <mergeCell ref="D94:E94"/>
    <mergeCell ref="D93:E93"/>
    <mergeCell ref="D92:E92"/>
    <mergeCell ref="D91:E91"/>
    <mergeCell ref="B121:C121"/>
    <mergeCell ref="B120:C120"/>
    <mergeCell ref="B119:C119"/>
    <mergeCell ref="B118:C118"/>
    <mergeCell ref="B117:C117"/>
    <mergeCell ref="B97:C97"/>
    <mergeCell ref="B96:C96"/>
    <mergeCell ref="B95:C95"/>
    <mergeCell ref="B94:C94"/>
    <mergeCell ref="B93:C93"/>
    <mergeCell ref="B92:C92"/>
    <mergeCell ref="B91:C91"/>
    <mergeCell ref="B90:C90"/>
    <mergeCell ref="B89:C89"/>
    <mergeCell ref="D174:E174"/>
    <mergeCell ref="D175:E175"/>
    <mergeCell ref="D176:E176"/>
    <mergeCell ref="D173:E173"/>
    <mergeCell ref="D90:E90"/>
    <mergeCell ref="D89:E89"/>
    <mergeCell ref="D88:E88"/>
    <mergeCell ref="D87:E87"/>
    <mergeCell ref="D86:E86"/>
    <mergeCell ref="D118:E118"/>
    <mergeCell ref="D117:E117"/>
    <mergeCell ref="D99:E99"/>
    <mergeCell ref="D98:E98"/>
    <mergeCell ref="D97:E97"/>
    <mergeCell ref="D96:E96"/>
    <mergeCell ref="D95:E95"/>
    <mergeCell ref="D136:E136"/>
    <mergeCell ref="D137:E137"/>
    <mergeCell ref="B152:D152"/>
    <mergeCell ref="B153:D153"/>
    <mergeCell ref="B154:D154"/>
    <mergeCell ref="B142:C142"/>
    <mergeCell ref="B99:C99"/>
    <mergeCell ref="B98:C98"/>
  </mergeCells>
  <phoneticPr fontId="14" type="noConversion"/>
  <conditionalFormatting sqref="B165:B172">
    <cfRule type="cellIs" dxfId="1252" priority="33" operator="equal">
      <formula>"ДА"</formula>
    </cfRule>
    <cfRule type="cellIs" dxfId="1251" priority="34" operator="equal">
      <formula>"НЕТ"</formula>
    </cfRule>
  </conditionalFormatting>
  <conditionalFormatting sqref="B174:B179">
    <cfRule type="cellIs" dxfId="1250" priority="1" operator="equal">
      <formula>"ДА"</formula>
    </cfRule>
    <cfRule type="cellIs" dxfId="1249" priority="2" operator="equal">
      <formula>"НЕТ"</formula>
    </cfRule>
  </conditionalFormatting>
  <conditionalFormatting sqref="B180">
    <cfRule type="cellIs" dxfId="1248" priority="10" operator="lessThan">
      <formula>0.3</formula>
    </cfRule>
    <cfRule type="cellIs" dxfId="1247" priority="11" operator="greaterThan">
      <formula>0.49</formula>
    </cfRule>
    <cfRule type="cellIs" dxfId="1246" priority="12" operator="greaterThan">
      <formula>0.29</formula>
    </cfRule>
  </conditionalFormatting>
  <conditionalFormatting sqref="B180:B182">
    <cfRule type="cellIs" dxfId="1245" priority="13" operator="equal">
      <formula>"ДА"</formula>
    </cfRule>
    <cfRule type="cellIs" dxfId="1244" priority="14" operator="equal">
      <formula>"НЕТ"</formula>
    </cfRule>
  </conditionalFormatting>
  <conditionalFormatting sqref="B181">
    <cfRule type="cellIs" dxfId="1243" priority="8" operator="lessThan">
      <formula>11</formula>
    </cfRule>
    <cfRule type="cellIs" dxfId="1242" priority="9" operator="greaterThan">
      <formula>10</formula>
    </cfRule>
  </conditionalFormatting>
  <conditionalFormatting sqref="B182">
    <cfRule type="cellIs" dxfId="1241" priority="7" operator="equal">
      <formula>"Указать"</formula>
    </cfRule>
  </conditionalFormatting>
  <conditionalFormatting sqref="C102:C116">
    <cfRule type="cellIs" dxfId="1240" priority="35" operator="equal">
      <formula>"ДА"</formula>
    </cfRule>
    <cfRule type="cellIs" dxfId="1239" priority="36" operator="equal">
      <formula>"НЕТ"</formula>
    </cfRule>
  </conditionalFormatting>
  <conditionalFormatting sqref="D101">
    <cfRule type="cellIs" dxfId="1238" priority="31" operator="equal">
      <formula>"ДА"</formula>
    </cfRule>
    <cfRule type="cellIs" dxfId="1237" priority="32" operator="equal">
      <formula>"НЕТ"</formula>
    </cfRule>
  </conditionalFormatting>
  <dataValidations count="3">
    <dataValidation type="list" allowBlank="1" showInputMessage="1" showErrorMessage="1" sqref="D101 C102:C116" xr:uid="{00000000-0002-0000-0100-000000000000}">
      <formula1>"Да,НЕТ"</formula1>
    </dataValidation>
    <dataValidation type="list" allowBlank="1" showInputMessage="1" showErrorMessage="1" sqref="B173" xr:uid="{00000000-0002-0000-0100-000001000000}">
      <formula1>"PM4,PM5"</formula1>
    </dataValidation>
    <dataValidation type="list" allowBlank="1" showInputMessage="1" showErrorMessage="1" sqref="B174:B179" xr:uid="{00000000-0002-0000-0100-000002000000}">
      <formula1>"ДА,НЕТ"</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3000000}">
          <x14:formula1>
            <xm:f>Списки!$G$2:$G$9</xm:f>
          </x14:formula1>
          <xm:sqref>B150:D156</xm:sqref>
        </x14:dataValidation>
        <x14:dataValidation type="list" allowBlank="1" showInputMessage="1" showErrorMessage="1" xr:uid="{00000000-0002-0000-0100-000004000000}">
          <x14:formula1>
            <xm:f>Списки!$H$2:$H$8</xm:f>
          </x14:formula1>
          <xm:sqref>B196:D202</xm:sqref>
        </x14:dataValidation>
        <x14:dataValidation type="list" allowBlank="1" showInputMessage="1" showErrorMessage="1" xr:uid="{00000000-0002-0000-0100-000005000000}">
          <x14:formula1>
            <xm:f>Списки!$I$2:$I$4</xm:f>
          </x14:formula1>
          <xm:sqref>B211:D217</xm:sqref>
        </x14:dataValidation>
        <x14:dataValidation type="list" allowBlank="1" showInputMessage="1" showErrorMessage="1" xr:uid="{00000000-0002-0000-0100-000006000000}">
          <x14:formula1>
            <xm:f>Списки!$J$2:$J$7</xm:f>
          </x14:formula1>
          <xm:sqref>B226:D232</xm:sqref>
        </x14:dataValidation>
        <x14:dataValidation type="list" allowBlank="1" showInputMessage="1" showErrorMessage="1" xr:uid="{00000000-0002-0000-0100-000007000000}">
          <x14:formula1>
            <xm:f>Списки!$B$2:$B$10</xm:f>
          </x14:formula1>
          <xm:sqref>B34:D40</xm:sqref>
        </x14:dataValidation>
        <x14:dataValidation type="list" allowBlank="1" showInputMessage="1" showErrorMessage="1" xr:uid="{00000000-0002-0000-0100-000008000000}">
          <x14:formula1>
            <xm:f>Списки!$C$2:$C$6</xm:f>
          </x14:formula1>
          <xm:sqref>B70:D76</xm:sqref>
        </x14:dataValidation>
        <x14:dataValidation type="list" allowBlank="1" showInputMessage="1" showErrorMessage="1" xr:uid="{00000000-0002-0000-0100-000009000000}">
          <x14:formula1>
            <xm:f>Списки!$L$2:$L$8</xm:f>
          </x14:formula1>
          <xm:sqref>B4:C10</xm:sqref>
        </x14:dataValidation>
        <x14:dataValidation type="list" allowBlank="1" showInputMessage="1" showErrorMessage="1" xr:uid="{00000000-0002-0000-0100-00000A000000}">
          <x14:formula1>
            <xm:f>Списки!$A$2:$A$15</xm:f>
          </x14:formula1>
          <xm:sqref>B19:D25</xm:sqref>
        </x14:dataValidation>
        <x14:dataValidation type="list" allowBlank="1" showInputMessage="1" showErrorMessage="1" xr:uid="{00000000-0002-0000-0100-00000B000000}">
          <x14:formula1>
            <xm:f>Списки!$E$2:$E$17</xm:f>
          </x14:formula1>
          <xm:sqref>B102:B116</xm:sqref>
        </x14:dataValidation>
        <x14:dataValidation type="list" allowBlank="1" showInputMessage="1" showErrorMessage="1" xr:uid="{00000000-0002-0000-0100-00000C000000}">
          <x14:formula1>
            <xm:f>Списки!$D$2:$D$8</xm:f>
          </x14:formula1>
          <xm:sqref>B86:B92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249"/>
  <sheetViews>
    <sheetView workbookViewId="0">
      <selection activeCell="C3" sqref="C3"/>
    </sheetView>
  </sheetViews>
  <sheetFormatPr defaultColWidth="9.28515625" defaultRowHeight="15" outlineLevelRow="3" x14ac:dyDescent="0.25"/>
  <cols>
    <col min="1" max="1" width="2.28515625" style="1" customWidth="1"/>
    <col min="2" max="2" width="64.7109375" style="1" customWidth="1"/>
    <col min="3" max="3" width="15.5703125" style="1" customWidth="1"/>
    <col min="4" max="4" width="15.7109375" style="1" customWidth="1"/>
    <col min="5" max="5" width="19.28515625" style="1" customWidth="1"/>
    <col min="6" max="6" width="13" style="1" customWidth="1"/>
    <col min="7" max="7" width="90" style="1" customWidth="1"/>
    <col min="8" max="8" width="15.5703125" style="1" customWidth="1"/>
    <col min="9" max="9" width="17" style="1" customWidth="1"/>
    <col min="10" max="13" width="9.28515625" style="1"/>
    <col min="14" max="14" width="90.7109375" style="1" customWidth="1"/>
    <col min="15" max="16384" width="9.28515625" style="1"/>
  </cols>
  <sheetData>
    <row r="1" spans="2:9" ht="30" customHeight="1" x14ac:dyDescent="0.25">
      <c r="C1" s="1" t="s">
        <v>2226</v>
      </c>
      <c r="D1" s="1" t="s">
        <v>1743</v>
      </c>
      <c r="E1" s="1" t="s">
        <v>1744</v>
      </c>
      <c r="F1" s="1" t="s">
        <v>1745</v>
      </c>
      <c r="I1" s="2"/>
    </row>
    <row r="2" spans="2:9" ht="27.75" customHeight="1" x14ac:dyDescent="0.25">
      <c r="B2" s="30" t="s">
        <v>1028</v>
      </c>
      <c r="C2" s="30" t="e">
        <f>IF('1.Содержание проекта'!#REF!="КОРП-проект",'параметры расчета'!C5,IF('1.Содержание проекта'!#REF!&gt;12,'параметры расчета'!C4,'параметры расчета'!C3))</f>
        <v>#REF!</v>
      </c>
      <c r="D2" s="1" t="e">
        <v>#REF!</v>
      </c>
      <c r="H2" s="1" t="s">
        <v>1770</v>
      </c>
      <c r="I2" s="2"/>
    </row>
    <row r="3" spans="2:9" ht="27.75" customHeight="1" x14ac:dyDescent="0.25">
      <c r="B3" s="30" t="s">
        <v>1761</v>
      </c>
      <c r="C3" s="30">
        <v>5000</v>
      </c>
      <c r="D3" s="1">
        <v>4500</v>
      </c>
      <c r="E3" s="1">
        <v>4200</v>
      </c>
      <c r="F3" s="812">
        <f>C3/E3-1</f>
        <v>0.19047619047619047</v>
      </c>
      <c r="H3" s="430"/>
      <c r="I3" s="2"/>
    </row>
    <row r="4" spans="2:9" ht="54" customHeight="1" x14ac:dyDescent="0.25">
      <c r="B4" s="30" t="s">
        <v>1762</v>
      </c>
      <c r="C4" s="30">
        <v>5500</v>
      </c>
      <c r="D4" s="1">
        <v>4900</v>
      </c>
      <c r="E4" s="1">
        <v>4500</v>
      </c>
      <c r="F4" s="812">
        <f>C4/E4-1</f>
        <v>0.22222222222222232</v>
      </c>
      <c r="H4" s="430" t="s">
        <v>1773</v>
      </c>
      <c r="I4" s="2"/>
    </row>
    <row r="5" spans="2:9" ht="126" customHeight="1" x14ac:dyDescent="0.25">
      <c r="B5" s="30" t="s">
        <v>1763</v>
      </c>
      <c r="C5" s="30">
        <v>6500</v>
      </c>
      <c r="D5" s="1">
        <v>5500</v>
      </c>
      <c r="E5" s="1">
        <v>4900</v>
      </c>
      <c r="F5" s="812">
        <f>C5/E5-1</f>
        <v>0.32653061224489788</v>
      </c>
      <c r="H5" s="430" t="s">
        <v>1774</v>
      </c>
      <c r="I5" s="2"/>
    </row>
    <row r="6" spans="2:9" x14ac:dyDescent="0.25">
      <c r="B6" s="30" t="s">
        <v>249</v>
      </c>
      <c r="C6" s="32">
        <v>0.2</v>
      </c>
      <c r="D6" s="1">
        <v>0.2</v>
      </c>
    </row>
    <row r="8" spans="2:9" s="2" customFormat="1" ht="45" collapsed="1" x14ac:dyDescent="0.25">
      <c r="B8" s="2" t="s">
        <v>8</v>
      </c>
      <c r="C8" s="2" t="s">
        <v>220</v>
      </c>
      <c r="E8" s="26"/>
    </row>
    <row r="9" spans="2:9" ht="15.75" hidden="1" outlineLevel="1" x14ac:dyDescent="0.25">
      <c r="B9" s="5" t="s">
        <v>9</v>
      </c>
      <c r="C9" s="5" t="s">
        <v>221</v>
      </c>
      <c r="D9" s="5" t="s">
        <v>242</v>
      </c>
      <c r="E9" s="5"/>
    </row>
    <row r="10" spans="2:9" ht="15.75" hidden="1" outlineLevel="2" collapsed="1" x14ac:dyDescent="0.25">
      <c r="B10" s="4" t="s">
        <v>10</v>
      </c>
      <c r="C10" s="4" t="s">
        <v>222</v>
      </c>
      <c r="D10" s="4" t="s">
        <v>242</v>
      </c>
      <c r="E10" s="4">
        <v>2</v>
      </c>
    </row>
    <row r="11" spans="2:9" hidden="1" outlineLevel="3" x14ac:dyDescent="0.25">
      <c r="B11" s="17" t="s">
        <v>11</v>
      </c>
      <c r="C11" s="17"/>
      <c r="D11" s="17" t="s">
        <v>242</v>
      </c>
      <c r="E11" s="17"/>
    </row>
    <row r="12" spans="2:9" hidden="1" outlineLevel="3" x14ac:dyDescent="0.25">
      <c r="B12" s="23" t="s">
        <v>12</v>
      </c>
      <c r="C12" s="23"/>
      <c r="D12" s="23" t="s">
        <v>242</v>
      </c>
      <c r="E12" s="23"/>
    </row>
    <row r="13" spans="2:9" hidden="1" outlineLevel="3" x14ac:dyDescent="0.25">
      <c r="B13" s="23" t="s">
        <v>13</v>
      </c>
      <c r="C13" s="23"/>
      <c r="D13" s="23" t="s">
        <v>242</v>
      </c>
      <c r="E13" s="23"/>
    </row>
    <row r="14" spans="2:9" ht="15.75" hidden="1" outlineLevel="2" collapsed="1" x14ac:dyDescent="0.25">
      <c r="B14" s="4" t="s">
        <v>14</v>
      </c>
      <c r="C14" s="4" t="s">
        <v>222</v>
      </c>
      <c r="D14" s="4" t="s">
        <v>242</v>
      </c>
      <c r="E14" s="4">
        <v>1</v>
      </c>
    </row>
    <row r="15" spans="2:9" ht="30" hidden="1" outlineLevel="3" x14ac:dyDescent="0.25">
      <c r="B15" s="20" t="s">
        <v>15</v>
      </c>
      <c r="C15" s="20"/>
      <c r="D15" s="20" t="s">
        <v>243</v>
      </c>
      <c r="E15" s="20"/>
    </row>
    <row r="16" spans="2:9" ht="30" hidden="1" outlineLevel="3" x14ac:dyDescent="0.25">
      <c r="B16" s="20" t="s">
        <v>16</v>
      </c>
      <c r="C16" s="20"/>
      <c r="D16" s="20" t="s">
        <v>243</v>
      </c>
      <c r="E16" s="20"/>
    </row>
    <row r="17" spans="2:5" hidden="1" outlineLevel="2" collapsed="1" x14ac:dyDescent="0.25">
      <c r="B17" s="3" t="s">
        <v>17</v>
      </c>
      <c r="C17" s="3" t="s">
        <v>223</v>
      </c>
      <c r="D17" s="3" t="s">
        <v>243</v>
      </c>
      <c r="E17" s="3">
        <v>2</v>
      </c>
    </row>
    <row r="18" spans="2:5" hidden="1" outlineLevel="3" x14ac:dyDescent="0.25">
      <c r="B18" s="20" t="s">
        <v>17</v>
      </c>
      <c r="C18" s="20"/>
      <c r="D18" s="20" t="s">
        <v>243</v>
      </c>
      <c r="E18" s="20"/>
    </row>
    <row r="19" spans="2:5" hidden="1" outlineLevel="3" x14ac:dyDescent="0.25">
      <c r="B19" s="20" t="s">
        <v>18</v>
      </c>
      <c r="C19" s="20"/>
      <c r="D19" s="20" t="s">
        <v>243</v>
      </c>
      <c r="E19" s="20"/>
    </row>
    <row r="20" spans="2:5" hidden="1" outlineLevel="3" x14ac:dyDescent="0.25">
      <c r="B20" s="22" t="s">
        <v>19</v>
      </c>
      <c r="C20" s="22"/>
      <c r="D20" s="22" t="s">
        <v>243</v>
      </c>
      <c r="E20" s="22"/>
    </row>
    <row r="21" spans="2:5" ht="30" hidden="1" outlineLevel="2" collapsed="1" x14ac:dyDescent="0.25">
      <c r="B21" s="3" t="s">
        <v>20</v>
      </c>
      <c r="C21" s="3" t="s">
        <v>223</v>
      </c>
      <c r="D21" s="3" t="s">
        <v>243</v>
      </c>
      <c r="E21" s="3">
        <v>3</v>
      </c>
    </row>
    <row r="22" spans="2:5" hidden="1" outlineLevel="3" x14ac:dyDescent="0.25">
      <c r="B22" s="22" t="s">
        <v>21</v>
      </c>
      <c r="C22" s="3" t="s">
        <v>223</v>
      </c>
      <c r="D22" s="20" t="s">
        <v>243</v>
      </c>
      <c r="E22" s="22"/>
    </row>
    <row r="23" spans="2:5" ht="30" hidden="1" outlineLevel="3" x14ac:dyDescent="0.25">
      <c r="B23" s="22" t="s">
        <v>22</v>
      </c>
      <c r="C23" s="3" t="s">
        <v>223</v>
      </c>
      <c r="D23" s="20" t="s">
        <v>243</v>
      </c>
      <c r="E23" s="22"/>
    </row>
    <row r="24" spans="2:5" ht="60" hidden="1" outlineLevel="3" x14ac:dyDescent="0.25">
      <c r="B24" s="22" t="s">
        <v>23</v>
      </c>
      <c r="C24" s="3" t="s">
        <v>223</v>
      </c>
      <c r="D24" s="20" t="s">
        <v>243</v>
      </c>
      <c r="E24" s="22"/>
    </row>
    <row r="25" spans="2:5" hidden="1" outlineLevel="3" x14ac:dyDescent="0.25">
      <c r="B25" s="22" t="s">
        <v>24</v>
      </c>
      <c r="C25" s="3" t="s">
        <v>223</v>
      </c>
      <c r="D25" s="20" t="s">
        <v>243</v>
      </c>
      <c r="E25" s="22"/>
    </row>
    <row r="26" spans="2:5" hidden="1" outlineLevel="3" x14ac:dyDescent="0.25">
      <c r="B26" s="22" t="s">
        <v>25</v>
      </c>
      <c r="C26" s="3" t="s">
        <v>223</v>
      </c>
      <c r="D26" s="20" t="s">
        <v>243</v>
      </c>
      <c r="E26" s="22"/>
    </row>
    <row r="27" spans="2:5" hidden="1" outlineLevel="2" collapsed="1" x14ac:dyDescent="0.25">
      <c r="B27" s="3" t="s">
        <v>26</v>
      </c>
      <c r="C27" s="3" t="s">
        <v>223</v>
      </c>
      <c r="D27" s="3" t="s">
        <v>242</v>
      </c>
      <c r="E27" s="3">
        <v>2</v>
      </c>
    </row>
    <row r="28" spans="2:5" ht="30" hidden="1" outlineLevel="3" x14ac:dyDescent="0.25">
      <c r="B28" s="20" t="s">
        <v>27</v>
      </c>
      <c r="C28" s="3" t="s">
        <v>223</v>
      </c>
      <c r="D28" s="20" t="s">
        <v>243</v>
      </c>
      <c r="E28" s="20"/>
    </row>
    <row r="29" spans="2:5" hidden="1" outlineLevel="3" x14ac:dyDescent="0.25">
      <c r="B29" s="20" t="s">
        <v>28</v>
      </c>
      <c r="C29" s="3" t="s">
        <v>223</v>
      </c>
      <c r="D29" s="20" t="s">
        <v>243</v>
      </c>
      <c r="E29" s="20"/>
    </row>
    <row r="30" spans="2:5" hidden="1" outlineLevel="3" x14ac:dyDescent="0.25">
      <c r="B30" s="20" t="s">
        <v>29</v>
      </c>
      <c r="C30" s="3" t="s">
        <v>223</v>
      </c>
      <c r="D30" s="20" t="s">
        <v>243</v>
      </c>
      <c r="E30" s="20"/>
    </row>
    <row r="31" spans="2:5" hidden="1" outlineLevel="3" x14ac:dyDescent="0.25">
      <c r="B31" s="20" t="s">
        <v>30</v>
      </c>
      <c r="C31" s="3" t="s">
        <v>223</v>
      </c>
      <c r="D31" s="20" t="s">
        <v>243</v>
      </c>
      <c r="E31" s="20"/>
    </row>
    <row r="32" spans="2:5" hidden="1" outlineLevel="2" collapsed="1" x14ac:dyDescent="0.25">
      <c r="B32" s="3" t="s">
        <v>31</v>
      </c>
      <c r="C32" s="3" t="s">
        <v>223</v>
      </c>
      <c r="D32" s="3" t="s">
        <v>242</v>
      </c>
      <c r="E32" s="3">
        <v>1</v>
      </c>
    </row>
    <row r="33" spans="2:5" ht="30" hidden="1" outlineLevel="3" x14ac:dyDescent="0.25">
      <c r="B33" s="20" t="s">
        <v>32</v>
      </c>
      <c r="C33" s="3" t="s">
        <v>223</v>
      </c>
      <c r="D33" s="20" t="s">
        <v>243</v>
      </c>
      <c r="E33" s="20"/>
    </row>
    <row r="34" spans="2:5" ht="30" hidden="1" outlineLevel="3" x14ac:dyDescent="0.25">
      <c r="B34" s="20" t="s">
        <v>33</v>
      </c>
      <c r="C34" s="3" t="s">
        <v>223</v>
      </c>
      <c r="D34" s="20" t="s">
        <v>243</v>
      </c>
      <c r="E34" s="20"/>
    </row>
    <row r="35" spans="2:5" hidden="1" outlineLevel="2" collapsed="1" x14ac:dyDescent="0.25">
      <c r="B35" s="3" t="s">
        <v>34</v>
      </c>
      <c r="C35" s="3" t="s">
        <v>223</v>
      </c>
      <c r="D35" s="3" t="s">
        <v>242</v>
      </c>
      <c r="E35" s="3">
        <v>2</v>
      </c>
    </row>
    <row r="36" spans="2:5" hidden="1" outlineLevel="3" x14ac:dyDescent="0.25">
      <c r="B36" s="20" t="s">
        <v>35</v>
      </c>
      <c r="C36" s="20"/>
      <c r="D36" s="20" t="s">
        <v>243</v>
      </c>
      <c r="E36" s="20"/>
    </row>
    <row r="37" spans="2:5" ht="45" hidden="1" outlineLevel="3" x14ac:dyDescent="0.25">
      <c r="B37" s="20" t="s">
        <v>36</v>
      </c>
      <c r="C37" s="20"/>
      <c r="D37" s="20" t="s">
        <v>243</v>
      </c>
      <c r="E37" s="20"/>
    </row>
    <row r="38" spans="2:5" hidden="1" outlineLevel="2" collapsed="1" x14ac:dyDescent="0.25">
      <c r="B38" s="18" t="s">
        <v>224</v>
      </c>
      <c r="C38" s="18" t="s">
        <v>225</v>
      </c>
      <c r="D38" s="18" t="s">
        <v>243</v>
      </c>
      <c r="E38" s="19">
        <v>10</v>
      </c>
    </row>
    <row r="39" spans="2:5" ht="15.75" hidden="1" outlineLevel="1" x14ac:dyDescent="0.25">
      <c r="B39" s="5" t="s">
        <v>37</v>
      </c>
      <c r="C39" s="5" t="s">
        <v>221</v>
      </c>
      <c r="D39" s="5" t="s">
        <v>243</v>
      </c>
      <c r="E39" s="5"/>
    </row>
    <row r="40" spans="2:5" ht="15.75" hidden="1" outlineLevel="2" collapsed="1" x14ac:dyDescent="0.25">
      <c r="B40" s="4" t="s">
        <v>38</v>
      </c>
      <c r="C40" s="4" t="s">
        <v>222</v>
      </c>
      <c r="D40" s="4" t="s">
        <v>242</v>
      </c>
      <c r="E40" s="4">
        <v>2</v>
      </c>
    </row>
    <row r="41" spans="2:5" ht="15.75" hidden="1" outlineLevel="3" x14ac:dyDescent="0.25">
      <c r="B41" s="20" t="s">
        <v>39</v>
      </c>
      <c r="C41" s="4" t="s">
        <v>222</v>
      </c>
      <c r="D41" s="4" t="s">
        <v>242</v>
      </c>
      <c r="E41" s="20"/>
    </row>
    <row r="42" spans="2:5" ht="15.75" hidden="1" outlineLevel="3" x14ac:dyDescent="0.25">
      <c r="B42" s="21" t="s">
        <v>40</v>
      </c>
      <c r="C42" s="4" t="s">
        <v>222</v>
      </c>
      <c r="D42" s="4" t="s">
        <v>242</v>
      </c>
      <c r="E42" s="21"/>
    </row>
    <row r="43" spans="2:5" ht="60" hidden="1" outlineLevel="3" x14ac:dyDescent="0.25">
      <c r="B43" s="20" t="s">
        <v>41</v>
      </c>
      <c r="C43" s="4" t="s">
        <v>222</v>
      </c>
      <c r="D43" s="4" t="s">
        <v>242</v>
      </c>
      <c r="E43" s="20"/>
    </row>
    <row r="44" spans="2:5" ht="30" hidden="1" outlineLevel="3" x14ac:dyDescent="0.25">
      <c r="B44" s="22" t="s">
        <v>42</v>
      </c>
      <c r="C44" s="4" t="s">
        <v>222</v>
      </c>
      <c r="D44" s="4" t="s">
        <v>242</v>
      </c>
      <c r="E44" s="22"/>
    </row>
    <row r="45" spans="2:5" ht="15.75" hidden="1" outlineLevel="3" x14ac:dyDescent="0.25">
      <c r="B45" s="20" t="s">
        <v>43</v>
      </c>
      <c r="C45" s="4" t="s">
        <v>222</v>
      </c>
      <c r="D45" s="4" t="s">
        <v>242</v>
      </c>
      <c r="E45" s="20"/>
    </row>
    <row r="46" spans="2:5" ht="15.75" hidden="1" outlineLevel="3" x14ac:dyDescent="0.25">
      <c r="B46" s="20" t="s">
        <v>44</v>
      </c>
      <c r="C46" s="4" t="s">
        <v>222</v>
      </c>
      <c r="D46" s="4" t="s">
        <v>242</v>
      </c>
      <c r="E46" s="20"/>
    </row>
    <row r="47" spans="2:5" ht="15.75" hidden="1" outlineLevel="3" x14ac:dyDescent="0.25">
      <c r="B47" s="20" t="s">
        <v>45</v>
      </c>
      <c r="C47" s="4" t="s">
        <v>222</v>
      </c>
      <c r="D47" s="4" t="s">
        <v>242</v>
      </c>
      <c r="E47" s="20"/>
    </row>
    <row r="48" spans="2:5" ht="15.75" hidden="1" outlineLevel="3" x14ac:dyDescent="0.25">
      <c r="B48" s="22" t="s">
        <v>46</v>
      </c>
      <c r="C48" s="4" t="s">
        <v>222</v>
      </c>
      <c r="D48" s="4" t="s">
        <v>242</v>
      </c>
      <c r="E48" s="22"/>
    </row>
    <row r="49" spans="2:5" ht="15.75" hidden="1" outlineLevel="3" x14ac:dyDescent="0.25">
      <c r="B49" s="22" t="s">
        <v>47</v>
      </c>
      <c r="C49" s="4" t="s">
        <v>222</v>
      </c>
      <c r="D49" s="4" t="s">
        <v>242</v>
      </c>
      <c r="E49" s="22"/>
    </row>
    <row r="50" spans="2:5" ht="30" hidden="1" outlineLevel="3" x14ac:dyDescent="0.25">
      <c r="B50" s="22" t="s">
        <v>48</v>
      </c>
      <c r="C50" s="4" t="s">
        <v>222</v>
      </c>
      <c r="D50" s="4" t="s">
        <v>242</v>
      </c>
      <c r="E50" s="22"/>
    </row>
    <row r="51" spans="2:5" ht="15.75" hidden="1" outlineLevel="2" collapsed="1" x14ac:dyDescent="0.25">
      <c r="B51" s="6" t="s">
        <v>49</v>
      </c>
      <c r="C51" s="4" t="s">
        <v>222</v>
      </c>
      <c r="D51" s="4" t="s">
        <v>242</v>
      </c>
      <c r="E51" s="6">
        <v>1</v>
      </c>
    </row>
    <row r="52" spans="2:5" ht="15.75" hidden="1" outlineLevel="3" x14ac:dyDescent="0.25">
      <c r="B52" s="20" t="s">
        <v>50</v>
      </c>
      <c r="C52" s="4" t="s">
        <v>222</v>
      </c>
      <c r="D52" s="4" t="s">
        <v>242</v>
      </c>
      <c r="E52" s="20"/>
    </row>
    <row r="53" spans="2:5" ht="15.75" hidden="1" outlineLevel="3" x14ac:dyDescent="0.25">
      <c r="B53" s="22" t="s">
        <v>51</v>
      </c>
      <c r="C53" s="4" t="s">
        <v>222</v>
      </c>
      <c r="D53" s="4" t="s">
        <v>242</v>
      </c>
      <c r="E53" s="22"/>
    </row>
    <row r="54" spans="2:5" ht="15.75" hidden="1" outlineLevel="3" x14ac:dyDescent="0.25">
      <c r="B54" s="22" t="s">
        <v>52</v>
      </c>
      <c r="C54" s="4" t="s">
        <v>222</v>
      </c>
      <c r="D54" s="4" t="s">
        <v>242</v>
      </c>
      <c r="E54" s="22"/>
    </row>
    <row r="55" spans="2:5" ht="30" hidden="1" outlineLevel="3" x14ac:dyDescent="0.25">
      <c r="B55" s="22" t="s">
        <v>53</v>
      </c>
      <c r="C55" s="4" t="s">
        <v>222</v>
      </c>
      <c r="D55" s="4" t="s">
        <v>242</v>
      </c>
      <c r="E55" s="22"/>
    </row>
    <row r="56" spans="2:5" ht="15.75" hidden="1" outlineLevel="2" collapsed="1" x14ac:dyDescent="0.25">
      <c r="B56" s="4" t="s">
        <v>54</v>
      </c>
      <c r="C56" s="4" t="s">
        <v>222</v>
      </c>
      <c r="D56" s="4" t="s">
        <v>242</v>
      </c>
      <c r="E56" s="4">
        <v>1</v>
      </c>
    </row>
    <row r="57" spans="2:5" ht="15.75" hidden="1" outlineLevel="3" x14ac:dyDescent="0.25">
      <c r="B57" s="21" t="s">
        <v>55</v>
      </c>
      <c r="C57" s="4" t="s">
        <v>222</v>
      </c>
      <c r="D57" s="4" t="s">
        <v>242</v>
      </c>
      <c r="E57" s="21"/>
    </row>
    <row r="58" spans="2:5" ht="15.75" hidden="1" outlineLevel="2" collapsed="1" x14ac:dyDescent="0.25">
      <c r="B58" s="4" t="s">
        <v>56</v>
      </c>
      <c r="C58" s="4" t="s">
        <v>222</v>
      </c>
      <c r="D58" s="4" t="s">
        <v>242</v>
      </c>
      <c r="E58" s="4">
        <v>1</v>
      </c>
    </row>
    <row r="59" spans="2:5" hidden="1" outlineLevel="3" x14ac:dyDescent="0.25">
      <c r="B59" s="20" t="s">
        <v>57</v>
      </c>
      <c r="C59" s="20"/>
      <c r="D59" s="20" t="s">
        <v>243</v>
      </c>
      <c r="E59" s="20"/>
    </row>
    <row r="60" spans="2:5" hidden="1" outlineLevel="3" x14ac:dyDescent="0.25">
      <c r="B60" s="20" t="s">
        <v>58</v>
      </c>
      <c r="C60" s="20"/>
      <c r="D60" s="20" t="s">
        <v>243</v>
      </c>
      <c r="E60" s="20"/>
    </row>
    <row r="61" spans="2:5" hidden="1" outlineLevel="2" collapsed="1" x14ac:dyDescent="0.25">
      <c r="B61" s="18" t="s">
        <v>226</v>
      </c>
      <c r="C61" s="18" t="s">
        <v>225</v>
      </c>
      <c r="D61" s="18" t="s">
        <v>243</v>
      </c>
      <c r="E61" s="19">
        <v>10</v>
      </c>
    </row>
    <row r="62" spans="2:5" hidden="1" outlineLevel="2" x14ac:dyDescent="0.25">
      <c r="B62" s="18" t="s">
        <v>227</v>
      </c>
      <c r="C62" s="18" t="s">
        <v>225</v>
      </c>
      <c r="D62" s="18" t="s">
        <v>243</v>
      </c>
      <c r="E62" s="19">
        <v>5</v>
      </c>
    </row>
    <row r="63" spans="2:5" ht="15.75" hidden="1" outlineLevel="1" x14ac:dyDescent="0.25">
      <c r="B63" s="5" t="s">
        <v>59</v>
      </c>
      <c r="C63" s="5" t="s">
        <v>221</v>
      </c>
      <c r="D63" s="5" t="s">
        <v>243</v>
      </c>
      <c r="E63" s="5"/>
    </row>
    <row r="64" spans="2:5" ht="15.75" hidden="1" outlineLevel="2" collapsed="1" x14ac:dyDescent="0.25">
      <c r="B64" s="4" t="s">
        <v>60</v>
      </c>
      <c r="C64" s="4" t="s">
        <v>222</v>
      </c>
      <c r="D64" s="4" t="s">
        <v>242</v>
      </c>
      <c r="E64" s="4">
        <v>2</v>
      </c>
    </row>
    <row r="65" spans="2:5" ht="15.75" hidden="1" outlineLevel="3" x14ac:dyDescent="0.25">
      <c r="B65" s="23" t="s">
        <v>61</v>
      </c>
      <c r="C65" s="4" t="s">
        <v>222</v>
      </c>
      <c r="D65" s="4" t="s">
        <v>242</v>
      </c>
      <c r="E65" s="23"/>
    </row>
    <row r="66" spans="2:5" ht="30" hidden="1" outlineLevel="3" x14ac:dyDescent="0.25">
      <c r="B66" s="23" t="s">
        <v>62</v>
      </c>
      <c r="C66" s="4" t="s">
        <v>222</v>
      </c>
      <c r="D66" s="4" t="s">
        <v>242</v>
      </c>
      <c r="E66" s="23"/>
    </row>
    <row r="67" spans="2:5" ht="30" hidden="1" outlineLevel="3" x14ac:dyDescent="0.25">
      <c r="B67" s="20" t="s">
        <v>63</v>
      </c>
      <c r="C67" s="4" t="s">
        <v>222</v>
      </c>
      <c r="D67" s="4" t="s">
        <v>242</v>
      </c>
      <c r="E67" s="20"/>
    </row>
    <row r="68" spans="2:5" ht="30" hidden="1" outlineLevel="3" x14ac:dyDescent="0.25">
      <c r="B68" s="20" t="s">
        <v>64</v>
      </c>
      <c r="C68" s="4" t="s">
        <v>222</v>
      </c>
      <c r="D68" s="4" t="s">
        <v>242</v>
      </c>
      <c r="E68" s="20"/>
    </row>
    <row r="69" spans="2:5" ht="30" hidden="1" outlineLevel="3" x14ac:dyDescent="0.25">
      <c r="B69" s="20" t="s">
        <v>65</v>
      </c>
      <c r="C69" s="4" t="s">
        <v>222</v>
      </c>
      <c r="D69" s="4" t="s">
        <v>242</v>
      </c>
      <c r="E69" s="20"/>
    </row>
    <row r="70" spans="2:5" ht="30" hidden="1" outlineLevel="3" x14ac:dyDescent="0.25">
      <c r="B70" s="20" t="s">
        <v>66</v>
      </c>
      <c r="C70" s="4" t="s">
        <v>222</v>
      </c>
      <c r="D70" s="4" t="s">
        <v>242</v>
      </c>
      <c r="E70" s="20"/>
    </row>
    <row r="71" spans="2:5" ht="15.75" hidden="1" outlineLevel="2" collapsed="1" x14ac:dyDescent="0.25">
      <c r="B71" s="4" t="s">
        <v>67</v>
      </c>
      <c r="C71" s="4" t="s">
        <v>222</v>
      </c>
      <c r="D71" s="4" t="s">
        <v>242</v>
      </c>
      <c r="E71" s="4">
        <v>1</v>
      </c>
    </row>
    <row r="72" spans="2:5" ht="15.75" hidden="1" outlineLevel="3" x14ac:dyDescent="0.25">
      <c r="B72" s="7" t="s">
        <v>68</v>
      </c>
      <c r="C72" s="4" t="s">
        <v>222</v>
      </c>
      <c r="D72" s="4" t="s">
        <v>242</v>
      </c>
      <c r="E72" s="7"/>
    </row>
    <row r="73" spans="2:5" ht="15.75" hidden="1" outlineLevel="3" x14ac:dyDescent="0.25">
      <c r="B73" s="7" t="s">
        <v>69</v>
      </c>
      <c r="C73" s="4" t="s">
        <v>222</v>
      </c>
      <c r="D73" s="4" t="s">
        <v>242</v>
      </c>
      <c r="E73" s="7"/>
    </row>
    <row r="74" spans="2:5" ht="15.75" hidden="1" outlineLevel="3" x14ac:dyDescent="0.25">
      <c r="B74" s="7" t="s">
        <v>70</v>
      </c>
      <c r="C74" s="4" t="s">
        <v>222</v>
      </c>
      <c r="D74" s="4" t="s">
        <v>242</v>
      </c>
      <c r="E74" s="7"/>
    </row>
    <row r="75" spans="2:5" ht="18" hidden="1" customHeight="1" outlineLevel="2" collapsed="1" x14ac:dyDescent="0.25">
      <c r="B75" s="4" t="s">
        <v>71</v>
      </c>
      <c r="C75" s="4" t="s">
        <v>222</v>
      </c>
      <c r="D75" s="4" t="s">
        <v>242</v>
      </c>
      <c r="E75" s="4">
        <v>1</v>
      </c>
    </row>
    <row r="76" spans="2:5" ht="15.75" hidden="1" outlineLevel="3" x14ac:dyDescent="0.25">
      <c r="B76" s="22" t="s">
        <v>72</v>
      </c>
      <c r="C76" s="4" t="s">
        <v>222</v>
      </c>
      <c r="D76" s="4" t="s">
        <v>242</v>
      </c>
      <c r="E76" s="22"/>
    </row>
    <row r="77" spans="2:5" ht="15.75" hidden="1" outlineLevel="3" x14ac:dyDescent="0.25">
      <c r="B77" s="20" t="s">
        <v>73</v>
      </c>
      <c r="C77" s="4" t="s">
        <v>222</v>
      </c>
      <c r="D77" s="4" t="s">
        <v>242</v>
      </c>
      <c r="E77" s="20"/>
    </row>
    <row r="78" spans="2:5" ht="15.75" hidden="1" outlineLevel="3" x14ac:dyDescent="0.25">
      <c r="B78" s="20" t="s">
        <v>74</v>
      </c>
      <c r="C78" s="4" t="s">
        <v>222</v>
      </c>
      <c r="D78" s="4" t="s">
        <v>242</v>
      </c>
      <c r="E78" s="20"/>
    </row>
    <row r="79" spans="2:5" ht="31.5" hidden="1" outlineLevel="2" collapsed="1" x14ac:dyDescent="0.25">
      <c r="B79" s="4" t="s">
        <v>75</v>
      </c>
      <c r="C79" s="4" t="s">
        <v>222</v>
      </c>
      <c r="D79" s="4" t="s">
        <v>242</v>
      </c>
      <c r="E79" s="4">
        <v>1</v>
      </c>
    </row>
    <row r="80" spans="2:5" ht="30" hidden="1" outlineLevel="3" x14ac:dyDescent="0.25">
      <c r="B80" s="7" t="s">
        <v>76</v>
      </c>
      <c r="C80" s="7"/>
      <c r="D80" s="7" t="s">
        <v>243</v>
      </c>
      <c r="E80" s="7"/>
    </row>
    <row r="81" spans="2:5" hidden="1" outlineLevel="3" x14ac:dyDescent="0.25">
      <c r="B81" s="7" t="s">
        <v>77</v>
      </c>
      <c r="C81" s="7"/>
      <c r="D81" s="7" t="s">
        <v>243</v>
      </c>
      <c r="E81" s="7"/>
    </row>
    <row r="82" spans="2:5" hidden="1" outlineLevel="3" x14ac:dyDescent="0.25">
      <c r="B82" s="7" t="s">
        <v>78</v>
      </c>
      <c r="C82" s="7"/>
      <c r="D82" s="7" t="s">
        <v>243</v>
      </c>
      <c r="E82" s="7"/>
    </row>
    <row r="83" spans="2:5" hidden="1" outlineLevel="3" x14ac:dyDescent="0.25">
      <c r="B83" s="7" t="s">
        <v>79</v>
      </c>
      <c r="C83" s="7"/>
      <c r="D83" s="7" t="s">
        <v>243</v>
      </c>
      <c r="E83" s="7"/>
    </row>
    <row r="84" spans="2:5" hidden="1" outlineLevel="2" collapsed="1" x14ac:dyDescent="0.25">
      <c r="B84" s="8" t="s">
        <v>80</v>
      </c>
      <c r="C84" s="3" t="s">
        <v>223</v>
      </c>
      <c r="D84" s="3" t="s">
        <v>242</v>
      </c>
      <c r="E84" s="8">
        <v>2</v>
      </c>
    </row>
    <row r="85" spans="2:5" ht="45" hidden="1" outlineLevel="3" x14ac:dyDescent="0.25">
      <c r="B85" s="7" t="s">
        <v>81</v>
      </c>
      <c r="C85" s="3" t="s">
        <v>223</v>
      </c>
      <c r="D85" s="20" t="s">
        <v>243</v>
      </c>
      <c r="E85" s="7"/>
    </row>
    <row r="86" spans="2:5" hidden="1" outlineLevel="3" x14ac:dyDescent="0.25">
      <c r="B86" s="7" t="s">
        <v>82</v>
      </c>
      <c r="C86" s="3" t="s">
        <v>223</v>
      </c>
      <c r="D86" s="20" t="s">
        <v>243</v>
      </c>
      <c r="E86" s="7"/>
    </row>
    <row r="87" spans="2:5" hidden="1" outlineLevel="3" x14ac:dyDescent="0.25">
      <c r="B87" s="7" t="s">
        <v>83</v>
      </c>
      <c r="C87" s="3" t="s">
        <v>223</v>
      </c>
      <c r="D87" s="20" t="s">
        <v>243</v>
      </c>
      <c r="E87" s="7"/>
    </row>
    <row r="88" spans="2:5" hidden="1" outlineLevel="2" collapsed="1" x14ac:dyDescent="0.25">
      <c r="B88" s="8" t="s">
        <v>84</v>
      </c>
      <c r="C88" s="3" t="s">
        <v>223</v>
      </c>
      <c r="D88" s="3" t="s">
        <v>242</v>
      </c>
      <c r="E88" s="8">
        <v>2</v>
      </c>
    </row>
    <row r="89" spans="2:5" hidden="1" outlineLevel="3" x14ac:dyDescent="0.25">
      <c r="B89" s="7" t="s">
        <v>85</v>
      </c>
      <c r="C89" s="7"/>
      <c r="D89" s="7" t="s">
        <v>243</v>
      </c>
      <c r="E89" s="7"/>
    </row>
    <row r="90" spans="2:5" hidden="1" outlineLevel="2" collapsed="1" x14ac:dyDescent="0.25">
      <c r="B90" s="18" t="s">
        <v>228</v>
      </c>
      <c r="C90" s="18" t="s">
        <v>225</v>
      </c>
      <c r="D90" s="18" t="s">
        <v>243</v>
      </c>
      <c r="E90" s="19">
        <v>10</v>
      </c>
    </row>
    <row r="91" spans="2:5" ht="15.75" hidden="1" outlineLevel="1" x14ac:dyDescent="0.25">
      <c r="B91" s="5" t="s">
        <v>86</v>
      </c>
      <c r="C91" s="5" t="s">
        <v>221</v>
      </c>
      <c r="D91" s="5" t="s">
        <v>243</v>
      </c>
      <c r="E91" s="5"/>
    </row>
    <row r="92" spans="2:5" ht="15.75" hidden="1" outlineLevel="2" collapsed="1" x14ac:dyDescent="0.25">
      <c r="B92" s="6" t="s">
        <v>87</v>
      </c>
      <c r="C92" s="4" t="s">
        <v>222</v>
      </c>
      <c r="D92" s="4" t="s">
        <v>242</v>
      </c>
      <c r="E92" s="6">
        <v>1</v>
      </c>
    </row>
    <row r="93" spans="2:5" ht="45" hidden="1" outlineLevel="3" x14ac:dyDescent="0.25">
      <c r="B93" s="9" t="s">
        <v>88</v>
      </c>
      <c r="C93" s="4" t="s">
        <v>222</v>
      </c>
      <c r="D93" s="4" t="s">
        <v>242</v>
      </c>
      <c r="E93" s="9"/>
    </row>
    <row r="94" spans="2:5" ht="30" hidden="1" outlineLevel="3" x14ac:dyDescent="0.25">
      <c r="B94" s="9" t="s">
        <v>89</v>
      </c>
      <c r="C94" s="4" t="s">
        <v>222</v>
      </c>
      <c r="D94" s="4" t="s">
        <v>242</v>
      </c>
      <c r="E94" s="9"/>
    </row>
    <row r="95" spans="2:5" ht="30" hidden="1" outlineLevel="3" x14ac:dyDescent="0.25">
      <c r="B95" s="9" t="s">
        <v>90</v>
      </c>
      <c r="C95" s="4" t="s">
        <v>222</v>
      </c>
      <c r="D95" s="4" t="s">
        <v>242</v>
      </c>
      <c r="E95" s="9"/>
    </row>
    <row r="96" spans="2:5" ht="30" hidden="1" outlineLevel="3" x14ac:dyDescent="0.25">
      <c r="B96" s="9" t="s">
        <v>91</v>
      </c>
      <c r="C96" s="4" t="s">
        <v>222</v>
      </c>
      <c r="D96" s="4" t="s">
        <v>242</v>
      </c>
      <c r="E96" s="9"/>
    </row>
    <row r="97" spans="2:5" ht="30" hidden="1" outlineLevel="3" x14ac:dyDescent="0.25">
      <c r="B97" s="9" t="s">
        <v>92</v>
      </c>
      <c r="C97" s="4" t="s">
        <v>222</v>
      </c>
      <c r="D97" s="4" t="s">
        <v>242</v>
      </c>
      <c r="E97" s="9"/>
    </row>
    <row r="98" spans="2:5" ht="15.75" hidden="1" outlineLevel="2" collapsed="1" x14ac:dyDescent="0.25">
      <c r="B98" s="6" t="s">
        <v>93</v>
      </c>
      <c r="C98" s="4" t="s">
        <v>222</v>
      </c>
      <c r="D98" s="4" t="s">
        <v>242</v>
      </c>
      <c r="E98" s="6">
        <v>1</v>
      </c>
    </row>
    <row r="99" spans="2:5" ht="15.75" hidden="1" outlineLevel="3" x14ac:dyDescent="0.25">
      <c r="B99" s="7" t="s">
        <v>94</v>
      </c>
      <c r="C99" s="4" t="s">
        <v>222</v>
      </c>
      <c r="D99" s="4" t="s">
        <v>242</v>
      </c>
      <c r="E99" s="7"/>
    </row>
    <row r="100" spans="2:5" ht="30" hidden="1" outlineLevel="3" x14ac:dyDescent="0.25">
      <c r="B100" s="7" t="s">
        <v>95</v>
      </c>
      <c r="C100" s="4" t="s">
        <v>222</v>
      </c>
      <c r="D100" s="4" t="s">
        <v>242</v>
      </c>
      <c r="E100" s="7"/>
    </row>
    <row r="101" spans="2:5" ht="15.75" hidden="1" outlineLevel="3" x14ac:dyDescent="0.25">
      <c r="B101" s="22" t="s">
        <v>96</v>
      </c>
      <c r="C101" s="4" t="s">
        <v>222</v>
      </c>
      <c r="D101" s="4" t="s">
        <v>242</v>
      </c>
      <c r="E101" s="22"/>
    </row>
    <row r="102" spans="2:5" ht="15.75" hidden="1" outlineLevel="3" x14ac:dyDescent="0.25">
      <c r="B102" s="22" t="s">
        <v>97</v>
      </c>
      <c r="C102" s="4" t="s">
        <v>222</v>
      </c>
      <c r="D102" s="4" t="s">
        <v>242</v>
      </c>
      <c r="E102" s="22"/>
    </row>
    <row r="103" spans="2:5" ht="15.75" hidden="1" outlineLevel="3" x14ac:dyDescent="0.25">
      <c r="B103" s="22" t="s">
        <v>98</v>
      </c>
      <c r="C103" s="4" t="s">
        <v>222</v>
      </c>
      <c r="D103" s="4" t="s">
        <v>242</v>
      </c>
      <c r="E103" s="22"/>
    </row>
    <row r="104" spans="2:5" ht="15.75" hidden="1" outlineLevel="3" x14ac:dyDescent="0.25">
      <c r="B104" s="22" t="s">
        <v>97</v>
      </c>
      <c r="C104" s="4" t="s">
        <v>222</v>
      </c>
      <c r="D104" s="4" t="s">
        <v>242</v>
      </c>
      <c r="E104" s="22"/>
    </row>
    <row r="105" spans="2:5" ht="15.75" hidden="1" outlineLevel="3" x14ac:dyDescent="0.25">
      <c r="B105" s="22" t="s">
        <v>99</v>
      </c>
      <c r="C105" s="4" t="s">
        <v>222</v>
      </c>
      <c r="D105" s="4" t="s">
        <v>242</v>
      </c>
      <c r="E105" s="22"/>
    </row>
    <row r="106" spans="2:5" ht="15.75" hidden="1" outlineLevel="2" collapsed="1" x14ac:dyDescent="0.25">
      <c r="B106" s="4" t="s">
        <v>100</v>
      </c>
      <c r="C106" s="4" t="s">
        <v>222</v>
      </c>
      <c r="D106" s="4" t="s">
        <v>242</v>
      </c>
      <c r="E106" s="4">
        <v>1</v>
      </c>
    </row>
    <row r="107" spans="2:5" ht="15.75" hidden="1" outlineLevel="3" x14ac:dyDescent="0.25">
      <c r="B107" s="22" t="s">
        <v>101</v>
      </c>
      <c r="C107" s="4" t="s">
        <v>222</v>
      </c>
      <c r="D107" s="4" t="s">
        <v>242</v>
      </c>
      <c r="E107" s="22"/>
    </row>
    <row r="108" spans="2:5" ht="15.75" hidden="1" outlineLevel="3" x14ac:dyDescent="0.25">
      <c r="B108" s="22" t="s">
        <v>102</v>
      </c>
      <c r="C108" s="4" t="s">
        <v>222</v>
      </c>
      <c r="D108" s="4" t="s">
        <v>242</v>
      </c>
      <c r="E108" s="22"/>
    </row>
    <row r="109" spans="2:5" ht="15.75" hidden="1" outlineLevel="3" x14ac:dyDescent="0.25">
      <c r="B109" s="22" t="s">
        <v>103</v>
      </c>
      <c r="C109" s="4" t="s">
        <v>222</v>
      </c>
      <c r="D109" s="4" t="s">
        <v>242</v>
      </c>
      <c r="E109" s="22"/>
    </row>
    <row r="110" spans="2:5" ht="15.75" hidden="1" outlineLevel="2" collapsed="1" x14ac:dyDescent="0.25">
      <c r="B110" s="4" t="s">
        <v>104</v>
      </c>
      <c r="C110" s="4" t="s">
        <v>222</v>
      </c>
      <c r="D110" s="4" t="s">
        <v>242</v>
      </c>
      <c r="E110" s="4">
        <v>2</v>
      </c>
    </row>
    <row r="111" spans="2:5" ht="30" hidden="1" outlineLevel="3" x14ac:dyDescent="0.25">
      <c r="B111" s="22" t="s">
        <v>105</v>
      </c>
      <c r="C111" s="22"/>
      <c r="D111" s="22" t="s">
        <v>243</v>
      </c>
      <c r="E111" s="22"/>
    </row>
    <row r="112" spans="2:5" ht="30" hidden="1" outlineLevel="3" x14ac:dyDescent="0.25">
      <c r="B112" s="22" t="s">
        <v>106</v>
      </c>
      <c r="C112" s="22"/>
      <c r="D112" s="22" t="s">
        <v>243</v>
      </c>
      <c r="E112" s="22"/>
    </row>
    <row r="113" spans="2:5" ht="45" hidden="1" outlineLevel="3" x14ac:dyDescent="0.25">
      <c r="B113" s="22" t="s">
        <v>107</v>
      </c>
      <c r="C113" s="22"/>
      <c r="D113" s="22" t="s">
        <v>243</v>
      </c>
      <c r="E113" s="22"/>
    </row>
    <row r="114" spans="2:5" ht="30" hidden="1" outlineLevel="3" x14ac:dyDescent="0.25">
      <c r="B114" s="22" t="s">
        <v>108</v>
      </c>
      <c r="C114" s="22"/>
      <c r="D114" s="22" t="s">
        <v>243</v>
      </c>
      <c r="E114" s="22"/>
    </row>
    <row r="115" spans="2:5" ht="30" hidden="1" outlineLevel="3" x14ac:dyDescent="0.25">
      <c r="B115" s="22" t="s">
        <v>109</v>
      </c>
      <c r="C115" s="22"/>
      <c r="D115" s="22" t="s">
        <v>243</v>
      </c>
      <c r="E115" s="22"/>
    </row>
    <row r="116" spans="2:5" hidden="1" outlineLevel="3" x14ac:dyDescent="0.25">
      <c r="B116" s="22" t="s">
        <v>110</v>
      </c>
      <c r="C116" s="22"/>
      <c r="D116" s="22" t="s">
        <v>243</v>
      </c>
      <c r="E116" s="22"/>
    </row>
    <row r="117" spans="2:5" ht="30" hidden="1" outlineLevel="3" x14ac:dyDescent="0.25">
      <c r="B117" s="20" t="s">
        <v>111</v>
      </c>
      <c r="C117" s="20"/>
      <c r="D117" s="20" t="s">
        <v>243</v>
      </c>
      <c r="E117" s="20"/>
    </row>
    <row r="118" spans="2:5" hidden="1" outlineLevel="3" x14ac:dyDescent="0.25">
      <c r="B118" s="22" t="s">
        <v>112</v>
      </c>
      <c r="C118" s="22"/>
      <c r="D118" s="22" t="s">
        <v>243</v>
      </c>
      <c r="E118" s="22"/>
    </row>
    <row r="119" spans="2:5" hidden="1" outlineLevel="3" x14ac:dyDescent="0.25">
      <c r="B119" s="22" t="s">
        <v>113</v>
      </c>
      <c r="C119" s="22"/>
      <c r="D119" s="22" t="s">
        <v>243</v>
      </c>
      <c r="E119" s="22"/>
    </row>
    <row r="120" spans="2:5" hidden="1" outlineLevel="3" x14ac:dyDescent="0.25">
      <c r="B120" s="22" t="s">
        <v>114</v>
      </c>
      <c r="C120" s="22"/>
      <c r="D120" s="22" t="s">
        <v>243</v>
      </c>
      <c r="E120" s="22"/>
    </row>
    <row r="121" spans="2:5" hidden="1" outlineLevel="2" collapsed="1" x14ac:dyDescent="0.25">
      <c r="B121" s="10" t="s">
        <v>115</v>
      </c>
      <c r="C121" s="3" t="s">
        <v>223</v>
      </c>
      <c r="D121" s="3" t="s">
        <v>242</v>
      </c>
      <c r="E121" s="10">
        <v>5</v>
      </c>
    </row>
    <row r="122" spans="2:5" hidden="1" outlineLevel="3" x14ac:dyDescent="0.25">
      <c r="B122" s="24" t="s">
        <v>116</v>
      </c>
      <c r="C122" s="3" t="s">
        <v>223</v>
      </c>
      <c r="D122" s="20" t="s">
        <v>243</v>
      </c>
      <c r="E122" s="24"/>
    </row>
    <row r="123" spans="2:5" hidden="1" outlineLevel="3" x14ac:dyDescent="0.25">
      <c r="B123" s="24" t="s">
        <v>117</v>
      </c>
      <c r="C123" s="3" t="s">
        <v>223</v>
      </c>
      <c r="D123" s="20" t="s">
        <v>243</v>
      </c>
      <c r="E123" s="24"/>
    </row>
    <row r="124" spans="2:5" hidden="1" outlineLevel="3" x14ac:dyDescent="0.25">
      <c r="B124" s="24" t="s">
        <v>118</v>
      </c>
      <c r="C124" s="3" t="s">
        <v>223</v>
      </c>
      <c r="D124" s="20" t="s">
        <v>243</v>
      </c>
      <c r="E124" s="24"/>
    </row>
    <row r="125" spans="2:5" hidden="1" outlineLevel="2" collapsed="1" x14ac:dyDescent="0.25">
      <c r="B125" s="10" t="s">
        <v>119</v>
      </c>
      <c r="C125" s="3" t="s">
        <v>223</v>
      </c>
      <c r="D125" s="3" t="s">
        <v>242</v>
      </c>
      <c r="E125" s="10">
        <v>2</v>
      </c>
    </row>
    <row r="126" spans="2:5" ht="30" hidden="1" outlineLevel="3" x14ac:dyDescent="0.25">
      <c r="B126" s="7" t="s">
        <v>120</v>
      </c>
      <c r="C126" s="7"/>
      <c r="D126" s="7" t="s">
        <v>243</v>
      </c>
      <c r="E126" s="7"/>
    </row>
    <row r="127" spans="2:5" hidden="1" outlineLevel="2" x14ac:dyDescent="0.25">
      <c r="B127" s="18" t="s">
        <v>229</v>
      </c>
      <c r="C127" s="18" t="s">
        <v>225</v>
      </c>
      <c r="D127" s="18" t="s">
        <v>243</v>
      </c>
      <c r="E127" s="19">
        <v>2</v>
      </c>
    </row>
    <row r="128" spans="2:5" ht="15.75" hidden="1" outlineLevel="1" x14ac:dyDescent="0.25">
      <c r="B128" s="5" t="s">
        <v>121</v>
      </c>
      <c r="C128" s="5" t="s">
        <v>221</v>
      </c>
      <c r="D128" s="5" t="s">
        <v>243</v>
      </c>
      <c r="E128" s="5"/>
    </row>
    <row r="129" spans="2:5" hidden="1" outlineLevel="2" collapsed="1" x14ac:dyDescent="0.25">
      <c r="B129" s="11" t="s">
        <v>122</v>
      </c>
      <c r="C129" s="3" t="s">
        <v>223</v>
      </c>
      <c r="D129" s="3" t="s">
        <v>243</v>
      </c>
      <c r="E129" s="11">
        <v>3</v>
      </c>
    </row>
    <row r="130" spans="2:5" ht="30" hidden="1" outlineLevel="3" x14ac:dyDescent="0.25">
      <c r="B130" s="23" t="s">
        <v>123</v>
      </c>
      <c r="C130" s="3" t="s">
        <v>223</v>
      </c>
      <c r="D130" s="20" t="s">
        <v>243</v>
      </c>
      <c r="E130" s="23"/>
    </row>
    <row r="131" spans="2:5" hidden="1" outlineLevel="3" x14ac:dyDescent="0.25">
      <c r="B131" s="23" t="s">
        <v>124</v>
      </c>
      <c r="C131" s="3" t="s">
        <v>223</v>
      </c>
      <c r="D131" s="20" t="s">
        <v>243</v>
      </c>
      <c r="E131" s="23"/>
    </row>
    <row r="132" spans="2:5" ht="30" hidden="1" outlineLevel="3" x14ac:dyDescent="0.25">
      <c r="B132" s="23" t="s">
        <v>125</v>
      </c>
      <c r="C132" s="3" t="s">
        <v>223</v>
      </c>
      <c r="D132" s="20" t="s">
        <v>243</v>
      </c>
      <c r="E132" s="23"/>
    </row>
    <row r="133" spans="2:5" ht="30" hidden="1" outlineLevel="3" x14ac:dyDescent="0.25">
      <c r="B133" s="23" t="s">
        <v>126</v>
      </c>
      <c r="C133" s="3" t="s">
        <v>223</v>
      </c>
      <c r="D133" s="20" t="s">
        <v>243</v>
      </c>
      <c r="E133" s="23"/>
    </row>
    <row r="134" spans="2:5" ht="30" hidden="1" outlineLevel="3" x14ac:dyDescent="0.25">
      <c r="B134" s="23" t="s">
        <v>127</v>
      </c>
      <c r="C134" s="3" t="s">
        <v>223</v>
      </c>
      <c r="D134" s="20" t="s">
        <v>243</v>
      </c>
      <c r="E134" s="23"/>
    </row>
    <row r="135" spans="2:5" hidden="1" outlineLevel="2" collapsed="1" x14ac:dyDescent="0.25">
      <c r="B135" s="11" t="s">
        <v>128</v>
      </c>
      <c r="C135" s="3" t="s">
        <v>223</v>
      </c>
      <c r="D135" s="3" t="s">
        <v>243</v>
      </c>
      <c r="E135" s="11">
        <v>3</v>
      </c>
    </row>
    <row r="136" spans="2:5" ht="30" hidden="1" outlineLevel="3" x14ac:dyDescent="0.25">
      <c r="B136" s="23" t="s">
        <v>129</v>
      </c>
      <c r="C136" s="3" t="s">
        <v>223</v>
      </c>
      <c r="D136" s="20" t="s">
        <v>243</v>
      </c>
      <c r="E136" s="23"/>
    </row>
    <row r="137" spans="2:5" ht="30" hidden="1" outlineLevel="3" x14ac:dyDescent="0.25">
      <c r="B137" s="23" t="s">
        <v>130</v>
      </c>
      <c r="C137" s="3" t="s">
        <v>223</v>
      </c>
      <c r="D137" s="20" t="s">
        <v>243</v>
      </c>
      <c r="E137" s="23"/>
    </row>
    <row r="138" spans="2:5" ht="30" hidden="1" outlineLevel="3" x14ac:dyDescent="0.25">
      <c r="B138" s="23" t="s">
        <v>131</v>
      </c>
      <c r="C138" s="3" t="s">
        <v>223</v>
      </c>
      <c r="D138" s="20" t="s">
        <v>243</v>
      </c>
      <c r="E138" s="23"/>
    </row>
    <row r="139" spans="2:5" hidden="1" outlineLevel="2" collapsed="1" x14ac:dyDescent="0.25">
      <c r="B139" s="11" t="s">
        <v>132</v>
      </c>
      <c r="C139" s="3" t="s">
        <v>223</v>
      </c>
      <c r="D139" s="3" t="s">
        <v>243</v>
      </c>
      <c r="E139" s="11">
        <v>3</v>
      </c>
    </row>
    <row r="140" spans="2:5" ht="45" hidden="1" outlineLevel="3" x14ac:dyDescent="0.25">
      <c r="B140" s="23" t="s">
        <v>133</v>
      </c>
      <c r="C140" s="3" t="s">
        <v>223</v>
      </c>
      <c r="D140" s="20" t="s">
        <v>243</v>
      </c>
      <c r="E140" s="23"/>
    </row>
    <row r="141" spans="2:5" ht="21.75" hidden="1" customHeight="1" outlineLevel="3" x14ac:dyDescent="0.25">
      <c r="B141" s="23" t="s">
        <v>134</v>
      </c>
      <c r="C141" s="3" t="s">
        <v>223</v>
      </c>
      <c r="D141" s="20" t="s">
        <v>243</v>
      </c>
      <c r="E141" s="23"/>
    </row>
    <row r="142" spans="2:5" ht="30" hidden="1" outlineLevel="3" x14ac:dyDescent="0.25">
      <c r="B142" s="23" t="s">
        <v>135</v>
      </c>
      <c r="C142" s="3" t="s">
        <v>223</v>
      </c>
      <c r="D142" s="20" t="s">
        <v>243</v>
      </c>
      <c r="E142" s="23"/>
    </row>
    <row r="143" spans="2:5" hidden="1" outlineLevel="2" collapsed="1" x14ac:dyDescent="0.25">
      <c r="B143" s="11" t="s">
        <v>136</v>
      </c>
      <c r="C143" s="3" t="s">
        <v>223</v>
      </c>
      <c r="D143" s="3" t="s">
        <v>243</v>
      </c>
      <c r="E143" s="11">
        <v>3</v>
      </c>
    </row>
    <row r="144" spans="2:5" ht="45" hidden="1" outlineLevel="3" x14ac:dyDescent="0.25">
      <c r="B144" s="23" t="s">
        <v>137</v>
      </c>
      <c r="C144" s="23"/>
      <c r="D144" s="23" t="s">
        <v>243</v>
      </c>
      <c r="E144" s="23"/>
    </row>
    <row r="145" spans="2:5" ht="30" hidden="1" outlineLevel="3" x14ac:dyDescent="0.25">
      <c r="B145" s="23" t="s">
        <v>138</v>
      </c>
      <c r="C145" s="23"/>
      <c r="D145" s="23" t="s">
        <v>243</v>
      </c>
      <c r="E145" s="23"/>
    </row>
    <row r="146" spans="2:5" ht="45" hidden="1" outlineLevel="3" x14ac:dyDescent="0.25">
      <c r="B146" s="23" t="s">
        <v>139</v>
      </c>
      <c r="C146" s="23"/>
      <c r="D146" s="23" t="s">
        <v>243</v>
      </c>
      <c r="E146" s="23"/>
    </row>
    <row r="147" spans="2:5" hidden="1" outlineLevel="2" x14ac:dyDescent="0.25">
      <c r="B147" s="18" t="s">
        <v>230</v>
      </c>
      <c r="C147" s="18" t="s">
        <v>225</v>
      </c>
      <c r="D147" s="18" t="s">
        <v>243</v>
      </c>
      <c r="E147" s="19">
        <v>2</v>
      </c>
    </row>
    <row r="148" spans="2:5" hidden="1" outlineLevel="2" x14ac:dyDescent="0.25">
      <c r="B148" s="18" t="s">
        <v>231</v>
      </c>
      <c r="C148" s="18" t="s">
        <v>225</v>
      </c>
      <c r="D148" s="18" t="s">
        <v>243</v>
      </c>
      <c r="E148" s="19">
        <v>10</v>
      </c>
    </row>
    <row r="149" spans="2:5" ht="15.75" hidden="1" outlineLevel="1" x14ac:dyDescent="0.25">
      <c r="B149" s="5" t="s">
        <v>140</v>
      </c>
      <c r="C149" s="5" t="s">
        <v>221</v>
      </c>
      <c r="D149" s="5" t="s">
        <v>243</v>
      </c>
      <c r="E149" s="5"/>
    </row>
    <row r="150" spans="2:5" hidden="1" outlineLevel="2" collapsed="1" x14ac:dyDescent="0.25">
      <c r="B150" s="12" t="s">
        <v>141</v>
      </c>
      <c r="C150" s="3" t="s">
        <v>223</v>
      </c>
      <c r="D150" s="3" t="s">
        <v>243</v>
      </c>
      <c r="E150" s="12">
        <v>5</v>
      </c>
    </row>
    <row r="151" spans="2:5" hidden="1" outlineLevel="3" x14ac:dyDescent="0.25">
      <c r="B151" s="13" t="s">
        <v>142</v>
      </c>
      <c r="C151" s="3" t="s">
        <v>223</v>
      </c>
      <c r="D151" s="20" t="s">
        <v>243</v>
      </c>
      <c r="E151" s="13"/>
    </row>
    <row r="152" spans="2:5" ht="30" hidden="1" outlineLevel="3" x14ac:dyDescent="0.25">
      <c r="B152" s="13" t="s">
        <v>143</v>
      </c>
      <c r="C152" s="3" t="s">
        <v>223</v>
      </c>
      <c r="D152" s="20" t="s">
        <v>243</v>
      </c>
      <c r="E152" s="13"/>
    </row>
    <row r="153" spans="2:5" hidden="1" outlineLevel="3" x14ac:dyDescent="0.25">
      <c r="B153" s="13" t="s">
        <v>144</v>
      </c>
      <c r="C153" s="3" t="s">
        <v>223</v>
      </c>
      <c r="D153" s="20" t="s">
        <v>243</v>
      </c>
      <c r="E153" s="13"/>
    </row>
    <row r="154" spans="2:5" hidden="1" outlineLevel="3" x14ac:dyDescent="0.25">
      <c r="B154" s="13" t="s">
        <v>145</v>
      </c>
      <c r="C154" s="3" t="s">
        <v>223</v>
      </c>
      <c r="D154" s="20" t="s">
        <v>243</v>
      </c>
      <c r="E154" s="13"/>
    </row>
    <row r="155" spans="2:5" hidden="1" outlineLevel="2" collapsed="1" x14ac:dyDescent="0.25">
      <c r="B155" s="10" t="s">
        <v>146</v>
      </c>
      <c r="C155" s="3" t="s">
        <v>223</v>
      </c>
      <c r="D155" s="3" t="s">
        <v>243</v>
      </c>
      <c r="E155" s="10">
        <v>10</v>
      </c>
    </row>
    <row r="156" spans="2:5" hidden="1" outlineLevel="3" x14ac:dyDescent="0.25">
      <c r="B156" s="20" t="s">
        <v>147</v>
      </c>
      <c r="C156" s="3" t="s">
        <v>223</v>
      </c>
      <c r="D156" s="20" t="s">
        <v>243</v>
      </c>
      <c r="E156" s="20"/>
    </row>
    <row r="157" spans="2:5" ht="30" hidden="1" outlineLevel="3" x14ac:dyDescent="0.25">
      <c r="B157" s="20" t="s">
        <v>148</v>
      </c>
      <c r="C157" s="3" t="s">
        <v>223</v>
      </c>
      <c r="D157" s="20" t="s">
        <v>243</v>
      </c>
      <c r="E157" s="20"/>
    </row>
    <row r="158" spans="2:5" hidden="1" outlineLevel="2" collapsed="1" x14ac:dyDescent="0.25">
      <c r="B158" s="10" t="s">
        <v>149</v>
      </c>
      <c r="C158" s="3" t="s">
        <v>223</v>
      </c>
      <c r="D158" s="3" t="s">
        <v>243</v>
      </c>
      <c r="E158" s="10">
        <v>2</v>
      </c>
    </row>
    <row r="159" spans="2:5" hidden="1" outlineLevel="3" x14ac:dyDescent="0.25">
      <c r="B159" s="20" t="s">
        <v>150</v>
      </c>
      <c r="C159" s="3" t="s">
        <v>223</v>
      </c>
      <c r="D159" s="20" t="s">
        <v>243</v>
      </c>
      <c r="E159" s="20"/>
    </row>
    <row r="160" spans="2:5" hidden="1" outlineLevel="3" x14ac:dyDescent="0.25">
      <c r="B160" s="20" t="s">
        <v>151</v>
      </c>
      <c r="C160" s="3" t="s">
        <v>223</v>
      </c>
      <c r="D160" s="20" t="s">
        <v>243</v>
      </c>
      <c r="E160" s="20"/>
    </row>
    <row r="161" spans="2:5" hidden="1" outlineLevel="2" collapsed="1" x14ac:dyDescent="0.25">
      <c r="B161" s="12" t="s">
        <v>152</v>
      </c>
      <c r="C161" s="3" t="s">
        <v>223</v>
      </c>
      <c r="D161" s="3" t="s">
        <v>243</v>
      </c>
      <c r="E161" s="12">
        <v>5</v>
      </c>
    </row>
    <row r="162" spans="2:5" hidden="1" outlineLevel="3" x14ac:dyDescent="0.25">
      <c r="B162" s="13" t="s">
        <v>153</v>
      </c>
      <c r="C162" s="3" t="s">
        <v>223</v>
      </c>
      <c r="D162" s="20" t="s">
        <v>243</v>
      </c>
      <c r="E162" s="13"/>
    </row>
    <row r="163" spans="2:5" hidden="1" outlineLevel="3" x14ac:dyDescent="0.25">
      <c r="B163" s="13" t="s">
        <v>154</v>
      </c>
      <c r="C163" s="3" t="s">
        <v>223</v>
      </c>
      <c r="D163" s="20" t="s">
        <v>243</v>
      </c>
      <c r="E163" s="13"/>
    </row>
    <row r="164" spans="2:5" hidden="1" outlineLevel="3" x14ac:dyDescent="0.25">
      <c r="B164" s="13" t="s">
        <v>155</v>
      </c>
      <c r="C164" s="3" t="s">
        <v>223</v>
      </c>
      <c r="D164" s="20" t="s">
        <v>243</v>
      </c>
      <c r="E164" s="13"/>
    </row>
    <row r="165" spans="2:5" hidden="1" outlineLevel="3" x14ac:dyDescent="0.25">
      <c r="B165" s="13" t="s">
        <v>156</v>
      </c>
      <c r="C165" s="3" t="s">
        <v>223</v>
      </c>
      <c r="D165" s="20" t="s">
        <v>243</v>
      </c>
      <c r="E165" s="13"/>
    </row>
    <row r="166" spans="2:5" hidden="1" outlineLevel="2" collapsed="1" x14ac:dyDescent="0.25">
      <c r="B166" s="12" t="s">
        <v>157</v>
      </c>
      <c r="C166" s="3" t="s">
        <v>223</v>
      </c>
      <c r="D166" s="3" t="s">
        <v>243</v>
      </c>
      <c r="E166" s="12">
        <v>5</v>
      </c>
    </row>
    <row r="167" spans="2:5" hidden="1" outlineLevel="3" x14ac:dyDescent="0.25">
      <c r="B167" s="13" t="s">
        <v>158</v>
      </c>
      <c r="C167" s="13"/>
      <c r="D167" s="13" t="s">
        <v>243</v>
      </c>
      <c r="E167" s="13"/>
    </row>
    <row r="168" spans="2:5" hidden="1" outlineLevel="3" x14ac:dyDescent="0.25">
      <c r="B168" s="13" t="s">
        <v>159</v>
      </c>
      <c r="C168" s="13"/>
      <c r="D168" s="13" t="s">
        <v>243</v>
      </c>
      <c r="E168" s="13"/>
    </row>
    <row r="169" spans="2:5" hidden="1" outlineLevel="3" x14ac:dyDescent="0.25">
      <c r="B169" s="13" t="s">
        <v>160</v>
      </c>
      <c r="C169" s="13"/>
      <c r="D169" s="13" t="s">
        <v>243</v>
      </c>
      <c r="E169" s="13"/>
    </row>
    <row r="170" spans="2:5" ht="30" hidden="1" outlineLevel="3" x14ac:dyDescent="0.25">
      <c r="B170" s="13" t="s">
        <v>161</v>
      </c>
      <c r="C170" s="13"/>
      <c r="D170" s="13" t="s">
        <v>243</v>
      </c>
      <c r="E170" s="13"/>
    </row>
    <row r="171" spans="2:5" hidden="1" outlineLevel="3" x14ac:dyDescent="0.25">
      <c r="B171" s="13" t="s">
        <v>162</v>
      </c>
      <c r="C171" s="13"/>
      <c r="D171" s="13" t="s">
        <v>243</v>
      </c>
      <c r="E171" s="13"/>
    </row>
    <row r="172" spans="2:5" hidden="1" outlineLevel="2" x14ac:dyDescent="0.25">
      <c r="B172" s="18" t="s">
        <v>232</v>
      </c>
      <c r="C172" s="18" t="s">
        <v>225</v>
      </c>
      <c r="D172" s="18" t="s">
        <v>243</v>
      </c>
      <c r="E172" s="19">
        <v>5</v>
      </c>
    </row>
    <row r="173" spans="2:5" hidden="1" outlineLevel="2" x14ac:dyDescent="0.25">
      <c r="B173" s="18" t="s">
        <v>233</v>
      </c>
      <c r="C173" s="18" t="s">
        <v>225</v>
      </c>
      <c r="D173" s="18" t="s">
        <v>243</v>
      </c>
      <c r="E173" s="19">
        <v>10</v>
      </c>
    </row>
    <row r="174" spans="2:5" ht="15.75" hidden="1" outlineLevel="1" x14ac:dyDescent="0.25">
      <c r="B174" s="5" t="s">
        <v>163</v>
      </c>
      <c r="C174" s="5" t="s">
        <v>221</v>
      </c>
      <c r="D174" s="5" t="s">
        <v>242</v>
      </c>
      <c r="E174" s="5"/>
    </row>
    <row r="175" spans="2:5" hidden="1" outlineLevel="2" collapsed="1" x14ac:dyDescent="0.25">
      <c r="B175" s="12" t="s">
        <v>164</v>
      </c>
      <c r="C175" s="3" t="s">
        <v>223</v>
      </c>
      <c r="D175" s="3" t="s">
        <v>242</v>
      </c>
      <c r="E175" s="12">
        <v>5</v>
      </c>
    </row>
    <row r="176" spans="2:5" ht="45" hidden="1" outlineLevel="3" x14ac:dyDescent="0.25">
      <c r="B176" s="13" t="s">
        <v>165</v>
      </c>
      <c r="C176" s="3" t="s">
        <v>223</v>
      </c>
      <c r="D176" s="20" t="s">
        <v>243</v>
      </c>
      <c r="E176" s="13"/>
    </row>
    <row r="177" spans="2:5" ht="30" hidden="1" outlineLevel="3" x14ac:dyDescent="0.25">
      <c r="B177" s="13" t="s">
        <v>166</v>
      </c>
      <c r="C177" s="3" t="s">
        <v>223</v>
      </c>
      <c r="D177" s="20" t="s">
        <v>243</v>
      </c>
      <c r="E177" s="13"/>
    </row>
    <row r="178" spans="2:5" ht="30" hidden="1" outlineLevel="3" x14ac:dyDescent="0.25">
      <c r="B178" s="13" t="s">
        <v>167</v>
      </c>
      <c r="C178" s="3" t="s">
        <v>223</v>
      </c>
      <c r="D178" s="20" t="s">
        <v>243</v>
      </c>
      <c r="E178" s="13"/>
    </row>
    <row r="179" spans="2:5" ht="30" hidden="1" outlineLevel="3" x14ac:dyDescent="0.25">
      <c r="B179" s="13" t="s">
        <v>168</v>
      </c>
      <c r="C179" s="3" t="s">
        <v>223</v>
      </c>
      <c r="D179" s="20" t="s">
        <v>243</v>
      </c>
      <c r="E179" s="13"/>
    </row>
    <row r="180" spans="2:5" ht="30" hidden="1" outlineLevel="3" x14ac:dyDescent="0.25">
      <c r="B180" s="13" t="s">
        <v>169</v>
      </c>
      <c r="C180" s="3" t="s">
        <v>223</v>
      </c>
      <c r="D180" s="20" t="s">
        <v>243</v>
      </c>
      <c r="E180" s="13"/>
    </row>
    <row r="181" spans="2:5" ht="45" hidden="1" outlineLevel="3" x14ac:dyDescent="0.25">
      <c r="B181" s="13" t="s">
        <v>170</v>
      </c>
      <c r="C181" s="3" t="s">
        <v>223</v>
      </c>
      <c r="D181" s="20" t="s">
        <v>243</v>
      </c>
      <c r="E181" s="13"/>
    </row>
    <row r="182" spans="2:5" ht="30" hidden="1" outlineLevel="3" x14ac:dyDescent="0.25">
      <c r="B182" s="13" t="s">
        <v>171</v>
      </c>
      <c r="C182" s="3" t="s">
        <v>223</v>
      </c>
      <c r="D182" s="20" t="s">
        <v>243</v>
      </c>
      <c r="E182" s="13"/>
    </row>
    <row r="183" spans="2:5" hidden="1" outlineLevel="2" collapsed="1" x14ac:dyDescent="0.25">
      <c r="B183" s="12" t="s">
        <v>172</v>
      </c>
      <c r="C183" s="3" t="s">
        <v>223</v>
      </c>
      <c r="D183" s="3" t="s">
        <v>242</v>
      </c>
      <c r="E183" s="12">
        <v>3</v>
      </c>
    </row>
    <row r="184" spans="2:5" hidden="1" outlineLevel="3" x14ac:dyDescent="0.25">
      <c r="B184" s="13" t="s">
        <v>173</v>
      </c>
      <c r="C184" s="3" t="s">
        <v>223</v>
      </c>
      <c r="D184" s="20" t="s">
        <v>243</v>
      </c>
      <c r="E184" s="13"/>
    </row>
    <row r="185" spans="2:5" hidden="1" outlineLevel="3" x14ac:dyDescent="0.25">
      <c r="B185" s="13" t="s">
        <v>174</v>
      </c>
      <c r="C185" s="3" t="s">
        <v>223</v>
      </c>
      <c r="D185" s="20" t="s">
        <v>243</v>
      </c>
      <c r="E185" s="13"/>
    </row>
    <row r="186" spans="2:5" hidden="1" outlineLevel="3" x14ac:dyDescent="0.25">
      <c r="B186" s="13" t="s">
        <v>175</v>
      </c>
      <c r="C186" s="3" t="s">
        <v>223</v>
      </c>
      <c r="D186" s="20" t="s">
        <v>243</v>
      </c>
      <c r="E186" s="13"/>
    </row>
    <row r="187" spans="2:5" hidden="1" outlineLevel="3" x14ac:dyDescent="0.25">
      <c r="B187" s="13" t="s">
        <v>176</v>
      </c>
      <c r="C187" s="3" t="s">
        <v>223</v>
      </c>
      <c r="D187" s="20" t="s">
        <v>243</v>
      </c>
      <c r="E187" s="13"/>
    </row>
    <row r="188" spans="2:5" hidden="1" outlineLevel="2" collapsed="1" x14ac:dyDescent="0.25">
      <c r="B188" s="12" t="s">
        <v>177</v>
      </c>
      <c r="C188" s="3" t="s">
        <v>223</v>
      </c>
      <c r="D188" s="3" t="s">
        <v>242</v>
      </c>
      <c r="E188" s="12">
        <v>2</v>
      </c>
    </row>
    <row r="189" spans="2:5" hidden="1" outlineLevel="3" x14ac:dyDescent="0.25">
      <c r="B189" s="13" t="s">
        <v>178</v>
      </c>
      <c r="C189" s="3" t="s">
        <v>223</v>
      </c>
      <c r="D189" s="20" t="s">
        <v>243</v>
      </c>
      <c r="E189" s="13"/>
    </row>
    <row r="190" spans="2:5" ht="30" hidden="1" outlineLevel="3" x14ac:dyDescent="0.25">
      <c r="B190" s="13" t="s">
        <v>179</v>
      </c>
      <c r="C190" s="3" t="s">
        <v>223</v>
      </c>
      <c r="D190" s="20" t="s">
        <v>243</v>
      </c>
      <c r="E190" s="13"/>
    </row>
    <row r="191" spans="2:5" hidden="1" outlineLevel="2" collapsed="1" x14ac:dyDescent="0.25">
      <c r="B191" s="12" t="s">
        <v>180</v>
      </c>
      <c r="C191" s="3" t="s">
        <v>223</v>
      </c>
      <c r="D191" s="3" t="s">
        <v>242</v>
      </c>
      <c r="E191" s="12">
        <v>2</v>
      </c>
    </row>
    <row r="192" spans="2:5" ht="30" hidden="1" outlineLevel="3" x14ac:dyDescent="0.25">
      <c r="B192" s="13" t="s">
        <v>181</v>
      </c>
      <c r="C192" s="3" t="s">
        <v>223</v>
      </c>
      <c r="D192" s="20" t="s">
        <v>243</v>
      </c>
      <c r="E192" s="13"/>
    </row>
    <row r="193" spans="2:5" ht="30" hidden="1" outlineLevel="3" x14ac:dyDescent="0.25">
      <c r="B193" s="13" t="s">
        <v>182</v>
      </c>
      <c r="C193" s="3" t="s">
        <v>223</v>
      </c>
      <c r="D193" s="20" t="s">
        <v>243</v>
      </c>
      <c r="E193" s="13"/>
    </row>
    <row r="194" spans="2:5" hidden="1" outlineLevel="2" collapsed="1" x14ac:dyDescent="0.25">
      <c r="B194" s="12" t="s">
        <v>183</v>
      </c>
      <c r="C194" s="3" t="s">
        <v>223</v>
      </c>
      <c r="D194" s="3" t="s">
        <v>242</v>
      </c>
      <c r="E194" s="12">
        <v>2</v>
      </c>
    </row>
    <row r="195" spans="2:5" ht="30" hidden="1" outlineLevel="3" x14ac:dyDescent="0.25">
      <c r="B195" s="13" t="s">
        <v>184</v>
      </c>
      <c r="C195" s="13"/>
      <c r="D195" s="13" t="s">
        <v>243</v>
      </c>
      <c r="E195" s="13"/>
    </row>
    <row r="196" spans="2:5" hidden="1" outlineLevel="3" x14ac:dyDescent="0.25">
      <c r="B196" s="13" t="s">
        <v>185</v>
      </c>
      <c r="C196" s="13"/>
      <c r="D196" s="13" t="s">
        <v>243</v>
      </c>
      <c r="E196" s="13"/>
    </row>
    <row r="197" spans="2:5" ht="30" hidden="1" outlineLevel="3" x14ac:dyDescent="0.25">
      <c r="B197" s="13" t="s">
        <v>186</v>
      </c>
      <c r="C197" s="13"/>
      <c r="D197" s="13" t="s">
        <v>243</v>
      </c>
      <c r="E197" s="13"/>
    </row>
    <row r="198" spans="2:5" hidden="1" outlineLevel="2" x14ac:dyDescent="0.25">
      <c r="B198" s="18" t="s">
        <v>234</v>
      </c>
      <c r="C198" s="18" t="s">
        <v>225</v>
      </c>
      <c r="D198" s="18" t="s">
        <v>243</v>
      </c>
      <c r="E198" s="19">
        <v>3</v>
      </c>
    </row>
    <row r="199" spans="2:5" hidden="1" outlineLevel="2" x14ac:dyDescent="0.25">
      <c r="B199" s="18" t="s">
        <v>235</v>
      </c>
      <c r="C199" s="18" t="s">
        <v>225</v>
      </c>
      <c r="D199" s="18" t="s">
        <v>243</v>
      </c>
      <c r="E199" s="19">
        <v>10</v>
      </c>
    </row>
    <row r="200" spans="2:5" ht="30" hidden="1" outlineLevel="2" x14ac:dyDescent="0.25">
      <c r="B200" s="18" t="s">
        <v>236</v>
      </c>
      <c r="C200" s="18" t="s">
        <v>225</v>
      </c>
      <c r="D200" s="18" t="s">
        <v>243</v>
      </c>
      <c r="E200" s="19">
        <v>10</v>
      </c>
    </row>
    <row r="201" spans="2:5" hidden="1" outlineLevel="2" x14ac:dyDescent="0.25">
      <c r="B201" s="18" t="s">
        <v>237</v>
      </c>
      <c r="C201" s="18" t="s">
        <v>225</v>
      </c>
      <c r="D201" s="18" t="s">
        <v>243</v>
      </c>
      <c r="E201" s="19">
        <v>5</v>
      </c>
    </row>
    <row r="202" spans="2:5" ht="15.75" hidden="1" outlineLevel="1" x14ac:dyDescent="0.25">
      <c r="B202" s="5" t="s">
        <v>187</v>
      </c>
      <c r="C202" s="5" t="s">
        <v>221</v>
      </c>
      <c r="D202" s="5" t="s">
        <v>243</v>
      </c>
      <c r="E202" s="5"/>
    </row>
    <row r="203" spans="2:5" hidden="1" outlineLevel="2" collapsed="1" x14ac:dyDescent="0.25">
      <c r="B203" s="12" t="s">
        <v>188</v>
      </c>
      <c r="C203" s="3" t="s">
        <v>223</v>
      </c>
      <c r="D203" s="3" t="s">
        <v>243</v>
      </c>
      <c r="E203" s="12">
        <v>2</v>
      </c>
    </row>
    <row r="204" spans="2:5" ht="30" hidden="1" outlineLevel="3" x14ac:dyDescent="0.25">
      <c r="B204" s="13" t="s">
        <v>189</v>
      </c>
      <c r="C204" s="3" t="s">
        <v>223</v>
      </c>
      <c r="D204" s="20" t="s">
        <v>243</v>
      </c>
      <c r="E204" s="13"/>
    </row>
    <row r="205" spans="2:5" ht="30" hidden="1" outlineLevel="3" x14ac:dyDescent="0.25">
      <c r="B205" s="13" t="s">
        <v>190</v>
      </c>
      <c r="C205" s="3" t="s">
        <v>223</v>
      </c>
      <c r="D205" s="20" t="s">
        <v>243</v>
      </c>
      <c r="E205" s="13"/>
    </row>
    <row r="206" spans="2:5" hidden="1" outlineLevel="2" collapsed="1" x14ac:dyDescent="0.25">
      <c r="B206" s="12" t="s">
        <v>191</v>
      </c>
      <c r="C206" s="3" t="s">
        <v>223</v>
      </c>
      <c r="D206" s="3" t="s">
        <v>243</v>
      </c>
      <c r="E206" s="12">
        <v>2</v>
      </c>
    </row>
    <row r="207" spans="2:5" ht="45" hidden="1" outlineLevel="3" x14ac:dyDescent="0.25">
      <c r="B207" s="13" t="s">
        <v>192</v>
      </c>
      <c r="C207" s="13"/>
      <c r="D207" s="13" t="s">
        <v>243</v>
      </c>
      <c r="E207" s="13"/>
    </row>
    <row r="208" spans="2:5" hidden="1" outlineLevel="3" x14ac:dyDescent="0.25">
      <c r="B208" s="13" t="s">
        <v>193</v>
      </c>
      <c r="C208" s="13"/>
      <c r="D208" s="13" t="s">
        <v>243</v>
      </c>
      <c r="E208" s="13"/>
    </row>
    <row r="209" spans="2:5" hidden="1" outlineLevel="2" x14ac:dyDescent="0.25">
      <c r="B209" s="18" t="s">
        <v>238</v>
      </c>
      <c r="C209" s="18" t="s">
        <v>225</v>
      </c>
      <c r="D209" s="18" t="s">
        <v>243</v>
      </c>
      <c r="E209" s="19">
        <v>5</v>
      </c>
    </row>
    <row r="210" spans="2:5" hidden="1" outlineLevel="2" x14ac:dyDescent="0.25">
      <c r="B210" s="18" t="s">
        <v>239</v>
      </c>
      <c r="C210" s="18" t="s">
        <v>225</v>
      </c>
      <c r="D210" s="18" t="s">
        <v>243</v>
      </c>
      <c r="E210" s="19">
        <v>2</v>
      </c>
    </row>
    <row r="211" spans="2:5" hidden="1" outlineLevel="2" x14ac:dyDescent="0.25">
      <c r="B211" s="18" t="s">
        <v>240</v>
      </c>
      <c r="C211" s="18" t="s">
        <v>225</v>
      </c>
      <c r="D211" s="18" t="s">
        <v>243</v>
      </c>
      <c r="E211" s="19">
        <v>5</v>
      </c>
    </row>
    <row r="212" spans="2:5" hidden="1" outlineLevel="2" x14ac:dyDescent="0.25">
      <c r="B212" s="18" t="s">
        <v>241</v>
      </c>
      <c r="C212" s="18" t="s">
        <v>225</v>
      </c>
      <c r="D212" s="18" t="s">
        <v>243</v>
      </c>
      <c r="E212" s="19">
        <v>3</v>
      </c>
    </row>
    <row r="213" spans="2:5" ht="15.75" hidden="1" outlineLevel="1" x14ac:dyDescent="0.25">
      <c r="B213" s="5" t="s">
        <v>194</v>
      </c>
      <c r="C213" s="5" t="s">
        <v>221</v>
      </c>
      <c r="D213" s="5" t="s">
        <v>243</v>
      </c>
      <c r="E213" s="5"/>
    </row>
    <row r="214" spans="2:5" ht="15.75" hidden="1" outlineLevel="2" collapsed="1" x14ac:dyDescent="0.25">
      <c r="B214" s="14" t="s">
        <v>195</v>
      </c>
      <c r="C214" s="14" t="s">
        <v>222</v>
      </c>
      <c r="D214" s="14" t="s">
        <v>243</v>
      </c>
      <c r="E214" s="14">
        <v>5</v>
      </c>
    </row>
    <row r="215" spans="2:5" ht="15.75" hidden="1" outlineLevel="3" x14ac:dyDescent="0.25">
      <c r="B215" s="15" t="s">
        <v>196</v>
      </c>
      <c r="C215" s="15"/>
      <c r="D215" s="15" t="s">
        <v>243</v>
      </c>
      <c r="E215" s="15"/>
    </row>
    <row r="216" spans="2:5" ht="31.5" hidden="1" outlineLevel="3" x14ac:dyDescent="0.25">
      <c r="B216" s="15" t="s">
        <v>197</v>
      </c>
      <c r="C216" s="15"/>
      <c r="D216" s="15" t="s">
        <v>243</v>
      </c>
      <c r="E216" s="15"/>
    </row>
    <row r="217" spans="2:5" ht="47.25" hidden="1" outlineLevel="3" x14ac:dyDescent="0.25">
      <c r="B217" s="15" t="s">
        <v>198</v>
      </c>
      <c r="C217" s="15"/>
      <c r="D217" s="15" t="s">
        <v>243</v>
      </c>
      <c r="E217" s="15"/>
    </row>
    <row r="218" spans="2:5" ht="47.25" hidden="1" outlineLevel="3" x14ac:dyDescent="0.25">
      <c r="B218" s="15" t="s">
        <v>199</v>
      </c>
      <c r="C218" s="15"/>
      <c r="D218" s="15" t="s">
        <v>243</v>
      </c>
      <c r="E218" s="15"/>
    </row>
    <row r="219" spans="2:5" ht="15.75" hidden="1" outlineLevel="3" x14ac:dyDescent="0.25">
      <c r="B219" s="15" t="s">
        <v>200</v>
      </c>
      <c r="C219" s="15"/>
      <c r="D219" s="15" t="s">
        <v>243</v>
      </c>
      <c r="E219" s="15"/>
    </row>
    <row r="220" spans="2:5" ht="15.75" hidden="1" outlineLevel="3" x14ac:dyDescent="0.25">
      <c r="B220" s="15" t="s">
        <v>201</v>
      </c>
      <c r="C220" s="15"/>
      <c r="D220" s="15" t="s">
        <v>243</v>
      </c>
      <c r="E220" s="15"/>
    </row>
    <row r="221" spans="2:5" ht="15.75" hidden="1" outlineLevel="3" x14ac:dyDescent="0.25">
      <c r="B221" s="15" t="s">
        <v>202</v>
      </c>
      <c r="C221" s="15"/>
      <c r="D221" s="15" t="s">
        <v>243</v>
      </c>
      <c r="E221" s="15"/>
    </row>
    <row r="222" spans="2:5" ht="31.5" hidden="1" outlineLevel="3" x14ac:dyDescent="0.25">
      <c r="B222" s="15" t="s">
        <v>203</v>
      </c>
      <c r="C222" s="15"/>
      <c r="D222" s="15" t="s">
        <v>243</v>
      </c>
      <c r="E222" s="15"/>
    </row>
    <row r="223" spans="2:5" ht="15.75" hidden="1" outlineLevel="3" x14ac:dyDescent="0.25">
      <c r="B223" s="15" t="s">
        <v>204</v>
      </c>
      <c r="C223" s="15"/>
      <c r="D223" s="15" t="s">
        <v>243</v>
      </c>
      <c r="E223" s="15"/>
    </row>
    <row r="224" spans="2:5" ht="15.75" hidden="1" outlineLevel="3" x14ac:dyDescent="0.25">
      <c r="B224" s="15" t="s">
        <v>205</v>
      </c>
      <c r="C224" s="15"/>
      <c r="D224" s="15" t="s">
        <v>243</v>
      </c>
      <c r="E224" s="15"/>
    </row>
    <row r="225" spans="2:5" ht="31.5" hidden="1" outlineLevel="3" x14ac:dyDescent="0.25">
      <c r="B225" s="15" t="s">
        <v>206</v>
      </c>
      <c r="C225" s="15"/>
      <c r="D225" s="15" t="s">
        <v>243</v>
      </c>
      <c r="E225" s="15"/>
    </row>
    <row r="226" spans="2:5" ht="15.75" hidden="1" outlineLevel="3" x14ac:dyDescent="0.25">
      <c r="B226" s="15" t="s">
        <v>207</v>
      </c>
      <c r="C226" s="15"/>
      <c r="D226" s="15" t="s">
        <v>243</v>
      </c>
      <c r="E226" s="15"/>
    </row>
    <row r="227" spans="2:5" ht="15.75" hidden="1" outlineLevel="3" x14ac:dyDescent="0.25">
      <c r="B227" s="15" t="s">
        <v>208</v>
      </c>
      <c r="C227" s="15"/>
      <c r="D227" s="15" t="s">
        <v>243</v>
      </c>
      <c r="E227" s="15"/>
    </row>
    <row r="228" spans="2:5" ht="15.75" hidden="1" outlineLevel="3" x14ac:dyDescent="0.25">
      <c r="B228" s="15" t="s">
        <v>209</v>
      </c>
      <c r="C228" s="15"/>
      <c r="D228" s="15" t="s">
        <v>243</v>
      </c>
      <c r="E228" s="15"/>
    </row>
    <row r="229" spans="2:5" ht="15.75" hidden="1" outlineLevel="3" x14ac:dyDescent="0.25">
      <c r="B229" s="15" t="s">
        <v>210</v>
      </c>
      <c r="C229" s="15"/>
      <c r="D229" s="15" t="s">
        <v>243</v>
      </c>
      <c r="E229" s="15"/>
    </row>
    <row r="230" spans="2:5" ht="15.75" hidden="1" outlineLevel="3" x14ac:dyDescent="0.25">
      <c r="B230" s="15" t="s">
        <v>211</v>
      </c>
      <c r="C230" s="15"/>
      <c r="D230" s="15" t="s">
        <v>243</v>
      </c>
      <c r="E230" s="15"/>
    </row>
    <row r="231" spans="2:5" ht="15.75" hidden="1" outlineLevel="3" x14ac:dyDescent="0.25">
      <c r="B231" s="15" t="s">
        <v>212</v>
      </c>
      <c r="C231" s="15"/>
      <c r="D231" s="15" t="s">
        <v>243</v>
      </c>
      <c r="E231" s="15"/>
    </row>
    <row r="232" spans="2:5" ht="31.5" hidden="1" outlineLevel="2" x14ac:dyDescent="0.25">
      <c r="B232" s="14" t="s">
        <v>213</v>
      </c>
      <c r="C232" s="14" t="s">
        <v>222</v>
      </c>
      <c r="D232" s="14" t="s">
        <v>243</v>
      </c>
      <c r="E232" s="14">
        <v>1</v>
      </c>
    </row>
    <row r="233" spans="2:5" ht="31.5" hidden="1" outlineLevel="2" collapsed="1" x14ac:dyDescent="0.25">
      <c r="B233" s="14" t="s">
        <v>214</v>
      </c>
      <c r="C233" s="14" t="s">
        <v>222</v>
      </c>
      <c r="D233" s="14" t="s">
        <v>243</v>
      </c>
      <c r="E233" s="14">
        <v>1</v>
      </c>
    </row>
    <row r="234" spans="2:5" ht="15.75" hidden="1" outlineLevel="3" x14ac:dyDescent="0.25">
      <c r="B234" s="15" t="s">
        <v>215</v>
      </c>
      <c r="C234" s="15"/>
      <c r="D234" s="15" t="s">
        <v>243</v>
      </c>
      <c r="E234" s="15"/>
    </row>
    <row r="235" spans="2:5" ht="63" hidden="1" outlineLevel="3" x14ac:dyDescent="0.25">
      <c r="B235" s="15" t="s">
        <v>216</v>
      </c>
      <c r="C235" s="15"/>
      <c r="D235" s="15" t="s">
        <v>243</v>
      </c>
      <c r="E235" s="15"/>
    </row>
    <row r="236" spans="2:5" ht="31.5" hidden="1" outlineLevel="3" x14ac:dyDescent="0.25">
      <c r="B236" s="15" t="s">
        <v>217</v>
      </c>
      <c r="C236" s="15"/>
      <c r="D236" s="15" t="s">
        <v>243</v>
      </c>
      <c r="E236" s="15"/>
    </row>
    <row r="237" spans="2:5" ht="31.5" hidden="1" outlineLevel="2" x14ac:dyDescent="0.25">
      <c r="B237" s="16" t="s">
        <v>218</v>
      </c>
      <c r="C237" s="3" t="s">
        <v>223</v>
      </c>
      <c r="D237" s="3" t="s">
        <v>243</v>
      </c>
      <c r="E237" s="16">
        <v>3</v>
      </c>
    </row>
    <row r="238" spans="2:5" x14ac:dyDescent="0.25">
      <c r="B238" s="2" t="s">
        <v>244</v>
      </c>
      <c r="C238" s="25">
        <f>SUMIF(D9:D237,"ДА",E9:E237)</f>
        <v>48</v>
      </c>
    </row>
    <row r="239" spans="2:5" x14ac:dyDescent="0.25">
      <c r="B239" s="2" t="s">
        <v>289</v>
      </c>
      <c r="C239" s="27">
        <v>10000000</v>
      </c>
    </row>
    <row r="240" spans="2:5" x14ac:dyDescent="0.25">
      <c r="B240" s="2" t="s">
        <v>290</v>
      </c>
      <c r="C240" s="28">
        <f>C239/C238</f>
        <v>208333.33333333334</v>
      </c>
    </row>
    <row r="241" spans="2:6" x14ac:dyDescent="0.25">
      <c r="B241" s="2" t="s">
        <v>291</v>
      </c>
      <c r="C241" s="33">
        <f>ROUNDUP(C240/((1+C6)*3900),0)</f>
        <v>45</v>
      </c>
    </row>
    <row r="244" spans="2:6" ht="15.75" thickBot="1" x14ac:dyDescent="0.3"/>
    <row r="245" spans="2:6" x14ac:dyDescent="0.25">
      <c r="B245" s="187" t="s">
        <v>245</v>
      </c>
      <c r="C245" s="183" t="s">
        <v>313</v>
      </c>
      <c r="D245" s="93" t="s">
        <v>314</v>
      </c>
      <c r="E245" s="93" t="s">
        <v>315</v>
      </c>
      <c r="F245" s="94" t="s">
        <v>316</v>
      </c>
    </row>
    <row r="246" spans="2:6" x14ac:dyDescent="0.25">
      <c r="B246" s="188" t="s">
        <v>219</v>
      </c>
      <c r="C246" s="190">
        <v>1</v>
      </c>
      <c r="D246" s="30">
        <v>1.5</v>
      </c>
      <c r="E246" s="30">
        <v>2</v>
      </c>
      <c r="F246" s="89">
        <v>3</v>
      </c>
    </row>
    <row r="247" spans="2:6" ht="15.75" thickBot="1" x14ac:dyDescent="0.3">
      <c r="B247" s="189" t="s">
        <v>257</v>
      </c>
      <c r="C247" s="191">
        <v>1</v>
      </c>
      <c r="D247" s="91">
        <v>1</v>
      </c>
      <c r="E247" s="91">
        <v>1.5</v>
      </c>
      <c r="F247" s="92">
        <v>2</v>
      </c>
    </row>
    <row r="248" spans="2:6" x14ac:dyDescent="0.25">
      <c r="B248" s="188" t="s">
        <v>527</v>
      </c>
      <c r="C248" s="190">
        <v>6</v>
      </c>
      <c r="D248" s="30">
        <v>6</v>
      </c>
      <c r="E248" s="30">
        <v>8</v>
      </c>
      <c r="F248" s="89">
        <v>8</v>
      </c>
    </row>
    <row r="249" spans="2:6" ht="15.75" thickBot="1" x14ac:dyDescent="0.3">
      <c r="B249" s="189" t="s">
        <v>528</v>
      </c>
      <c r="C249" s="191">
        <v>1</v>
      </c>
      <c r="D249" s="91">
        <v>1</v>
      </c>
      <c r="E249" s="91">
        <v>1</v>
      </c>
      <c r="F249" s="92">
        <v>1</v>
      </c>
    </row>
  </sheetData>
  <customSheetViews>
    <customSheetView guid="{4C101172-6A1B-4680-8EB9-7A8F363D5714}" hiddenRows="1" state="hidden">
      <selection activeCell="C255" sqref="C255"/>
      <pageMargins left="0.7" right="0.7" top="0.75" bottom="0.75" header="0.3" footer="0.3"/>
      <pageSetup paperSize="9" orientation="portrait" r:id="rId1"/>
    </customSheetView>
  </customSheetViews>
  <dataValidations disablePrompts="1" count="2">
    <dataValidation type="list" allowBlank="1" showInputMessage="1" showErrorMessage="1" sqref="D91 D9 D39 D63 C9:C237" xr:uid="{00000000-0002-0000-0200-000000000000}">
      <formula1>"ГРУППА,Базовый,ПРОФ,Экспертный"</formula1>
    </dataValidation>
    <dataValidation type="list" allowBlank="1" showInputMessage="1" showErrorMessage="1" sqref="D40:D62 D64:D90 D10:D38 D92:D239" xr:uid="{00000000-0002-0000-0200-000001000000}">
      <formula1>"Да,Нет"</formula1>
    </dataValidation>
  </dataValidation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T359"/>
  <sheetViews>
    <sheetView zoomScaleNormal="100" workbookViewId="0">
      <pane xSplit="31" ySplit="9" topLeftCell="AF319" activePane="bottomRight" state="frozen"/>
      <selection pane="topRight" activeCell="V1" sqref="V1"/>
      <selection pane="bottomLeft" activeCell="A10" sqref="A10"/>
      <selection pane="bottomRight" activeCell="B17" sqref="B17"/>
    </sheetView>
  </sheetViews>
  <sheetFormatPr defaultRowHeight="15" outlineLevelRow="2" outlineLevelCol="3" x14ac:dyDescent="0.25"/>
  <cols>
    <col min="1" max="1" width="6.7109375" style="129" customWidth="1"/>
    <col min="2" max="2" width="43.7109375" style="1" customWidth="1"/>
    <col min="3" max="3" width="43.7109375" style="1" customWidth="1" collapsed="1"/>
    <col min="4" max="4" width="2.7109375" style="1" hidden="1" customWidth="1" outlineLevel="1"/>
    <col min="5" max="5" width="13.28515625" style="1" customWidth="1"/>
    <col min="6" max="6" width="12.7109375" customWidth="1" collapsed="1"/>
    <col min="7" max="7" width="15.42578125" hidden="1" customWidth="1" outlineLevel="1" collapsed="1"/>
    <col min="8" max="11" width="9.28515625" hidden="1" customWidth="1" outlineLevel="2"/>
    <col min="12" max="12" width="13.7109375" hidden="1" customWidth="1" outlineLevel="2"/>
    <col min="13" max="13" width="16" hidden="1" customWidth="1" outlineLevel="1"/>
    <col min="14" max="14" width="17.7109375" hidden="1" customWidth="1" outlineLevel="1"/>
    <col min="15" max="15" width="17.7109375" hidden="1" customWidth="1" outlineLevel="2"/>
    <col min="16" max="17" width="17.7109375" hidden="1" customWidth="1" outlineLevel="3"/>
    <col min="18" max="18" width="17.7109375" hidden="1" customWidth="1" outlineLevel="2"/>
    <col min="19" max="20" width="17.7109375" hidden="1" customWidth="1" outlineLevel="3"/>
    <col min="21" max="21" width="17.7109375" hidden="1" customWidth="1" outlineLevel="2"/>
    <col min="22" max="23" width="17.7109375" hidden="1" customWidth="1" outlineLevel="3"/>
    <col min="24" max="24" width="17.7109375" hidden="1" customWidth="1" outlineLevel="2"/>
    <col min="25" max="26" width="17.7109375" hidden="1" customWidth="1" outlineLevel="3"/>
    <col min="27" max="27" width="30.7109375" hidden="1" customWidth="1" outlineLevel="1"/>
    <col min="28" max="28" width="13.5703125" customWidth="1"/>
    <col min="29" max="29" width="28.7109375" customWidth="1" outlineLevel="1" collapsed="1"/>
    <col min="30" max="30" width="18.42578125" hidden="1" customWidth="1" outlineLevel="2"/>
    <col min="31" max="31" width="33.28515625" hidden="1" customWidth="1" outlineLevel="2"/>
    <col min="32" max="32" width="19" customWidth="1" outlineLevel="1" collapsed="1"/>
    <col min="33" max="33" width="18.42578125" hidden="1" customWidth="1" outlineLevel="2"/>
    <col min="34" max="34" width="20.28515625" hidden="1" customWidth="1" outlineLevel="2"/>
    <col min="35" max="35" width="27" customWidth="1" outlineLevel="1" collapsed="1"/>
    <col min="36" max="36" width="18.42578125" hidden="1" customWidth="1" outlineLevel="2"/>
    <col min="37" max="37" width="20" hidden="1" customWidth="1" outlineLevel="2"/>
    <col min="38" max="38" width="19" customWidth="1" outlineLevel="1" collapsed="1"/>
    <col min="39" max="39" width="18.42578125" hidden="1" customWidth="1" outlineLevel="2"/>
    <col min="40" max="40" width="21.7109375" hidden="1" customWidth="1" outlineLevel="2"/>
    <col min="42" max="42" width="8.7109375" collapsed="1"/>
    <col min="43" max="43" width="17.7109375" hidden="1" customWidth="1" outlineLevel="1" collapsed="1"/>
    <col min="44" max="44" width="17.7109375" hidden="1" customWidth="1" outlineLevel="2" collapsed="1"/>
    <col min="45" max="52" width="17.7109375" hidden="1" customWidth="1" outlineLevel="3"/>
    <col min="53" max="53" width="17.7109375" hidden="1" customWidth="1" outlineLevel="2" collapsed="1"/>
    <col min="54" max="68" width="17.7109375" hidden="1" customWidth="1" outlineLevel="3"/>
    <col min="69" max="70" width="12.28515625" hidden="1" customWidth="1" outlineLevel="1"/>
    <col min="71" max="74" width="18.42578125" hidden="1" customWidth="1" outlineLevel="3"/>
    <col min="75" max="77" width="19" hidden="1" customWidth="1" outlineLevel="3"/>
    <col min="78" max="79" width="19" hidden="1" customWidth="1" outlineLevel="3" collapsed="1"/>
    <col min="80" max="80" width="19" hidden="1" customWidth="1" outlineLevel="1"/>
    <col min="81" max="81" width="18.42578125" hidden="1" customWidth="1" outlineLevel="2"/>
    <col min="82" max="83" width="19" hidden="1" customWidth="1" outlineLevel="2"/>
    <col min="84" max="85" width="19" hidden="1" customWidth="1" outlineLevel="2" collapsed="1"/>
    <col min="86" max="86" width="18.42578125" hidden="1" customWidth="1" outlineLevel="2"/>
    <col min="87" max="88" width="19" hidden="1" customWidth="1" outlineLevel="2"/>
    <col min="89" max="90" width="19" hidden="1" customWidth="1" outlineLevel="2" collapsed="1"/>
    <col min="91" max="91" width="28.42578125" hidden="1" customWidth="1" outlineLevel="2"/>
    <col min="92" max="93" width="19" hidden="1" customWidth="1" outlineLevel="2"/>
    <col min="94" max="95" width="19" hidden="1" customWidth="1" outlineLevel="2" collapsed="1"/>
    <col min="96" max="96" width="18" hidden="1" customWidth="1" outlineLevel="1"/>
  </cols>
  <sheetData>
    <row r="1" spans="1:98" ht="15.75" thickBot="1" x14ac:dyDescent="0.3">
      <c r="B1"/>
      <c r="C1"/>
      <c r="D1"/>
      <c r="AA1" t="s">
        <v>248</v>
      </c>
    </row>
    <row r="2" spans="1:98" s="1" customFormat="1" ht="105.75" collapsed="1" thickBot="1" x14ac:dyDescent="0.3">
      <c r="B2" s="1161" t="s">
        <v>484</v>
      </c>
      <c r="C2" s="1162"/>
      <c r="D2" s="1162"/>
      <c r="E2" s="1162"/>
      <c r="F2" s="1163"/>
      <c r="G2" s="810"/>
      <c r="H2" s="810"/>
      <c r="I2" s="810"/>
      <c r="J2" s="810"/>
      <c r="K2" s="810"/>
      <c r="L2" s="810"/>
      <c r="AA2" s="406" t="s">
        <v>1776</v>
      </c>
      <c r="AB2" s="789"/>
      <c r="AC2" s="102" t="s">
        <v>529</v>
      </c>
      <c r="AF2" s="102" t="str">
        <f>AC2</f>
        <v>ДО 200</v>
      </c>
      <c r="AI2" s="102" t="str">
        <f>AC2</f>
        <v>ДО 200</v>
      </c>
      <c r="AL2" s="102" t="str">
        <f>AC2</f>
        <v>ДО 200</v>
      </c>
    </row>
    <row r="3" spans="1:98" s="1" customFormat="1" ht="48" hidden="1" outlineLevel="2" thickBot="1" x14ac:dyDescent="0.3">
      <c r="B3" s="1164" t="s">
        <v>306</v>
      </c>
      <c r="C3" s="1165"/>
      <c r="D3" s="1165"/>
      <c r="E3" s="1165"/>
      <c r="F3" s="1166"/>
      <c r="G3" s="46"/>
      <c r="H3" s="46"/>
      <c r="I3" s="46"/>
      <c r="J3" s="46"/>
      <c r="K3" s="46"/>
      <c r="L3" s="46"/>
      <c r="AA3" s="198" t="s">
        <v>4</v>
      </c>
      <c r="AB3" s="326"/>
      <c r="AC3" s="40" t="s">
        <v>7</v>
      </c>
      <c r="AD3" s="40" t="s">
        <v>258</v>
      </c>
      <c r="AE3" s="43" t="s">
        <v>948</v>
      </c>
      <c r="AF3" s="40" t="s">
        <v>7</v>
      </c>
      <c r="AG3" s="40" t="s">
        <v>258</v>
      </c>
      <c r="AH3" s="43" t="s">
        <v>948</v>
      </c>
      <c r="AI3" s="40" t="s">
        <v>7</v>
      </c>
      <c r="AJ3" s="40" t="s">
        <v>258</v>
      </c>
      <c r="AK3" s="43" t="s">
        <v>948</v>
      </c>
      <c r="AL3" s="40" t="s">
        <v>7</v>
      </c>
      <c r="AM3" s="40" t="s">
        <v>258</v>
      </c>
      <c r="AN3" s="43" t="s">
        <v>948</v>
      </c>
    </row>
    <row r="4" spans="1:98" s="1" customFormat="1" hidden="1" outlineLevel="2" x14ac:dyDescent="0.25">
      <c r="B4" s="1164" t="s">
        <v>307</v>
      </c>
      <c r="C4" s="1165"/>
      <c r="D4" s="1165"/>
      <c r="E4" s="1165"/>
      <c r="F4" s="1166"/>
      <c r="G4" s="46"/>
      <c r="H4" s="46"/>
      <c r="I4" s="46"/>
      <c r="J4" s="46"/>
      <c r="K4" s="46"/>
      <c r="L4" s="46"/>
      <c r="AA4" s="416" t="s">
        <v>319</v>
      </c>
      <c r="AB4" s="790"/>
      <c r="AC4" s="47">
        <f t="shared" ref="AC4:AC7" si="0">AD4+AE4</f>
        <v>30</v>
      </c>
      <c r="AD4" s="47">
        <f>SUM(AD5:AD6)</f>
        <v>30</v>
      </c>
      <c r="AE4" s="400">
        <f>SUM(AE5:AE6)</f>
        <v>0</v>
      </c>
      <c r="AF4" s="47">
        <f t="shared" ref="AF4:AF7" si="1">AG4+AH4</f>
        <v>95</v>
      </c>
      <c r="AG4" s="47">
        <f>SUM(AG5:AG6)</f>
        <v>95</v>
      </c>
      <c r="AH4" s="400">
        <f>SUM(AH5:AH6)</f>
        <v>0</v>
      </c>
      <c r="AI4" s="47">
        <f t="shared" ref="AI4:AI7" si="2">AJ4+AK4</f>
        <v>95</v>
      </c>
      <c r="AJ4" s="47">
        <f>SUM(AJ5:AJ6)</f>
        <v>95</v>
      </c>
      <c r="AK4" s="400">
        <f>SUM(AK5:AK6)</f>
        <v>0</v>
      </c>
      <c r="AL4" s="47">
        <f t="shared" ref="AL4:AL7" si="3">AM4+AN4</f>
        <v>0</v>
      </c>
      <c r="AM4" s="47">
        <f>SUM(AM5:AM6)</f>
        <v>0</v>
      </c>
      <c r="AN4" s="400">
        <f>SUM(AN5:AN6)</f>
        <v>0</v>
      </c>
      <c r="CR4" s="123"/>
    </row>
    <row r="5" spans="1:98" s="1" customFormat="1" ht="30.75" hidden="1" outlineLevel="2" thickBot="1" x14ac:dyDescent="0.3">
      <c r="B5" s="1167" t="s">
        <v>485</v>
      </c>
      <c r="C5" s="1168"/>
      <c r="D5" s="1168"/>
      <c r="E5" s="1168"/>
      <c r="F5" s="1169"/>
      <c r="G5" s="46"/>
      <c r="H5" s="46"/>
      <c r="I5" s="46"/>
      <c r="J5" s="46"/>
      <c r="K5" s="46"/>
      <c r="L5" s="46"/>
      <c r="AA5" s="417" t="s">
        <v>5</v>
      </c>
      <c r="AB5" s="791"/>
      <c r="AC5" s="48">
        <f t="shared" si="0"/>
        <v>10</v>
      </c>
      <c r="AD5" s="38">
        <v>10</v>
      </c>
      <c r="AE5" s="401"/>
      <c r="AF5" s="48">
        <f t="shared" si="1"/>
        <v>20</v>
      </c>
      <c r="AG5" s="38">
        <v>20</v>
      </c>
      <c r="AH5" s="401"/>
      <c r="AI5" s="48">
        <f t="shared" si="2"/>
        <v>20</v>
      </c>
      <c r="AJ5" s="38">
        <v>20</v>
      </c>
      <c r="AK5" s="401"/>
      <c r="AL5" s="48">
        <f t="shared" si="3"/>
        <v>0</v>
      </c>
      <c r="AM5" s="38"/>
      <c r="AN5" s="401"/>
      <c r="CR5" s="292"/>
    </row>
    <row r="6" spans="1:98" s="1" customFormat="1" ht="30" hidden="1" outlineLevel="2" x14ac:dyDescent="0.25">
      <c r="B6" s="46"/>
      <c r="C6" s="46"/>
      <c r="D6" s="46"/>
      <c r="E6" s="46"/>
      <c r="F6" s="46"/>
      <c r="G6" s="46"/>
      <c r="H6" s="46"/>
      <c r="I6" s="46"/>
      <c r="J6" s="46"/>
      <c r="K6" s="46"/>
      <c r="L6" s="46"/>
      <c r="AA6" s="417" t="s">
        <v>6</v>
      </c>
      <c r="AB6" s="791"/>
      <c r="AC6" s="48">
        <f t="shared" si="0"/>
        <v>20</v>
      </c>
      <c r="AD6" s="38">
        <v>20</v>
      </c>
      <c r="AE6" s="401"/>
      <c r="AF6" s="48">
        <f t="shared" si="1"/>
        <v>75</v>
      </c>
      <c r="AG6" s="38">
        <v>75</v>
      </c>
      <c r="AH6" s="401"/>
      <c r="AI6" s="48">
        <f t="shared" si="2"/>
        <v>75</v>
      </c>
      <c r="AJ6" s="38">
        <v>75</v>
      </c>
      <c r="AK6" s="401"/>
      <c r="AL6" s="48">
        <f t="shared" si="3"/>
        <v>0</v>
      </c>
      <c r="AM6" s="38"/>
      <c r="AN6" s="401"/>
      <c r="CR6" s="292"/>
    </row>
    <row r="7" spans="1:98" s="1" customFormat="1" ht="45.75" hidden="1" outlineLevel="2" thickBot="1" x14ac:dyDescent="0.3">
      <c r="B7" s="46"/>
      <c r="C7" s="46"/>
      <c r="D7" s="46"/>
      <c r="E7" s="46"/>
      <c r="F7" s="46"/>
      <c r="G7" s="46"/>
      <c r="H7" s="46"/>
      <c r="I7" s="46"/>
      <c r="J7" s="46"/>
      <c r="K7" s="46"/>
      <c r="L7" s="46"/>
      <c r="AA7" s="398" t="s">
        <v>320</v>
      </c>
      <c r="AB7" s="792"/>
      <c r="AC7" s="403">
        <f t="shared" si="0"/>
        <v>5</v>
      </c>
      <c r="AD7" s="404">
        <v>5</v>
      </c>
      <c r="AE7" s="405"/>
      <c r="AF7" s="403">
        <f t="shared" si="1"/>
        <v>5</v>
      </c>
      <c r="AG7" s="404">
        <v>5</v>
      </c>
      <c r="AH7" s="405"/>
      <c r="AI7" s="403">
        <f t="shared" si="2"/>
        <v>5</v>
      </c>
      <c r="AJ7" s="404">
        <v>5</v>
      </c>
      <c r="AK7" s="405"/>
      <c r="AL7" s="403">
        <f t="shared" si="3"/>
        <v>0</v>
      </c>
      <c r="AM7" s="404"/>
      <c r="AN7" s="405"/>
      <c r="CR7" s="292"/>
    </row>
    <row r="8" spans="1:98" s="46" customFormat="1" ht="60.75" thickBot="1" x14ac:dyDescent="0.3">
      <c r="M8" s="1"/>
      <c r="N8" s="1"/>
      <c r="O8" s="1"/>
      <c r="P8" s="1"/>
      <c r="Q8" s="1"/>
      <c r="R8" s="1"/>
      <c r="S8" s="1"/>
      <c r="T8" s="1"/>
      <c r="U8" s="1"/>
      <c r="V8" s="1"/>
      <c r="W8" s="1"/>
      <c r="X8" s="1"/>
      <c r="Y8" s="1"/>
      <c r="Z8" s="1"/>
      <c r="AC8" s="1156" t="s">
        <v>2228</v>
      </c>
      <c r="AD8" s="1157"/>
      <c r="AE8" s="1158"/>
      <c r="AF8" s="1156" t="s">
        <v>531</v>
      </c>
      <c r="AG8" s="1157"/>
      <c r="AH8" s="1158"/>
      <c r="AI8" s="1156" t="s">
        <v>2229</v>
      </c>
      <c r="AJ8" s="1157"/>
      <c r="AK8" s="1158"/>
      <c r="AL8" s="1156"/>
      <c r="AM8" s="1157"/>
      <c r="AN8" s="1158"/>
      <c r="AQ8" s="1"/>
      <c r="AR8" s="1"/>
      <c r="AS8" s="1"/>
      <c r="AT8" s="1"/>
      <c r="AU8" s="1"/>
      <c r="AV8" s="1"/>
      <c r="AW8" s="1"/>
      <c r="AX8" s="1"/>
      <c r="AY8" s="1"/>
      <c r="AZ8" s="1"/>
      <c r="BA8" s="1"/>
      <c r="BB8" s="1"/>
      <c r="BC8" s="1"/>
      <c r="BD8" s="1"/>
      <c r="BE8" s="1"/>
      <c r="BF8" s="1"/>
      <c r="BG8" s="1"/>
      <c r="BH8" s="1"/>
      <c r="BI8" s="1"/>
      <c r="BJ8" s="1"/>
      <c r="BK8" s="1"/>
      <c r="BL8" s="1"/>
      <c r="BM8" s="1"/>
      <c r="BN8" s="1"/>
      <c r="BO8" s="1"/>
      <c r="BP8" s="1"/>
      <c r="BW8" s="622" t="s">
        <v>1433</v>
      </c>
      <c r="BX8" s="622" t="s">
        <v>1433</v>
      </c>
      <c r="CC8" s="622" t="s">
        <v>1432</v>
      </c>
      <c r="CF8" s="622" t="s">
        <v>1431</v>
      </c>
      <c r="CJ8" s="622" t="s">
        <v>1430</v>
      </c>
      <c r="CL8" s="622" t="s">
        <v>1429</v>
      </c>
      <c r="CM8" s="1"/>
    </row>
    <row r="9" spans="1:98" ht="85.15" customHeight="1" thickBot="1" x14ac:dyDescent="0.3">
      <c r="A9" s="130" t="s">
        <v>395</v>
      </c>
      <c r="B9" s="40" t="s">
        <v>8</v>
      </c>
      <c r="C9" s="40" t="s">
        <v>2251</v>
      </c>
      <c r="D9" s="40" t="s">
        <v>2208</v>
      </c>
      <c r="E9" s="40" t="s">
        <v>958</v>
      </c>
      <c r="F9" s="40" t="s">
        <v>247</v>
      </c>
      <c r="G9" s="40" t="s">
        <v>1749</v>
      </c>
      <c r="H9" s="40" t="s">
        <v>1687</v>
      </c>
      <c r="I9" s="40" t="s">
        <v>1688</v>
      </c>
      <c r="J9" s="40" t="s">
        <v>1689</v>
      </c>
      <c r="K9" s="40" t="s">
        <v>1690</v>
      </c>
      <c r="L9" s="40" t="s">
        <v>1691</v>
      </c>
      <c r="M9" s="40" t="s">
        <v>288</v>
      </c>
      <c r="N9" s="45" t="s">
        <v>520</v>
      </c>
      <c r="O9" s="198" t="s">
        <v>500</v>
      </c>
      <c r="P9" s="40" t="s">
        <v>691</v>
      </c>
      <c r="Q9" s="391" t="s">
        <v>692</v>
      </c>
      <c r="R9" s="392" t="s">
        <v>502</v>
      </c>
      <c r="S9" s="40" t="s">
        <v>691</v>
      </c>
      <c r="T9" s="391" t="s">
        <v>692</v>
      </c>
      <c r="U9" s="392" t="s">
        <v>503</v>
      </c>
      <c r="V9" s="40" t="s">
        <v>691</v>
      </c>
      <c r="W9" s="391" t="s">
        <v>692</v>
      </c>
      <c r="X9" s="392" t="s">
        <v>504</v>
      </c>
      <c r="Y9" s="40" t="s">
        <v>691</v>
      </c>
      <c r="Z9" s="43" t="s">
        <v>692</v>
      </c>
      <c r="AA9" s="326" t="s">
        <v>501</v>
      </c>
      <c r="AB9" s="806" t="s">
        <v>1640</v>
      </c>
      <c r="AC9" s="45" t="s">
        <v>500</v>
      </c>
      <c r="AD9" s="228" t="s">
        <v>691</v>
      </c>
      <c r="AE9" s="326" t="s">
        <v>693</v>
      </c>
      <c r="AF9" s="40" t="s">
        <v>502</v>
      </c>
      <c r="AG9" s="228" t="s">
        <v>691</v>
      </c>
      <c r="AH9" s="326" t="s">
        <v>693</v>
      </c>
      <c r="AI9" s="40" t="s">
        <v>503</v>
      </c>
      <c r="AJ9" s="228" t="s">
        <v>691</v>
      </c>
      <c r="AK9" s="326" t="s">
        <v>693</v>
      </c>
      <c r="AL9" s="45" t="s">
        <v>504</v>
      </c>
      <c r="AM9" s="228" t="s">
        <v>691</v>
      </c>
      <c r="AN9" s="326" t="s">
        <v>693</v>
      </c>
      <c r="AP9" s="198" t="s">
        <v>565</v>
      </c>
      <c r="AQ9" s="198" t="s">
        <v>533</v>
      </c>
      <c r="AR9" s="228" t="s">
        <v>549</v>
      </c>
      <c r="AS9" s="45" t="s">
        <v>563</v>
      </c>
      <c r="AT9" s="45" t="s">
        <v>1849</v>
      </c>
      <c r="AU9" s="45" t="s">
        <v>2228</v>
      </c>
      <c r="AV9" s="45" t="s">
        <v>2229</v>
      </c>
      <c r="AW9" s="40" t="s">
        <v>562</v>
      </c>
      <c r="AX9" s="45" t="s">
        <v>530</v>
      </c>
      <c r="AY9" s="45" t="s">
        <v>531</v>
      </c>
      <c r="AZ9" s="43" t="s">
        <v>532</v>
      </c>
      <c r="BA9" s="45" t="s">
        <v>550</v>
      </c>
      <c r="BB9" s="45" t="s">
        <v>534</v>
      </c>
      <c r="BC9" s="40" t="s">
        <v>535</v>
      </c>
      <c r="BD9" s="45" t="s">
        <v>536</v>
      </c>
      <c r="BE9" s="45" t="s">
        <v>548</v>
      </c>
      <c r="BF9" s="43" t="s">
        <v>537</v>
      </c>
      <c r="BG9" s="45" t="s">
        <v>538</v>
      </c>
      <c r="BH9" s="40" t="s">
        <v>539</v>
      </c>
      <c r="BI9" s="45" t="s">
        <v>540</v>
      </c>
      <c r="BJ9" s="45" t="s">
        <v>541</v>
      </c>
      <c r="BK9" s="43" t="s">
        <v>542</v>
      </c>
      <c r="BL9" s="45" t="s">
        <v>543</v>
      </c>
      <c r="BM9" s="40" t="s">
        <v>544</v>
      </c>
      <c r="BN9" s="45" t="s">
        <v>545</v>
      </c>
      <c r="BO9" s="45" t="s">
        <v>546</v>
      </c>
      <c r="BP9" s="43" t="s">
        <v>547</v>
      </c>
      <c r="BQ9" s="198" t="s">
        <v>549</v>
      </c>
      <c r="BR9" s="228"/>
      <c r="BS9" s="45" t="s">
        <v>563</v>
      </c>
      <c r="BT9" s="45" t="s">
        <v>1849</v>
      </c>
      <c r="BU9" s="45" t="s">
        <v>2228</v>
      </c>
      <c r="BV9" s="45" t="s">
        <v>2229</v>
      </c>
      <c r="BW9" s="40" t="s">
        <v>978</v>
      </c>
      <c r="BX9" s="40" t="s">
        <v>562</v>
      </c>
      <c r="BY9" s="45" t="s">
        <v>530</v>
      </c>
      <c r="BZ9" s="45" t="s">
        <v>531</v>
      </c>
      <c r="CA9" s="43" t="s">
        <v>532</v>
      </c>
      <c r="CB9" s="45" t="s">
        <v>550</v>
      </c>
      <c r="CC9" s="45" t="s">
        <v>534</v>
      </c>
      <c r="CD9" s="40" t="s">
        <v>535</v>
      </c>
      <c r="CE9" s="45" t="s">
        <v>536</v>
      </c>
      <c r="CF9" s="45" t="s">
        <v>548</v>
      </c>
      <c r="CG9" s="43" t="s">
        <v>537</v>
      </c>
      <c r="CH9" s="45" t="s">
        <v>538</v>
      </c>
      <c r="CI9" s="40" t="s">
        <v>539</v>
      </c>
      <c r="CJ9" s="45" t="s">
        <v>540</v>
      </c>
      <c r="CK9" s="45" t="s">
        <v>541</v>
      </c>
      <c r="CL9" s="43" t="s">
        <v>542</v>
      </c>
      <c r="CM9" s="45" t="s">
        <v>543</v>
      </c>
      <c r="CN9" s="40" t="s">
        <v>544</v>
      </c>
      <c r="CO9" s="239" t="s">
        <v>545</v>
      </c>
      <c r="CP9" s="239" t="s">
        <v>546</v>
      </c>
      <c r="CQ9" s="240" t="s">
        <v>547</v>
      </c>
      <c r="CR9" s="43" t="s">
        <v>303</v>
      </c>
    </row>
    <row r="10" spans="1:98" ht="15.75" x14ac:dyDescent="0.25">
      <c r="A10" s="53" t="s">
        <v>404</v>
      </c>
      <c r="B10" s="126" t="s">
        <v>1711</v>
      </c>
      <c r="C10" s="126"/>
      <c r="D10" s="126"/>
      <c r="E10" s="489"/>
      <c r="F10" s="49" t="s">
        <v>221</v>
      </c>
      <c r="G10" s="49" t="s">
        <v>221</v>
      </c>
      <c r="H10" s="49" t="s">
        <v>221</v>
      </c>
      <c r="I10" s="49" t="s">
        <v>221</v>
      </c>
      <c r="J10" s="49" t="s">
        <v>221</v>
      </c>
      <c r="K10" s="49" t="s">
        <v>221</v>
      </c>
      <c r="L10" s="49" t="s">
        <v>221</v>
      </c>
      <c r="M10" s="81">
        <f t="shared" ref="M10:Z10" si="4">SUM(M37,M33,M31,M27,M20,M17,M14,M11)</f>
        <v>28</v>
      </c>
      <c r="N10" s="81">
        <f t="shared" si="4"/>
        <v>27</v>
      </c>
      <c r="O10" s="81">
        <f t="shared" si="4"/>
        <v>5</v>
      </c>
      <c r="P10" s="81">
        <f t="shared" si="4"/>
        <v>0</v>
      </c>
      <c r="Q10" s="81">
        <f t="shared" si="4"/>
        <v>3</v>
      </c>
      <c r="R10" s="81">
        <f t="shared" si="4"/>
        <v>18</v>
      </c>
      <c r="S10" s="81">
        <f t="shared" si="4"/>
        <v>0</v>
      </c>
      <c r="T10" s="81">
        <f t="shared" si="4"/>
        <v>8</v>
      </c>
      <c r="U10" s="81">
        <f t="shared" si="4"/>
        <v>4</v>
      </c>
      <c r="V10" s="81">
        <f t="shared" si="4"/>
        <v>0</v>
      </c>
      <c r="W10" s="81">
        <f t="shared" si="4"/>
        <v>2</v>
      </c>
      <c r="X10" s="81">
        <f t="shared" si="4"/>
        <v>0</v>
      </c>
      <c r="Y10" s="81">
        <f t="shared" si="4"/>
        <v>0</v>
      </c>
      <c r="Z10" s="81">
        <f t="shared" si="4"/>
        <v>0</v>
      </c>
      <c r="AA10" s="387" t="str">
        <f>IF(N10&gt;0,"ДА","НЕТ")</f>
        <v>ДА</v>
      </c>
      <c r="AB10" s="387"/>
      <c r="AC10" s="140" t="str">
        <f>IF(O10&gt;0,"ДА","НЕТ")</f>
        <v>ДА</v>
      </c>
      <c r="AD10" s="127"/>
      <c r="AE10" s="140"/>
      <c r="AF10" s="140" t="str">
        <f>IF(R10&gt;0,"ДА","НЕТ")</f>
        <v>ДА</v>
      </c>
      <c r="AG10" s="127"/>
      <c r="AH10" s="140"/>
      <c r="AI10" s="140" t="str">
        <f>IF(U10&gt;0,"ДА","НЕТ")</f>
        <v>ДА</v>
      </c>
      <c r="AJ10" s="127"/>
      <c r="AK10" s="140"/>
      <c r="AL10" s="140" t="str">
        <f>IF(X10&gt;0,"ДА","НЕТ")</f>
        <v>НЕТ</v>
      </c>
      <c r="AM10" s="127"/>
      <c r="AN10" s="140"/>
      <c r="AQ10" s="199"/>
      <c r="AR10" s="229"/>
      <c r="AS10" s="49">
        <f>SUM(AS37,AS33,AS31,AS27,AS20,AS17,AS14,AS11)</f>
        <v>6</v>
      </c>
      <c r="AT10" s="49">
        <f t="shared" ref="AT10:AV10" si="5">SUM(AT37,AT33,AT31,AT27,AT20,AT17,AT14,AT11)</f>
        <v>5</v>
      </c>
      <c r="AU10" s="49">
        <f t="shared" si="5"/>
        <v>5</v>
      </c>
      <c r="AV10" s="49">
        <f t="shared" si="5"/>
        <v>4</v>
      </c>
      <c r="AW10" s="49">
        <f>SUM(AW37,AW33,AW31,AW27,AW20,AW17,AW14,AW11)</f>
        <v>8</v>
      </c>
      <c r="AX10" s="49">
        <f>SUM(AX37,AX33,AX31,AX27,AX20,AX17,AX14,AX11)</f>
        <v>10</v>
      </c>
      <c r="AY10" s="49">
        <f>SUM(AY37,AY33,AY31,AY27,AY20,AY17,AY14,AY11)</f>
        <v>18</v>
      </c>
      <c r="AZ10" s="52">
        <f>SUM(AZ37,AZ33,AZ31,AZ27,AZ20,AZ17,AZ14,AZ11)</f>
        <v>28</v>
      </c>
      <c r="BA10" s="81"/>
      <c r="BB10" s="49">
        <f t="shared" ref="BB10:BP10" si="6">SUM(BB37,BB33,BB31,BB27,BB20,BB17,BB14,BB11)</f>
        <v>6</v>
      </c>
      <c r="BC10" s="49">
        <f t="shared" si="6"/>
        <v>8</v>
      </c>
      <c r="BD10" s="49">
        <f t="shared" si="6"/>
        <v>3</v>
      </c>
      <c r="BE10" s="49">
        <f t="shared" si="6"/>
        <v>3</v>
      </c>
      <c r="BF10" s="52">
        <f t="shared" si="6"/>
        <v>0</v>
      </c>
      <c r="BG10" s="49">
        <f t="shared" si="6"/>
        <v>16</v>
      </c>
      <c r="BH10" s="49">
        <f t="shared" si="6"/>
        <v>16</v>
      </c>
      <c r="BI10" s="49">
        <f t="shared" si="6"/>
        <v>0</v>
      </c>
      <c r="BJ10" s="49">
        <f t="shared" si="6"/>
        <v>26</v>
      </c>
      <c r="BK10" s="52">
        <f t="shared" si="6"/>
        <v>14</v>
      </c>
      <c r="BL10" s="49">
        <f t="shared" si="6"/>
        <v>9</v>
      </c>
      <c r="BM10" s="49">
        <f t="shared" si="6"/>
        <v>0</v>
      </c>
      <c r="BN10" s="49">
        <f t="shared" si="6"/>
        <v>0</v>
      </c>
      <c r="BO10" s="49">
        <f t="shared" si="6"/>
        <v>0</v>
      </c>
      <c r="BP10" s="52">
        <f t="shared" si="6"/>
        <v>0</v>
      </c>
      <c r="BQ10" s="209"/>
      <c r="BR10" s="388"/>
      <c r="BS10" s="140" t="str">
        <f t="shared" ref="BS10:BV10" si="7">IF(AS10&gt;0,"ДА","НЕТ")</f>
        <v>ДА</v>
      </c>
      <c r="BT10" s="140" t="str">
        <f t="shared" si="7"/>
        <v>ДА</v>
      </c>
      <c r="BU10" s="140" t="str">
        <f t="shared" si="7"/>
        <v>ДА</v>
      </c>
      <c r="BV10" s="140" t="str">
        <f t="shared" si="7"/>
        <v>ДА</v>
      </c>
      <c r="BW10" s="140" t="str">
        <f>IF(AS10&gt;0,"ДА","НЕТ")</f>
        <v>ДА</v>
      </c>
      <c r="BX10" s="140" t="str">
        <f>IF(AW10&gt;0,"ДА","НЕТ")</f>
        <v>ДА</v>
      </c>
      <c r="BY10" s="140" t="str">
        <f>IF(AX10&gt;0,"ДА","НЕТ")</f>
        <v>ДА</v>
      </c>
      <c r="BZ10" s="140" t="str">
        <f>IF(AY10&gt;0,"ДА","НЕТ")</f>
        <v>ДА</v>
      </c>
      <c r="CA10" s="208" t="str">
        <f>IF(AZ10&gt;0,"ДА","НЕТ")</f>
        <v>ДА</v>
      </c>
      <c r="CB10" s="222"/>
      <c r="CC10" s="140" t="str">
        <f t="shared" ref="CC10:CQ10" si="8">IF(BB10&gt;0,"ДА","НЕТ")</f>
        <v>ДА</v>
      </c>
      <c r="CD10" s="140" t="str">
        <f t="shared" si="8"/>
        <v>ДА</v>
      </c>
      <c r="CE10" s="140" t="str">
        <f t="shared" si="8"/>
        <v>ДА</v>
      </c>
      <c r="CF10" s="140" t="str">
        <f t="shared" si="8"/>
        <v>ДА</v>
      </c>
      <c r="CG10" s="140" t="str">
        <f t="shared" si="8"/>
        <v>НЕТ</v>
      </c>
      <c r="CH10" s="140" t="str">
        <f t="shared" si="8"/>
        <v>ДА</v>
      </c>
      <c r="CI10" s="140" t="str">
        <f t="shared" si="8"/>
        <v>ДА</v>
      </c>
      <c r="CJ10" s="140" t="str">
        <f t="shared" si="8"/>
        <v>НЕТ</v>
      </c>
      <c r="CK10" s="140" t="str">
        <f t="shared" si="8"/>
        <v>ДА</v>
      </c>
      <c r="CL10" s="140" t="str">
        <f t="shared" si="8"/>
        <v>ДА</v>
      </c>
      <c r="CM10" s="140" t="str">
        <f t="shared" si="8"/>
        <v>ДА</v>
      </c>
      <c r="CN10" s="140" t="str">
        <f t="shared" si="8"/>
        <v>НЕТ</v>
      </c>
      <c r="CO10" s="140" t="str">
        <f t="shared" si="8"/>
        <v>НЕТ</v>
      </c>
      <c r="CP10" s="140" t="str">
        <f t="shared" si="8"/>
        <v>НЕТ</v>
      </c>
      <c r="CQ10" s="140" t="str">
        <f t="shared" si="8"/>
        <v>НЕТ</v>
      </c>
      <c r="CR10" s="128"/>
    </row>
    <row r="11" spans="1:98" ht="15.75" outlineLevel="1" collapsed="1" x14ac:dyDescent="0.25">
      <c r="A11" s="131" t="s">
        <v>396</v>
      </c>
      <c r="B11" s="113" t="s">
        <v>10</v>
      </c>
      <c r="C11" s="113"/>
      <c r="D11" s="113"/>
      <c r="E11" s="490"/>
      <c r="F11" s="111" t="s">
        <v>222</v>
      </c>
      <c r="G11" s="111" t="s">
        <v>563</v>
      </c>
      <c r="H11" s="111" t="s">
        <v>242</v>
      </c>
      <c r="I11" s="111" t="s">
        <v>242</v>
      </c>
      <c r="J11" s="111" t="s">
        <v>242</v>
      </c>
      <c r="K11" s="111" t="s">
        <v>242</v>
      </c>
      <c r="L11" s="111" t="s">
        <v>1692</v>
      </c>
      <c r="M11" s="111">
        <v>2</v>
      </c>
      <c r="N11" s="235">
        <f>SUM(O11,R11,U11,X11)</f>
        <v>6</v>
      </c>
      <c r="O11" s="200">
        <f t="shared" ref="O11" si="9">IF(AC11="ДА",$M11,"")</f>
        <v>2</v>
      </c>
      <c r="P11" s="144"/>
      <c r="Q11" s="357">
        <f>IF(AC11="ДА",ROUNDUP(O11/5,0),0)</f>
        <v>1</v>
      </c>
      <c r="R11" s="356">
        <f>IF(AF11="ДА",$M11,"")</f>
        <v>2</v>
      </c>
      <c r="S11" s="144"/>
      <c r="T11" s="357">
        <f>IF(AF11="ДА",ROUNDUP(R11/5,0),0)</f>
        <v>1</v>
      </c>
      <c r="U11" s="356">
        <f>IF(AI11="ДА",$M11,"")</f>
        <v>2</v>
      </c>
      <c r="V11" s="144"/>
      <c r="W11" s="357">
        <f>IF(AI11="ДА",ROUNDUP(U11/5,0),0)</f>
        <v>1</v>
      </c>
      <c r="X11" s="356" t="str">
        <f>IF(AL11="ДА",$M11,"")</f>
        <v/>
      </c>
      <c r="Y11" s="144"/>
      <c r="Z11" s="201">
        <f>IF(AL11="ДА",ROUNDUP(X11/5,0),0)</f>
        <v>0</v>
      </c>
      <c r="AA11" s="388" t="str">
        <f>IF(OR(AC11="ДА",AF11="ДА",AI11="ДА",AL11="ДА"),"ДА","НЕТ")</f>
        <v>ДА</v>
      </c>
      <c r="AB11" s="388"/>
      <c r="AC11" s="37" t="str">
        <f>IF(AC$8=$BT$9,$BT11,IF(AC$8=$BS$9,$BS11,IF(AC$8=$BU$9,$BU11,IF(AC$8=$BV$9,$BV11,IF(AC$8=$BW$9,$BW11,IF(AC$8=$BX$9,$BX11,IF(AC$8=$BY$9,$BY11,IF(AC$8=$BZ$9,$BZ11,IF(AC$8=$CA$9,$CA11,IF(AC$8=$CC$9,$CC11,IF(AC$8=$CD$9,$CD11,IF(AC$8=$CE$9,$CE11,IF(AC$8=$CF$9,$CF11,IF(AC$8=$CG$9,$CG11,IF(AC$8=$CH$9,$CH11,IF(AC$8=$CI$9,$CI11,IF(AC$8=$CJ$9,$CJ11,IF(AC$8=$CK$9,$CK11,IF(AC$8=$CL$9,$CL11,IF(AC$8=$CM$9,$CM11,IF(AC$8=$CN$9,$CN11,IF(AC$8=$CO$9,$CO11,IF(AC$8=$CP$9,$CP11,IF(AC$8=$CQ$9,$CQ11,"НЕТ"))))))))))))))))))))))))</f>
        <v>ДА</v>
      </c>
      <c r="AD11" s="37" t="str">
        <f>IF(AC11="НЕТ","Не требуется",$CR11)</f>
        <v>Не требуется</v>
      </c>
      <c r="AE11" s="37"/>
      <c r="AF11" s="37" t="str">
        <f t="shared" ref="AF11:AL11" si="10">IF(AF$8=$BT$9,$BT11,IF(AF$8=$BS$9,$BS11,IF(AF$8=$BU$9,$BU11,IF(AF$8=$BV$9,$BV11,IF(AF$8=$BW$9,$BW11,IF(AF$8=$BX$9,$BX11,IF(AF$8=$BY$9,$BY11,IF(AF$8=$BZ$9,$BZ11,IF(AF$8=$CA$9,$CA11,IF(AF$8=$CC$9,$CC11,IF(AF$8=$CD$9,$CD11,IF(AF$8=$CE$9,$CE11,IF(AF$8=$CF$9,$CF11,IF(AF$8=$CG$9,$CG11,IF(AF$8=$CH$9,$CH11,IF(AF$8=$CI$9,$CI11,IF(AF$8=$CJ$9,$CJ11,IF(AF$8=$CK$9,$CK11,IF(AF$8=$CL$9,$CL11,IF(AF$8=$CM$9,$CM11,IF(AF$8=$CN$9,$CN11,IF(AF$8=$CO$9,$CO11,IF(AF$8=$CP$9,$CP11,IF(AF$8=$CQ$9,$CQ11,"НЕТ"))))))))))))))))))))))))</f>
        <v>ДА</v>
      </c>
      <c r="AG11" s="37" t="str">
        <f t="shared" si="10"/>
        <v>НЕТ</v>
      </c>
      <c r="AH11" s="37" t="str">
        <f t="shared" si="10"/>
        <v>НЕТ</v>
      </c>
      <c r="AI11" s="37" t="str">
        <f t="shared" si="10"/>
        <v>ДА</v>
      </c>
      <c r="AJ11" s="37" t="str">
        <f t="shared" si="10"/>
        <v>НЕТ</v>
      </c>
      <c r="AK11" s="37" t="str">
        <f t="shared" si="10"/>
        <v>НЕТ</v>
      </c>
      <c r="AL11" s="37" t="str">
        <f t="shared" si="10"/>
        <v>НЕТ</v>
      </c>
      <c r="AM11" s="37" t="str">
        <f>IF(AL11="НЕТ","Не требуется",$CR11)</f>
        <v>Не требуется</v>
      </c>
      <c r="AN11" s="37"/>
      <c r="AQ11" s="200"/>
      <c r="AR11" s="230"/>
      <c r="AS11" s="144">
        <f>IF(BS11="ДА",$M11,"")</f>
        <v>2</v>
      </c>
      <c r="AT11" s="144">
        <f t="shared" ref="AT11:AW11" si="11">IF(BT11="ДА",$M11,"")</f>
        <v>2</v>
      </c>
      <c r="AU11" s="144">
        <f t="shared" si="11"/>
        <v>2</v>
      </c>
      <c r="AV11" s="144">
        <f t="shared" si="11"/>
        <v>2</v>
      </c>
      <c r="AW11" s="144">
        <f t="shared" si="11"/>
        <v>2</v>
      </c>
      <c r="AX11" s="144">
        <f>IF(BY11="ДА",$M11,"")</f>
        <v>2</v>
      </c>
      <c r="AY11" s="144">
        <f>IF(BZ11="ДА",$M11,"")</f>
        <v>2</v>
      </c>
      <c r="AZ11" s="201">
        <f>IF(CA11="ДА",$M11,"")</f>
        <v>2</v>
      </c>
      <c r="BA11" s="235"/>
      <c r="BB11" s="144">
        <f t="shared" ref="BB11:BP11" si="12">IF(CC11="ДА",$M11,"")</f>
        <v>2</v>
      </c>
      <c r="BC11" s="144">
        <f t="shared" si="12"/>
        <v>2</v>
      </c>
      <c r="BD11" s="144">
        <f t="shared" si="12"/>
        <v>2</v>
      </c>
      <c r="BE11" s="144">
        <f t="shared" si="12"/>
        <v>2</v>
      </c>
      <c r="BF11" s="201" t="str">
        <f t="shared" si="12"/>
        <v/>
      </c>
      <c r="BG11" s="144">
        <f t="shared" si="12"/>
        <v>2</v>
      </c>
      <c r="BH11" s="144">
        <f t="shared" si="12"/>
        <v>2</v>
      </c>
      <c r="BI11" s="144" t="str">
        <f t="shared" si="12"/>
        <v/>
      </c>
      <c r="BJ11" s="144">
        <f t="shared" si="12"/>
        <v>2</v>
      </c>
      <c r="BK11" s="201">
        <f t="shared" si="12"/>
        <v>2</v>
      </c>
      <c r="BL11" s="144">
        <f t="shared" si="12"/>
        <v>2</v>
      </c>
      <c r="BM11" s="144" t="str">
        <f t="shared" si="12"/>
        <v/>
      </c>
      <c r="BN11" s="144" t="str">
        <f t="shared" si="12"/>
        <v/>
      </c>
      <c r="BO11" s="144" t="str">
        <f t="shared" si="12"/>
        <v/>
      </c>
      <c r="BP11" s="201" t="str">
        <f t="shared" si="12"/>
        <v/>
      </c>
      <c r="BQ11" s="209"/>
      <c r="BR11" s="388"/>
      <c r="BS11" s="37" t="s">
        <v>246</v>
      </c>
      <c r="BT11" s="37" t="s">
        <v>246</v>
      </c>
      <c r="BU11" s="37" t="s">
        <v>246</v>
      </c>
      <c r="BV11" s="37" t="s">
        <v>246</v>
      </c>
      <c r="BW11" s="37" t="s">
        <v>246</v>
      </c>
      <c r="BX11" s="37" t="s">
        <v>246</v>
      </c>
      <c r="BY11" s="37" t="s">
        <v>246</v>
      </c>
      <c r="BZ11" s="37" t="s">
        <v>246</v>
      </c>
      <c r="CA11" s="123" t="s">
        <v>246</v>
      </c>
      <c r="CB11" s="223"/>
      <c r="CC11" s="37" t="s">
        <v>246</v>
      </c>
      <c r="CD11" s="37" t="s">
        <v>246</v>
      </c>
      <c r="CE11" s="37" t="s">
        <v>246</v>
      </c>
      <c r="CF11" s="37" t="s">
        <v>246</v>
      </c>
      <c r="CG11" s="37" t="s">
        <v>255</v>
      </c>
      <c r="CH11" s="37" t="s">
        <v>246</v>
      </c>
      <c r="CI11" s="37" t="s">
        <v>246</v>
      </c>
      <c r="CJ11" s="37" t="s">
        <v>255</v>
      </c>
      <c r="CK11" s="37" t="s">
        <v>246</v>
      </c>
      <c r="CL11" s="37" t="s">
        <v>246</v>
      </c>
      <c r="CM11" s="37" t="s">
        <v>246</v>
      </c>
      <c r="CN11" s="37" t="s">
        <v>255</v>
      </c>
      <c r="CO11" s="37" t="s">
        <v>255</v>
      </c>
      <c r="CP11" s="37" t="s">
        <v>255</v>
      </c>
      <c r="CQ11" s="37" t="s">
        <v>255</v>
      </c>
      <c r="CR11" s="123" t="s">
        <v>300</v>
      </c>
      <c r="CS11" s="37" t="s">
        <v>255</v>
      </c>
      <c r="CT11" s="37" t="s">
        <v>255</v>
      </c>
    </row>
    <row r="12" spans="1:98" ht="120" hidden="1" outlineLevel="2" x14ac:dyDescent="0.25">
      <c r="A12" s="132"/>
      <c r="B12" s="250" t="s">
        <v>11</v>
      </c>
      <c r="C12" s="251" t="s">
        <v>2252</v>
      </c>
      <c r="D12" s="251"/>
      <c r="E12" s="251"/>
      <c r="F12" s="251"/>
      <c r="G12" s="251"/>
      <c r="H12" s="251"/>
      <c r="I12" s="251"/>
      <c r="J12" s="251"/>
      <c r="K12" s="251"/>
      <c r="L12" s="251"/>
      <c r="M12" s="251"/>
      <c r="N12" s="251"/>
      <c r="O12" s="327"/>
      <c r="P12" s="251"/>
      <c r="Q12" s="359"/>
      <c r="R12" s="358"/>
      <c r="S12" s="251"/>
      <c r="T12" s="359"/>
      <c r="U12" s="358"/>
      <c r="V12" s="251"/>
      <c r="W12" s="359"/>
      <c r="X12" s="358"/>
      <c r="Y12" s="251"/>
      <c r="Z12" s="328"/>
      <c r="AA12" s="251"/>
      <c r="AB12" s="251"/>
      <c r="AC12" s="251"/>
      <c r="AD12" s="252"/>
      <c r="AE12" s="251"/>
      <c r="AF12" s="251"/>
      <c r="AG12" s="252"/>
      <c r="AH12" s="251"/>
      <c r="AI12" s="251"/>
      <c r="AJ12" s="252"/>
      <c r="AK12" s="251"/>
      <c r="AL12" s="251"/>
      <c r="AM12" s="252"/>
      <c r="AN12" s="251"/>
      <c r="AQ12" s="202"/>
      <c r="AZ12" s="203"/>
      <c r="BF12" s="203"/>
      <c r="BK12" s="203"/>
      <c r="BP12" s="203"/>
      <c r="BQ12" s="202"/>
      <c r="CA12" s="203"/>
      <c r="CR12" s="122"/>
    </row>
    <row r="13" spans="1:98" ht="105" hidden="1" outlineLevel="2" x14ac:dyDescent="0.25">
      <c r="A13" s="132"/>
      <c r="B13" s="250" t="s">
        <v>12</v>
      </c>
      <c r="C13" s="251" t="s">
        <v>2253</v>
      </c>
      <c r="D13" s="251"/>
      <c r="E13" s="251"/>
      <c r="F13" s="251"/>
      <c r="G13" s="251"/>
      <c r="H13" s="251"/>
      <c r="I13" s="251"/>
      <c r="J13" s="251"/>
      <c r="K13" s="251"/>
      <c r="L13" s="251"/>
      <c r="M13" s="251"/>
      <c r="N13" s="251"/>
      <c r="O13" s="327"/>
      <c r="P13" s="251"/>
      <c r="Q13" s="359"/>
      <c r="R13" s="358"/>
      <c r="S13" s="251"/>
      <c r="T13" s="359"/>
      <c r="U13" s="358"/>
      <c r="V13" s="251"/>
      <c r="W13" s="359"/>
      <c r="X13" s="358"/>
      <c r="Y13" s="251"/>
      <c r="Z13" s="328"/>
      <c r="AA13" s="251"/>
      <c r="AB13" s="251"/>
      <c r="AC13" s="251"/>
      <c r="AD13" s="252"/>
      <c r="AE13" s="251"/>
      <c r="AF13" s="251"/>
      <c r="AG13" s="252"/>
      <c r="AH13" s="251"/>
      <c r="AI13" s="251"/>
      <c r="AJ13" s="252"/>
      <c r="AK13" s="251"/>
      <c r="AL13" s="251"/>
      <c r="AM13" s="252"/>
      <c r="AN13" s="251"/>
      <c r="AQ13" s="202"/>
      <c r="AZ13" s="203"/>
      <c r="BF13" s="203"/>
      <c r="BK13" s="203"/>
      <c r="BP13" s="203"/>
      <c r="BQ13" s="202"/>
      <c r="CA13" s="203"/>
      <c r="CR13" s="122"/>
    </row>
    <row r="14" spans="1:98" ht="15.75" outlineLevel="1" collapsed="1" x14ac:dyDescent="0.25">
      <c r="A14" s="131" t="s">
        <v>397</v>
      </c>
      <c r="B14" s="113" t="s">
        <v>14</v>
      </c>
      <c r="C14" s="113"/>
      <c r="D14" s="113"/>
      <c r="E14" s="490"/>
      <c r="F14" s="111" t="s">
        <v>222</v>
      </c>
      <c r="G14" s="111" t="s">
        <v>563</v>
      </c>
      <c r="H14" s="111" t="s">
        <v>242</v>
      </c>
      <c r="I14" s="111" t="s">
        <v>242</v>
      </c>
      <c r="J14" s="111" t="s">
        <v>242</v>
      </c>
      <c r="K14" s="111" t="s">
        <v>242</v>
      </c>
      <c r="L14" s="111" t="s">
        <v>242</v>
      </c>
      <c r="M14" s="111">
        <v>1</v>
      </c>
      <c r="N14" s="235">
        <f t="shared" ref="N14:N37" si="13">SUM(O14,R14,U14,X14)</f>
        <v>2</v>
      </c>
      <c r="O14" s="200">
        <f t="shared" ref="O14" si="14">IF(AC14="ДА",$M14,"")</f>
        <v>1</v>
      </c>
      <c r="P14" s="144"/>
      <c r="Q14" s="357">
        <f>IF(AC14="ДА",ROUNDUP(O14/5,0),0)</f>
        <v>1</v>
      </c>
      <c r="R14" s="356">
        <f>IF(AF14="ДА",$M14,"")</f>
        <v>1</v>
      </c>
      <c r="S14" s="144"/>
      <c r="T14" s="357">
        <f>IF(AF14="ДА",ROUNDUP(R14/5,0),0)</f>
        <v>1</v>
      </c>
      <c r="U14" s="356" t="str">
        <f>IF(AI14="ДА",$M14,"")</f>
        <v/>
      </c>
      <c r="V14" s="144"/>
      <c r="W14" s="357">
        <f>IF(AI14="ДА",ROUNDUP(U14/5,0),0)</f>
        <v>0</v>
      </c>
      <c r="X14" s="356" t="str">
        <f>IF(AL14="ДА",$M14,"")</f>
        <v/>
      </c>
      <c r="Y14" s="144"/>
      <c r="Z14" s="201">
        <f>IF(AL14="ДА",ROUNDUP(X14/5,0),0)</f>
        <v>0</v>
      </c>
      <c r="AA14" s="388" t="str">
        <f>IF(OR(AC14="ДА",AF14="ДА",AI14="ДА",AL14="ДА"),"ДА","НЕТ")</f>
        <v>ДА</v>
      </c>
      <c r="AB14" s="388"/>
      <c r="AC14" s="37" t="str">
        <f>IF(AC$8=$BT$9,$BT14,IF(AC$8=$BS$9,$BS14,IF(AC$8=$BU$9,$BU14,IF(AC$8=$BV$9,$BV14,IF(AC$8=$BW$9,$BW14,IF(AC$8=$BX$9,$BX14,IF(AC$8=$BY$9,$BY14,IF(AC$8=$BZ$9,$BZ14,IF(AC$8=$CA$9,$CA14,IF(AC$8=$CC$9,$CC14,IF(AC$8=$CD$9,$CD14,IF(AC$8=$CE$9,$CE14,IF(AC$8=$CF$9,$CF14,IF(AC$8=$CG$9,$CG14,IF(AC$8=$CH$9,$CH14,IF(AC$8=$CI$9,$CI14,IF(AC$8=$CJ$9,$CJ14,IF(AC$8=$CK$9,$CK14,IF(AC$8=$CL$9,$CL14,IF(AC$8=$CM$9,$CM14,IF(AC$8=$CN$9,$CN14,IF(AC$8=$CO$9,$CO14,IF(AC$8=$CP$9,$CP14,IF(AC$8=$CQ$9,$CQ14,"НЕТ"))))))))))))))))))))))))</f>
        <v>ДА</v>
      </c>
      <c r="AD14" s="37" t="str">
        <f>IF(AC14="НЕТ","Не требуется",$CR14)</f>
        <v>Не требуется</v>
      </c>
      <c r="AE14" s="37"/>
      <c r="AF14" s="37" t="str">
        <f t="shared" ref="AF14:AL14" si="15">IF(AF$8=$BT$9,$BT14,IF(AF$8=$BS$9,$BS14,IF(AF$8=$BU$9,$BU14,IF(AF$8=$BV$9,$BV14,IF(AF$8=$BW$9,$BW14,IF(AF$8=$BX$9,$BX14,IF(AF$8=$BY$9,$BY14,IF(AF$8=$BZ$9,$BZ14,IF(AF$8=$CA$9,$CA14,IF(AF$8=$CC$9,$CC14,IF(AF$8=$CD$9,$CD14,IF(AF$8=$CE$9,$CE14,IF(AF$8=$CF$9,$CF14,IF(AF$8=$CG$9,$CG14,IF(AF$8=$CH$9,$CH14,IF(AF$8=$CI$9,$CI14,IF(AF$8=$CJ$9,$CJ14,IF(AF$8=$CK$9,$CK14,IF(AF$8=$CL$9,$CL14,IF(AF$8=$CM$9,$CM14,IF(AF$8=$CN$9,$CN14,IF(AF$8=$CO$9,$CO14,IF(AF$8=$CP$9,$CP14,IF(AF$8=$CQ$9,$CQ14,"НЕТ"))))))))))))))))))))))))</f>
        <v>ДА</v>
      </c>
      <c r="AG14" s="37" t="str">
        <f t="shared" si="15"/>
        <v>НЕТ</v>
      </c>
      <c r="AH14" s="37" t="str">
        <f t="shared" si="15"/>
        <v>НЕТ</v>
      </c>
      <c r="AI14" s="37" t="str">
        <f t="shared" si="15"/>
        <v>НЕТ</v>
      </c>
      <c r="AJ14" s="37" t="str">
        <f t="shared" si="15"/>
        <v>НЕТ</v>
      </c>
      <c r="AK14" s="37" t="str">
        <f t="shared" si="15"/>
        <v>НЕТ</v>
      </c>
      <c r="AL14" s="37" t="str">
        <f t="shared" si="15"/>
        <v>НЕТ</v>
      </c>
      <c r="AM14" s="37" t="str">
        <f>IF(AL14="НЕТ","Не требуется",$CR14)</f>
        <v>Не требуется</v>
      </c>
      <c r="AN14" s="37"/>
      <c r="AQ14" s="200"/>
      <c r="AR14" s="230"/>
      <c r="AS14" s="144">
        <f>IF(BS14="ДА",$M14,"")</f>
        <v>1</v>
      </c>
      <c r="AT14" s="144">
        <f t="shared" ref="AT14:AV14" si="16">IF(BT14="ДА",$M14,"")</f>
        <v>1</v>
      </c>
      <c r="AU14" s="144">
        <f t="shared" si="16"/>
        <v>1</v>
      </c>
      <c r="AV14" s="144" t="str">
        <f t="shared" si="16"/>
        <v/>
      </c>
      <c r="AW14" s="144">
        <f>IF(BX14="ДА",$M14,"")</f>
        <v>1</v>
      </c>
      <c r="AX14" s="144">
        <f>IF(BY14="ДА",$M14,"")</f>
        <v>1</v>
      </c>
      <c r="AY14" s="144">
        <f>IF(BZ14="ДА",$M14,"")</f>
        <v>1</v>
      </c>
      <c r="AZ14" s="201">
        <f>IF(CA14="ДА",$M14,"")</f>
        <v>1</v>
      </c>
      <c r="BA14" s="235"/>
      <c r="BB14" s="144">
        <f t="shared" ref="BB14:BP14" si="17">IF(CC14="ДА",$M14,"")</f>
        <v>1</v>
      </c>
      <c r="BC14" s="144">
        <f t="shared" si="17"/>
        <v>1</v>
      </c>
      <c r="BD14" s="144">
        <f t="shared" si="17"/>
        <v>1</v>
      </c>
      <c r="BE14" s="144">
        <f t="shared" si="17"/>
        <v>1</v>
      </c>
      <c r="BF14" s="201" t="str">
        <f t="shared" si="17"/>
        <v/>
      </c>
      <c r="BG14" s="144">
        <f t="shared" si="17"/>
        <v>1</v>
      </c>
      <c r="BH14" s="144">
        <f t="shared" si="17"/>
        <v>1</v>
      </c>
      <c r="BI14" s="144" t="str">
        <f t="shared" si="17"/>
        <v/>
      </c>
      <c r="BJ14" s="144">
        <f t="shared" si="17"/>
        <v>1</v>
      </c>
      <c r="BK14" s="201">
        <f t="shared" si="17"/>
        <v>1</v>
      </c>
      <c r="BL14" s="144">
        <f t="shared" si="17"/>
        <v>1</v>
      </c>
      <c r="BM14" s="144" t="str">
        <f t="shared" si="17"/>
        <v/>
      </c>
      <c r="BN14" s="144" t="str">
        <f t="shared" si="17"/>
        <v/>
      </c>
      <c r="BO14" s="144" t="str">
        <f t="shared" si="17"/>
        <v/>
      </c>
      <c r="BP14" s="201" t="str">
        <f t="shared" si="17"/>
        <v/>
      </c>
      <c r="BQ14" s="209"/>
      <c r="BR14" s="388"/>
      <c r="BS14" s="37" t="s">
        <v>246</v>
      </c>
      <c r="BT14" s="37" t="s">
        <v>246</v>
      </c>
      <c r="BU14" s="37" t="s">
        <v>246</v>
      </c>
      <c r="BV14" s="37" t="s">
        <v>255</v>
      </c>
      <c r="BW14" s="37" t="s">
        <v>246</v>
      </c>
      <c r="BX14" s="37" t="s">
        <v>246</v>
      </c>
      <c r="BY14" s="37" t="s">
        <v>246</v>
      </c>
      <c r="BZ14" s="37" t="s">
        <v>246</v>
      </c>
      <c r="CA14" s="123" t="s">
        <v>246</v>
      </c>
      <c r="CB14" s="223"/>
      <c r="CC14" s="37" t="s">
        <v>246</v>
      </c>
      <c r="CD14" s="37" t="s">
        <v>246</v>
      </c>
      <c r="CE14" s="37" t="s">
        <v>246</v>
      </c>
      <c r="CF14" s="37" t="s">
        <v>246</v>
      </c>
      <c r="CG14" s="37" t="s">
        <v>255</v>
      </c>
      <c r="CH14" s="37" t="s">
        <v>246</v>
      </c>
      <c r="CI14" s="37" t="s">
        <v>246</v>
      </c>
      <c r="CJ14" s="37" t="s">
        <v>255</v>
      </c>
      <c r="CK14" s="37" t="s">
        <v>246</v>
      </c>
      <c r="CL14" s="37" t="s">
        <v>246</v>
      </c>
      <c r="CM14" s="37" t="s">
        <v>246</v>
      </c>
      <c r="CN14" s="37" t="s">
        <v>255</v>
      </c>
      <c r="CO14" s="37" t="s">
        <v>255</v>
      </c>
      <c r="CP14" s="37" t="s">
        <v>255</v>
      </c>
      <c r="CQ14" s="37" t="s">
        <v>255</v>
      </c>
      <c r="CR14" s="123" t="s">
        <v>300</v>
      </c>
    </row>
    <row r="15" spans="1:98" ht="90" hidden="1" outlineLevel="2" x14ac:dyDescent="0.25">
      <c r="A15" s="133"/>
      <c r="B15" s="253" t="s">
        <v>15</v>
      </c>
      <c r="C15" s="254" t="s">
        <v>2254</v>
      </c>
      <c r="D15" s="254"/>
      <c r="E15" s="254"/>
      <c r="F15" s="254"/>
      <c r="G15" s="254"/>
      <c r="H15" s="254"/>
      <c r="I15" s="254"/>
      <c r="J15" s="254"/>
      <c r="K15" s="254"/>
      <c r="L15" s="254"/>
      <c r="M15" s="254"/>
      <c r="N15" s="235">
        <f t="shared" si="13"/>
        <v>0</v>
      </c>
      <c r="O15" s="329"/>
      <c r="P15" s="254"/>
      <c r="Q15" s="361"/>
      <c r="R15" s="360"/>
      <c r="S15" s="254"/>
      <c r="T15" s="361"/>
      <c r="U15" s="360"/>
      <c r="V15" s="254"/>
      <c r="W15" s="361"/>
      <c r="X15" s="360"/>
      <c r="Y15" s="254"/>
      <c r="Z15" s="330"/>
      <c r="AA15" s="254"/>
      <c r="AB15" s="254"/>
      <c r="AC15" s="254"/>
      <c r="AD15" s="255"/>
      <c r="AE15" s="254"/>
      <c r="AF15" s="254"/>
      <c r="AG15" s="255"/>
      <c r="AH15" s="254"/>
      <c r="AI15" s="254"/>
      <c r="AJ15" s="255"/>
      <c r="AK15" s="254"/>
      <c r="AL15" s="254"/>
      <c r="AM15" s="255"/>
      <c r="AN15" s="254"/>
      <c r="AQ15" s="202"/>
      <c r="AZ15" s="203"/>
      <c r="BF15" s="203"/>
      <c r="BK15" s="203"/>
      <c r="BP15" s="203"/>
      <c r="BQ15" s="202"/>
      <c r="CA15" s="203"/>
      <c r="CR15" s="122"/>
    </row>
    <row r="16" spans="1:98" ht="90" hidden="1" outlineLevel="2" x14ac:dyDescent="0.25">
      <c r="A16" s="133"/>
      <c r="B16" s="253" t="s">
        <v>1665</v>
      </c>
      <c r="C16" s="254" t="s">
        <v>2254</v>
      </c>
      <c r="D16" s="254"/>
      <c r="E16" s="254"/>
      <c r="F16" s="254"/>
      <c r="G16" s="254"/>
      <c r="H16" s="254"/>
      <c r="I16" s="254"/>
      <c r="J16" s="254"/>
      <c r="K16" s="254"/>
      <c r="L16" s="254"/>
      <c r="M16" s="254"/>
      <c r="N16" s="235">
        <f t="shared" si="13"/>
        <v>0</v>
      </c>
      <c r="O16" s="329"/>
      <c r="P16" s="254"/>
      <c r="Q16" s="361"/>
      <c r="R16" s="360"/>
      <c r="S16" s="254"/>
      <c r="T16" s="361"/>
      <c r="U16" s="360"/>
      <c r="V16" s="254"/>
      <c r="W16" s="361"/>
      <c r="X16" s="360"/>
      <c r="Y16" s="254"/>
      <c r="Z16" s="330"/>
      <c r="AA16" s="254"/>
      <c r="AB16" s="254"/>
      <c r="AC16" s="254"/>
      <c r="AD16" s="255"/>
      <c r="AE16" s="254"/>
      <c r="AF16" s="254"/>
      <c r="AG16" s="255"/>
      <c r="AH16" s="254"/>
      <c r="AI16" s="254"/>
      <c r="AJ16" s="255"/>
      <c r="AK16" s="254"/>
      <c r="AL16" s="254"/>
      <c r="AM16" s="255"/>
      <c r="AN16" s="254"/>
      <c r="AQ16" s="202"/>
      <c r="AZ16" s="203"/>
      <c r="BF16" s="203"/>
      <c r="BK16" s="203"/>
      <c r="BP16" s="203"/>
      <c r="BQ16" s="202"/>
      <c r="CA16" s="203"/>
      <c r="CR16" s="122"/>
    </row>
    <row r="17" spans="1:96" ht="63" outlineLevel="1" collapsed="1" x14ac:dyDescent="0.25">
      <c r="A17" s="134" t="s">
        <v>398</v>
      </c>
      <c r="B17" s="114" t="s">
        <v>1702</v>
      </c>
      <c r="C17" s="1022" t="s">
        <v>243</v>
      </c>
      <c r="D17" s="114"/>
      <c r="E17" s="491"/>
      <c r="F17" s="808" t="s">
        <v>326</v>
      </c>
      <c r="G17" s="808" t="s">
        <v>1754</v>
      </c>
      <c r="H17" s="111" t="s">
        <v>243</v>
      </c>
      <c r="I17" s="111" t="s">
        <v>243</v>
      </c>
      <c r="J17" s="111" t="s">
        <v>242</v>
      </c>
      <c r="K17" s="111" t="s">
        <v>242</v>
      </c>
      <c r="L17" s="111" t="s">
        <v>1693</v>
      </c>
      <c r="M17" s="109">
        <v>2</v>
      </c>
      <c r="N17" s="235">
        <f t="shared" si="13"/>
        <v>2</v>
      </c>
      <c r="O17" s="200" t="str">
        <f t="shared" ref="O17" si="18">IF(AC17="ДА",$M17,"")</f>
        <v/>
      </c>
      <c r="P17" s="144"/>
      <c r="Q17" s="357">
        <f>IF(AC17="ДА",ROUNDUP(O17/5,0),0)</f>
        <v>0</v>
      </c>
      <c r="R17" s="356">
        <f>IF(AF17="ДА",$M17,"")</f>
        <v>2</v>
      </c>
      <c r="S17" s="144"/>
      <c r="T17" s="357">
        <f>IF(AF17="ДА",ROUNDUP(R17/5,0),0)</f>
        <v>1</v>
      </c>
      <c r="U17" s="356" t="str">
        <f>IF(AI17="ДА",$M17,"")</f>
        <v/>
      </c>
      <c r="V17" s="144"/>
      <c r="W17" s="357">
        <f>IF(AI17="ДА",ROUNDUP(U17/5,0),0)</f>
        <v>0</v>
      </c>
      <c r="X17" s="356" t="str">
        <f>IF(AL17="ДА",$M17,"")</f>
        <v/>
      </c>
      <c r="Y17" s="144"/>
      <c r="Z17" s="201">
        <f>IF(AL17="ДА",ROUNDUP(X17/5,0),0)</f>
        <v>0</v>
      </c>
      <c r="AA17" s="388" t="str">
        <f>IF(OR(AC17="ДА",AF17="ДА",AI17="ДА",AL17="ДА"),"ДА","НЕТ")</f>
        <v>ДА</v>
      </c>
      <c r="AB17" s="388"/>
      <c r="AC17" s="37" t="str">
        <f>IF(AC$8=$BT$9,$BT17,IF(AC$8=$BS$9,$BS17,IF(AC$8=$BU$9,$BU17,IF(AC$8=$BV$9,$BV17,IF(AC$8=$BW$9,$BW17,IF(AC$8=$BX$9,$BX17,IF(AC$8=$BY$9,$BY17,IF(AC$8=$BZ$9,$BZ17,IF(AC$8=$CA$9,$CA17,IF(AC$8=$CC$9,$CC17,IF(AC$8=$CD$9,$CD17,IF(AC$8=$CE$9,$CE17,IF(AC$8=$CF$9,$CF17,IF(AC$8=$CG$9,$CG17,IF(AC$8=$CH$9,$CH17,IF(AC$8=$CI$9,$CI17,IF(AC$8=$CJ$9,$CJ17,IF(AC$8=$CK$9,$CK17,IF(AC$8=$CL$9,$CL17,IF(AC$8=$CM$9,$CM17,IF(AC$8=$CN$9,$CN17,IF(AC$8=$CO$9,$CO17,IF(AC$8=$CP$9,$CP17,IF(AC$8=$CQ$9,$CQ17,"НЕТ"))))))))))))))))))))))))</f>
        <v>НЕТ</v>
      </c>
      <c r="AD17" s="37" t="str">
        <f>IF(AC17="НЕТ","Не требуется",$CR17)</f>
        <v>Не требуется</v>
      </c>
      <c r="AE17" s="37"/>
      <c r="AF17" s="37" t="str">
        <f t="shared" ref="AF17:AL17" si="19">IF(AF$8=$BT$9,$BT17,IF(AF$8=$BS$9,$BS17,IF(AF$8=$BU$9,$BU17,IF(AF$8=$BV$9,$BV17,IF(AF$8=$BW$9,$BW17,IF(AF$8=$BX$9,$BX17,IF(AF$8=$BY$9,$BY17,IF(AF$8=$BZ$9,$BZ17,IF(AF$8=$CA$9,$CA17,IF(AF$8=$CC$9,$CC17,IF(AF$8=$CD$9,$CD17,IF(AF$8=$CE$9,$CE17,IF(AF$8=$CF$9,$CF17,IF(AF$8=$CG$9,$CG17,IF(AF$8=$CH$9,$CH17,IF(AF$8=$CI$9,$CI17,IF(AF$8=$CJ$9,$CJ17,IF(AF$8=$CK$9,$CK17,IF(AF$8=$CL$9,$CL17,IF(AF$8=$CM$9,$CM17,IF(AF$8=$CN$9,$CN17,IF(AF$8=$CO$9,$CO17,IF(AF$8=$CP$9,$CP17,IF(AF$8=$CQ$9,$CQ17,"НЕТ"))))))))))))))))))))))))</f>
        <v>ДА</v>
      </c>
      <c r="AG17" s="37" t="str">
        <f t="shared" si="19"/>
        <v>НЕТ</v>
      </c>
      <c r="AH17" s="37" t="str">
        <f t="shared" si="19"/>
        <v>НЕТ</v>
      </c>
      <c r="AI17" s="37" t="str">
        <f t="shared" si="19"/>
        <v>НЕТ</v>
      </c>
      <c r="AJ17" s="37" t="str">
        <f t="shared" si="19"/>
        <v>НЕТ</v>
      </c>
      <c r="AK17" s="37" t="str">
        <f t="shared" si="19"/>
        <v>НЕТ</v>
      </c>
      <c r="AL17" s="37" t="str">
        <f t="shared" si="19"/>
        <v>НЕТ</v>
      </c>
      <c r="AM17" s="37" t="str">
        <f>IF(AL17="НЕТ","Не требуется",$CR17)</f>
        <v>Не требуется</v>
      </c>
      <c r="AN17" s="37"/>
      <c r="AQ17" s="200"/>
      <c r="AR17" s="230"/>
      <c r="AS17" s="144" t="str">
        <f t="shared" ref="AS17:AV17" si="20">IF(BT17="ДА",$M17,"")</f>
        <v/>
      </c>
      <c r="AT17" s="144" t="str">
        <f t="shared" si="20"/>
        <v/>
      </c>
      <c r="AU17" s="144" t="str">
        <f t="shared" si="20"/>
        <v/>
      </c>
      <c r="AV17" s="144" t="str">
        <f t="shared" si="20"/>
        <v/>
      </c>
      <c r="AW17" s="144">
        <f>IF(BX17="ДА",$M17,"")</f>
        <v>2</v>
      </c>
      <c r="AX17" s="144">
        <f>IF(BY17="ДА",$M17,"")</f>
        <v>2</v>
      </c>
      <c r="AY17" s="144">
        <f>IF(BZ17="ДА",$M17,"")</f>
        <v>2</v>
      </c>
      <c r="AZ17" s="201">
        <f>IF(CA17="ДА",$M17,"")</f>
        <v>2</v>
      </c>
      <c r="BA17" s="235"/>
      <c r="BB17" s="144" t="str">
        <f t="shared" ref="BB17:BP17" si="21">IF(CC17="ДА",$M17,"")</f>
        <v/>
      </c>
      <c r="BC17" s="144" t="str">
        <f t="shared" si="21"/>
        <v/>
      </c>
      <c r="BD17" s="144" t="str">
        <f t="shared" si="21"/>
        <v/>
      </c>
      <c r="BE17" s="144" t="str">
        <f t="shared" si="21"/>
        <v/>
      </c>
      <c r="BF17" s="201" t="str">
        <f t="shared" si="21"/>
        <v/>
      </c>
      <c r="BG17" s="144" t="str">
        <f t="shared" si="21"/>
        <v/>
      </c>
      <c r="BH17" s="144" t="str">
        <f t="shared" si="21"/>
        <v/>
      </c>
      <c r="BI17" s="144" t="str">
        <f t="shared" si="21"/>
        <v/>
      </c>
      <c r="BJ17" s="144" t="str">
        <f t="shared" si="21"/>
        <v/>
      </c>
      <c r="BK17" s="201" t="str">
        <f t="shared" si="21"/>
        <v/>
      </c>
      <c r="BL17" s="144">
        <f t="shared" si="21"/>
        <v>2</v>
      </c>
      <c r="BM17" s="144" t="str">
        <f t="shared" si="21"/>
        <v/>
      </c>
      <c r="BN17" s="144" t="str">
        <f t="shared" si="21"/>
        <v/>
      </c>
      <c r="BO17" s="144" t="str">
        <f t="shared" si="21"/>
        <v/>
      </c>
      <c r="BP17" s="201" t="str">
        <f t="shared" si="21"/>
        <v/>
      </c>
      <c r="BQ17" s="209"/>
      <c r="BR17" s="388"/>
      <c r="BS17" s="37" t="s">
        <v>255</v>
      </c>
      <c r="BT17" s="37" t="s">
        <v>255</v>
      </c>
      <c r="BU17" s="37" t="s">
        <v>255</v>
      </c>
      <c r="BV17" s="37" t="s">
        <v>255</v>
      </c>
      <c r="BW17" s="37" t="s">
        <v>255</v>
      </c>
      <c r="BX17" s="37" t="s">
        <v>246</v>
      </c>
      <c r="BY17" s="37" t="s">
        <v>246</v>
      </c>
      <c r="BZ17" s="37" t="s">
        <v>246</v>
      </c>
      <c r="CA17" s="123" t="s">
        <v>246</v>
      </c>
      <c r="CB17" s="223"/>
      <c r="CC17" s="37" t="s">
        <v>255</v>
      </c>
      <c r="CD17" s="37" t="s">
        <v>255</v>
      </c>
      <c r="CE17" s="37" t="s">
        <v>255</v>
      </c>
      <c r="CF17" s="37" t="s">
        <v>255</v>
      </c>
      <c r="CG17" s="37" t="s">
        <v>255</v>
      </c>
      <c r="CH17" s="37" t="s">
        <v>255</v>
      </c>
      <c r="CI17" s="37" t="s">
        <v>255</v>
      </c>
      <c r="CJ17" s="37" t="s">
        <v>255</v>
      </c>
      <c r="CK17" s="37" t="s">
        <v>255</v>
      </c>
      <c r="CL17" s="37" t="s">
        <v>255</v>
      </c>
      <c r="CM17" s="37" t="s">
        <v>246</v>
      </c>
      <c r="CN17" s="37" t="s">
        <v>255</v>
      </c>
      <c r="CO17" s="37" t="s">
        <v>255</v>
      </c>
      <c r="CP17" s="37" t="s">
        <v>255</v>
      </c>
      <c r="CQ17" s="37" t="s">
        <v>255</v>
      </c>
      <c r="CR17" s="123" t="s">
        <v>302</v>
      </c>
    </row>
    <row r="18" spans="1:96" hidden="1" outlineLevel="2" x14ac:dyDescent="0.25">
      <c r="A18" s="133"/>
      <c r="B18" s="253" t="s">
        <v>17</v>
      </c>
      <c r="C18" s="260" t="s">
        <v>243</v>
      </c>
      <c r="D18" s="254"/>
      <c r="E18" s="254"/>
      <c r="F18" s="254"/>
      <c r="G18" s="254"/>
      <c r="H18" s="254"/>
      <c r="I18" s="254"/>
      <c r="J18" s="254"/>
      <c r="K18" s="254"/>
      <c r="L18" s="254"/>
      <c r="M18" s="254"/>
      <c r="N18" s="235">
        <f t="shared" si="13"/>
        <v>0</v>
      </c>
      <c r="O18" s="329"/>
      <c r="P18" s="254"/>
      <c r="Q18" s="361"/>
      <c r="R18" s="360"/>
      <c r="S18" s="254"/>
      <c r="T18" s="361"/>
      <c r="U18" s="360"/>
      <c r="V18" s="254"/>
      <c r="W18" s="361"/>
      <c r="X18" s="360"/>
      <c r="Y18" s="254"/>
      <c r="Z18" s="330"/>
      <c r="AA18" s="254"/>
      <c r="AB18" s="254"/>
      <c r="AC18" s="254"/>
      <c r="AD18" s="255"/>
      <c r="AE18" s="254"/>
      <c r="AF18" s="254"/>
      <c r="AG18" s="255"/>
      <c r="AH18" s="254"/>
      <c r="AI18" s="254"/>
      <c r="AJ18" s="255"/>
      <c r="AK18" s="254"/>
      <c r="AL18" s="254"/>
      <c r="AM18" s="255"/>
      <c r="AN18" s="254"/>
      <c r="AQ18" s="202"/>
      <c r="AZ18" s="203"/>
      <c r="BF18" s="203"/>
      <c r="BK18" s="203"/>
      <c r="BP18" s="203"/>
      <c r="BQ18" s="202"/>
      <c r="CA18" s="203"/>
      <c r="CR18" s="125"/>
    </row>
    <row r="19" spans="1:96" ht="30" hidden="1" outlineLevel="2" x14ac:dyDescent="0.25">
      <c r="A19" s="133"/>
      <c r="B19" s="253" t="s">
        <v>327</v>
      </c>
      <c r="C19" s="260" t="s">
        <v>243</v>
      </c>
      <c r="D19" s="254"/>
      <c r="E19" s="254"/>
      <c r="F19" s="254"/>
      <c r="G19" s="254"/>
      <c r="H19" s="254"/>
      <c r="I19" s="254"/>
      <c r="J19" s="254"/>
      <c r="K19" s="254"/>
      <c r="L19" s="254"/>
      <c r="M19" s="254"/>
      <c r="N19" s="235">
        <f t="shared" si="13"/>
        <v>0</v>
      </c>
      <c r="O19" s="329"/>
      <c r="P19" s="254"/>
      <c r="Q19" s="361"/>
      <c r="R19" s="360"/>
      <c r="S19" s="254"/>
      <c r="T19" s="361"/>
      <c r="U19" s="360"/>
      <c r="V19" s="254"/>
      <c r="W19" s="361"/>
      <c r="X19" s="360"/>
      <c r="Y19" s="254"/>
      <c r="Z19" s="330"/>
      <c r="AA19" s="254"/>
      <c r="AB19" s="254"/>
      <c r="AC19" s="254"/>
      <c r="AD19" s="255"/>
      <c r="AE19" s="254"/>
      <c r="AF19" s="254"/>
      <c r="AG19" s="255"/>
      <c r="AH19" s="254"/>
      <c r="AI19" s="254"/>
      <c r="AJ19" s="255"/>
      <c r="AK19" s="254"/>
      <c r="AL19" s="254"/>
      <c r="AM19" s="255"/>
      <c r="AN19" s="254"/>
      <c r="AQ19" s="202"/>
      <c r="AZ19" s="203"/>
      <c r="BF19" s="203"/>
      <c r="BK19" s="203"/>
      <c r="BP19" s="203"/>
      <c r="BQ19" s="202"/>
      <c r="CA19" s="203"/>
      <c r="CR19" s="125"/>
    </row>
    <row r="20" spans="1:96" ht="31.5" outlineLevel="1" collapsed="1" x14ac:dyDescent="0.25">
      <c r="A20" s="134" t="s">
        <v>399</v>
      </c>
      <c r="B20" s="114" t="s">
        <v>566</v>
      </c>
      <c r="C20" s="1022" t="s">
        <v>243</v>
      </c>
      <c r="D20" s="114"/>
      <c r="E20" s="491"/>
      <c r="F20" s="109" t="s">
        <v>326</v>
      </c>
      <c r="G20" s="120" t="s">
        <v>579</v>
      </c>
      <c r="H20" s="111" t="s">
        <v>243</v>
      </c>
      <c r="I20" s="111" t="s">
        <v>243</v>
      </c>
      <c r="J20" s="111" t="s">
        <v>242</v>
      </c>
      <c r="K20" s="111" t="s">
        <v>242</v>
      </c>
      <c r="L20" s="111" t="s">
        <v>1693</v>
      </c>
      <c r="M20" s="109">
        <v>8</v>
      </c>
      <c r="N20" s="235">
        <f t="shared" si="13"/>
        <v>8</v>
      </c>
      <c r="O20" s="200" t="str">
        <f t="shared" ref="O20" si="22">IF(AC20="ДА",$M20,"")</f>
        <v/>
      </c>
      <c r="P20" s="144"/>
      <c r="Q20" s="357">
        <f>IF(AC20="ДА",ROUNDUP(O20/5,0),0)</f>
        <v>0</v>
      </c>
      <c r="R20" s="356">
        <f>IF(AF20="ДА",$M20,"")</f>
        <v>8</v>
      </c>
      <c r="S20" s="144"/>
      <c r="T20" s="357">
        <f>IF(AF20="ДА",ROUNDUP(R20/5,0),0)</f>
        <v>2</v>
      </c>
      <c r="U20" s="356" t="str">
        <f>IF(AI20="ДА",$M20,"")</f>
        <v/>
      </c>
      <c r="V20" s="144"/>
      <c r="W20" s="357">
        <f>IF(AI20="ДА",ROUNDUP(U20/5,0),0)</f>
        <v>0</v>
      </c>
      <c r="X20" s="356" t="str">
        <f>IF(AL20="ДА",$M20,"")</f>
        <v/>
      </c>
      <c r="Y20" s="144"/>
      <c r="Z20" s="201">
        <f>IF(AL20="ДА",ROUNDUP(X20/5,0),0)</f>
        <v>0</v>
      </c>
      <c r="AA20" s="388" t="str">
        <f>IF(OR(AC20="ДА",AF20="ДА",AI20="ДА",AL20="ДА"),"ДА","НЕТ")</f>
        <v>ДА</v>
      </c>
      <c r="AB20" s="388"/>
      <c r="AC20" s="37" t="str">
        <f>IF(AC$8=$BT$9,$BT20,IF(AC$8=$BS$9,$BS20,IF(AC$8=$BU$9,$BU20,IF(AC$8=$BV$9,$BV20,IF(AC$8=$BW$9,$BW20,IF(AC$8=$BX$9,$BX20,IF(AC$8=$BY$9,$BY20,IF(AC$8=$BZ$9,$BZ20,IF(AC$8=$CA$9,$CA20,IF(AC$8=$CC$9,$CC20,IF(AC$8=$CD$9,$CD20,IF(AC$8=$CE$9,$CE20,IF(AC$8=$CF$9,$CF20,IF(AC$8=$CG$9,$CG20,IF(AC$8=$CH$9,$CH20,IF(AC$8=$CI$9,$CI20,IF(AC$8=$CJ$9,$CJ20,IF(AC$8=$CK$9,$CK20,IF(AC$8=$CL$9,$CL20,IF(AC$8=$CM$9,$CM20,IF(AC$8=$CN$9,$CN20,IF(AC$8=$CO$9,$CO20,IF(AC$8=$CP$9,$CP20,IF(AC$8=$CQ$9,$CQ20,"НЕТ"))))))))))))))))))))))))</f>
        <v>НЕТ</v>
      </c>
      <c r="AD20" s="37" t="str">
        <f>IF(AC20="НЕТ","Не требуется",$CR20)</f>
        <v>Не требуется</v>
      </c>
      <c r="AE20" s="37"/>
      <c r="AF20" s="37" t="str">
        <f t="shared" ref="AF20:AL20" si="23">IF(AF$8=$BT$9,$BT20,IF(AF$8=$BS$9,$BS20,IF(AF$8=$BU$9,$BU20,IF(AF$8=$BV$9,$BV20,IF(AF$8=$BW$9,$BW20,IF(AF$8=$BX$9,$BX20,IF(AF$8=$BY$9,$BY20,IF(AF$8=$BZ$9,$BZ20,IF(AF$8=$CA$9,$CA20,IF(AF$8=$CC$9,$CC20,IF(AF$8=$CD$9,$CD20,IF(AF$8=$CE$9,$CE20,IF(AF$8=$CF$9,$CF20,IF(AF$8=$CG$9,$CG20,IF(AF$8=$CH$9,$CH20,IF(AF$8=$CI$9,$CI20,IF(AF$8=$CJ$9,$CJ20,IF(AF$8=$CK$9,$CK20,IF(AF$8=$CL$9,$CL20,IF(AF$8=$CM$9,$CM20,IF(AF$8=$CN$9,$CN20,IF(AF$8=$CO$9,$CO20,IF(AF$8=$CP$9,$CP20,IF(AF$8=$CQ$9,$CQ20,"НЕТ"))))))))))))))))))))))))</f>
        <v>ДА</v>
      </c>
      <c r="AG20" s="37" t="str">
        <f t="shared" si="23"/>
        <v>НЕТ</v>
      </c>
      <c r="AH20" s="37" t="str">
        <f t="shared" si="23"/>
        <v>НЕТ</v>
      </c>
      <c r="AI20" s="37" t="str">
        <f t="shared" si="23"/>
        <v>НЕТ</v>
      </c>
      <c r="AJ20" s="37" t="str">
        <f t="shared" si="23"/>
        <v>НЕТ</v>
      </c>
      <c r="AK20" s="37" t="str">
        <f t="shared" si="23"/>
        <v>НЕТ</v>
      </c>
      <c r="AL20" s="37" t="str">
        <f t="shared" si="23"/>
        <v>НЕТ</v>
      </c>
      <c r="AM20" s="37" t="str">
        <f>IF(AL20="НЕТ","Не требуется",$CR20)</f>
        <v>Не требуется</v>
      </c>
      <c r="AN20" s="37"/>
      <c r="AQ20" s="200"/>
      <c r="AR20" s="230"/>
      <c r="AS20" s="144" t="str">
        <f>IF(BS20="ДА",$M20,"")</f>
        <v/>
      </c>
      <c r="AT20" s="144" t="str">
        <f t="shared" ref="AT20:AV20" si="24">IF(BT20="ДА",$M20,"")</f>
        <v/>
      </c>
      <c r="AU20" s="144" t="str">
        <f t="shared" si="24"/>
        <v/>
      </c>
      <c r="AV20" s="144" t="str">
        <f t="shared" si="24"/>
        <v/>
      </c>
      <c r="AW20" s="144" t="str">
        <f>IF(BX20="ДА",$M20,"")</f>
        <v/>
      </c>
      <c r="AX20" s="144" t="str">
        <f>IF(BY20="ДА",$M20,"")</f>
        <v/>
      </c>
      <c r="AY20" s="144">
        <f>IF(BZ20="ДА",$M20,"")</f>
        <v>8</v>
      </c>
      <c r="AZ20" s="201">
        <f>IF(CA20="ДА",$M20,"")</f>
        <v>8</v>
      </c>
      <c r="BA20" s="235"/>
      <c r="BB20" s="144" t="str">
        <f t="shared" ref="BB20:BP20" si="25">IF(CC20="ДА",$M20,"")</f>
        <v/>
      </c>
      <c r="BC20" s="144" t="str">
        <f t="shared" si="25"/>
        <v/>
      </c>
      <c r="BD20" s="144" t="str">
        <f t="shared" si="25"/>
        <v/>
      </c>
      <c r="BE20" s="144" t="str">
        <f t="shared" si="25"/>
        <v/>
      </c>
      <c r="BF20" s="201" t="str">
        <f t="shared" si="25"/>
        <v/>
      </c>
      <c r="BG20" s="144">
        <f t="shared" si="25"/>
        <v>8</v>
      </c>
      <c r="BH20" s="144">
        <f t="shared" si="25"/>
        <v>8</v>
      </c>
      <c r="BI20" s="144" t="str">
        <f t="shared" si="25"/>
        <v/>
      </c>
      <c r="BJ20" s="144">
        <f t="shared" si="25"/>
        <v>8</v>
      </c>
      <c r="BK20" s="201">
        <f t="shared" si="25"/>
        <v>8</v>
      </c>
      <c r="BL20" s="144" t="str">
        <f t="shared" si="25"/>
        <v/>
      </c>
      <c r="BM20" s="144" t="str">
        <f t="shared" si="25"/>
        <v/>
      </c>
      <c r="BN20" s="144" t="str">
        <f t="shared" si="25"/>
        <v/>
      </c>
      <c r="BO20" s="144" t="str">
        <f t="shared" si="25"/>
        <v/>
      </c>
      <c r="BP20" s="201" t="str">
        <f t="shared" si="25"/>
        <v/>
      </c>
      <c r="BQ20" s="209"/>
      <c r="BR20" s="388"/>
      <c r="BS20" s="37" t="s">
        <v>255</v>
      </c>
      <c r="BT20" s="37" t="s">
        <v>255</v>
      </c>
      <c r="BU20" s="37" t="s">
        <v>255</v>
      </c>
      <c r="BV20" s="37" t="s">
        <v>255</v>
      </c>
      <c r="BW20" s="37" t="s">
        <v>255</v>
      </c>
      <c r="BX20" s="37" t="s">
        <v>255</v>
      </c>
      <c r="BY20" s="37" t="s">
        <v>255</v>
      </c>
      <c r="BZ20" s="37" t="s">
        <v>246</v>
      </c>
      <c r="CA20" s="123" t="s">
        <v>246</v>
      </c>
      <c r="CB20" s="223"/>
      <c r="CC20" s="37" t="s">
        <v>255</v>
      </c>
      <c r="CD20" s="37" t="s">
        <v>255</v>
      </c>
      <c r="CE20" s="37" t="s">
        <v>255</v>
      </c>
      <c r="CF20" s="37" t="s">
        <v>255</v>
      </c>
      <c r="CG20" s="37" t="s">
        <v>255</v>
      </c>
      <c r="CH20" s="37" t="s">
        <v>246</v>
      </c>
      <c r="CI20" s="37" t="s">
        <v>246</v>
      </c>
      <c r="CJ20" s="37" t="s">
        <v>255</v>
      </c>
      <c r="CK20" s="37" t="s">
        <v>246</v>
      </c>
      <c r="CL20" s="37" t="s">
        <v>246</v>
      </c>
      <c r="CM20" s="37" t="s">
        <v>255</v>
      </c>
      <c r="CN20" s="37" t="s">
        <v>255</v>
      </c>
      <c r="CO20" s="37" t="s">
        <v>255</v>
      </c>
      <c r="CP20" s="37" t="s">
        <v>255</v>
      </c>
      <c r="CQ20" s="37" t="s">
        <v>255</v>
      </c>
      <c r="CR20" s="123" t="s">
        <v>302</v>
      </c>
    </row>
    <row r="21" spans="1:96" ht="30" hidden="1" outlineLevel="2" x14ac:dyDescent="0.25">
      <c r="A21" s="133"/>
      <c r="B21" s="253" t="s">
        <v>328</v>
      </c>
      <c r="C21" s="260" t="s">
        <v>1095</v>
      </c>
      <c r="D21" s="254"/>
      <c r="E21" s="254"/>
      <c r="F21" s="254"/>
      <c r="G21" s="254"/>
      <c r="H21" s="254"/>
      <c r="I21" s="254"/>
      <c r="J21" s="254"/>
      <c r="K21" s="254"/>
      <c r="L21" s="254"/>
      <c r="M21" s="254"/>
      <c r="N21" s="235">
        <f t="shared" si="13"/>
        <v>0</v>
      </c>
      <c r="O21" s="329"/>
      <c r="P21" s="254"/>
      <c r="Q21" s="361"/>
      <c r="R21" s="360"/>
      <c r="S21" s="254"/>
      <c r="T21" s="361"/>
      <c r="U21" s="360"/>
      <c r="V21" s="254"/>
      <c r="W21" s="361"/>
      <c r="X21" s="360"/>
      <c r="Y21" s="254"/>
      <c r="Z21" s="330"/>
      <c r="AA21" s="254"/>
      <c r="AB21" s="254"/>
      <c r="AC21" s="254"/>
      <c r="AD21" s="255"/>
      <c r="AE21" s="254"/>
      <c r="AF21" s="254"/>
      <c r="AG21" s="255"/>
      <c r="AH21" s="254"/>
      <c r="AI21" s="254"/>
      <c r="AJ21" s="255"/>
      <c r="AK21" s="254"/>
      <c r="AL21" s="254"/>
      <c r="AM21" s="255"/>
      <c r="AN21" s="254"/>
      <c r="AQ21" s="202"/>
      <c r="AZ21" s="203"/>
      <c r="BF21" s="203"/>
      <c r="BK21" s="203"/>
      <c r="BP21" s="203"/>
      <c r="BQ21" s="202"/>
      <c r="CA21" s="203"/>
      <c r="CR21" s="125"/>
    </row>
    <row r="22" spans="1:96" ht="75" hidden="1" outlineLevel="2" x14ac:dyDescent="0.25">
      <c r="A22" s="133"/>
      <c r="B22" s="253" t="s">
        <v>567</v>
      </c>
      <c r="C22" s="260" t="s">
        <v>1095</v>
      </c>
      <c r="D22" s="254"/>
      <c r="E22" s="254"/>
      <c r="F22" s="254"/>
      <c r="G22" s="254"/>
      <c r="H22" s="254"/>
      <c r="I22" s="254"/>
      <c r="J22" s="254"/>
      <c r="K22" s="254"/>
      <c r="L22" s="254"/>
      <c r="M22" s="254"/>
      <c r="N22" s="235">
        <f t="shared" si="13"/>
        <v>0</v>
      </c>
      <c r="O22" s="329"/>
      <c r="P22" s="254"/>
      <c r="Q22" s="361"/>
      <c r="R22" s="360"/>
      <c r="S22" s="254"/>
      <c r="T22" s="361"/>
      <c r="U22" s="360"/>
      <c r="V22" s="254"/>
      <c r="W22" s="361"/>
      <c r="X22" s="360"/>
      <c r="Y22" s="254"/>
      <c r="Z22" s="330"/>
      <c r="AA22" s="254"/>
      <c r="AB22" s="254"/>
      <c r="AC22" s="254"/>
      <c r="AD22" s="255"/>
      <c r="AE22" s="254"/>
      <c r="AF22" s="254"/>
      <c r="AG22" s="255"/>
      <c r="AH22" s="254"/>
      <c r="AI22" s="254"/>
      <c r="AJ22" s="255"/>
      <c r="AK22" s="254"/>
      <c r="AL22" s="254"/>
      <c r="AM22" s="255"/>
      <c r="AN22" s="254"/>
      <c r="AQ22" s="202"/>
      <c r="AZ22" s="203"/>
      <c r="BF22" s="203"/>
      <c r="BK22" s="203"/>
      <c r="BP22" s="203"/>
      <c r="BQ22" s="202"/>
      <c r="CA22" s="203"/>
      <c r="CR22" s="125"/>
    </row>
    <row r="23" spans="1:96" ht="45" hidden="1" outlineLevel="2" x14ac:dyDescent="0.25">
      <c r="A23" s="133"/>
      <c r="B23" s="253" t="s">
        <v>329</v>
      </c>
      <c r="C23" s="260" t="s">
        <v>1095</v>
      </c>
      <c r="D23" s="254"/>
      <c r="E23" s="254"/>
      <c r="F23" s="254"/>
      <c r="G23" s="254"/>
      <c r="H23" s="254"/>
      <c r="I23" s="254"/>
      <c r="J23" s="254"/>
      <c r="K23" s="254"/>
      <c r="L23" s="254"/>
      <c r="M23" s="254"/>
      <c r="N23" s="235">
        <f t="shared" si="13"/>
        <v>0</v>
      </c>
      <c r="O23" s="329"/>
      <c r="P23" s="254"/>
      <c r="Q23" s="361"/>
      <c r="R23" s="360"/>
      <c r="S23" s="254"/>
      <c r="T23" s="361"/>
      <c r="U23" s="360"/>
      <c r="V23" s="254"/>
      <c r="W23" s="361"/>
      <c r="X23" s="360"/>
      <c r="Y23" s="254"/>
      <c r="Z23" s="330"/>
      <c r="AA23" s="254"/>
      <c r="AB23" s="254"/>
      <c r="AC23" s="254"/>
      <c r="AD23" s="255"/>
      <c r="AE23" s="254"/>
      <c r="AF23" s="254"/>
      <c r="AG23" s="255"/>
      <c r="AH23" s="254"/>
      <c r="AI23" s="254"/>
      <c r="AJ23" s="255"/>
      <c r="AK23" s="254"/>
      <c r="AL23" s="254"/>
      <c r="AM23" s="255"/>
      <c r="AN23" s="254"/>
      <c r="AQ23" s="202"/>
      <c r="AZ23" s="203"/>
      <c r="BF23" s="203"/>
      <c r="BK23" s="203"/>
      <c r="BP23" s="203"/>
      <c r="BQ23" s="202"/>
      <c r="CA23" s="203"/>
      <c r="CR23" s="125"/>
    </row>
    <row r="24" spans="1:96" hidden="1" outlineLevel="2" x14ac:dyDescent="0.25">
      <c r="A24" s="133"/>
      <c r="B24" s="253" t="s">
        <v>330</v>
      </c>
      <c r="C24" s="260" t="s">
        <v>1095</v>
      </c>
      <c r="D24" s="254"/>
      <c r="E24" s="254"/>
      <c r="F24" s="254"/>
      <c r="G24" s="254"/>
      <c r="H24" s="254"/>
      <c r="I24" s="254"/>
      <c r="J24" s="254"/>
      <c r="K24" s="254"/>
      <c r="L24" s="254"/>
      <c r="M24" s="254"/>
      <c r="N24" s="235">
        <f t="shared" si="13"/>
        <v>0</v>
      </c>
      <c r="O24" s="329"/>
      <c r="P24" s="254"/>
      <c r="Q24" s="361"/>
      <c r="R24" s="360"/>
      <c r="S24" s="254"/>
      <c r="T24" s="361"/>
      <c r="U24" s="360"/>
      <c r="V24" s="254"/>
      <c r="W24" s="361"/>
      <c r="X24" s="360"/>
      <c r="Y24" s="254"/>
      <c r="Z24" s="330"/>
      <c r="AA24" s="254"/>
      <c r="AB24" s="254"/>
      <c r="AC24" s="254"/>
      <c r="AD24" s="255"/>
      <c r="AE24" s="254"/>
      <c r="AF24" s="254"/>
      <c r="AG24" s="255"/>
      <c r="AH24" s="254"/>
      <c r="AI24" s="254"/>
      <c r="AJ24" s="255"/>
      <c r="AK24" s="254"/>
      <c r="AL24" s="254"/>
      <c r="AM24" s="255"/>
      <c r="AN24" s="254"/>
      <c r="AQ24" s="202"/>
      <c r="AZ24" s="203"/>
      <c r="BF24" s="203"/>
      <c r="BK24" s="203"/>
      <c r="BP24" s="203"/>
      <c r="BQ24" s="202"/>
      <c r="CA24" s="203"/>
      <c r="CR24" s="125"/>
    </row>
    <row r="25" spans="1:96" ht="45" hidden="1" outlineLevel="2" x14ac:dyDescent="0.25">
      <c r="A25" s="133"/>
      <c r="B25" s="253" t="s">
        <v>1712</v>
      </c>
      <c r="C25" s="260" t="s">
        <v>1095</v>
      </c>
      <c r="D25" s="254"/>
      <c r="E25" s="254"/>
      <c r="F25" s="254"/>
      <c r="G25" s="254"/>
      <c r="H25" s="254"/>
      <c r="I25" s="254"/>
      <c r="J25" s="254"/>
      <c r="K25" s="254"/>
      <c r="L25" s="254"/>
      <c r="M25" s="254"/>
      <c r="N25" s="235">
        <f t="shared" si="13"/>
        <v>0</v>
      </c>
      <c r="O25" s="329"/>
      <c r="P25" s="254"/>
      <c r="Q25" s="361"/>
      <c r="R25" s="360"/>
      <c r="S25" s="254"/>
      <c r="T25" s="361"/>
      <c r="U25" s="360"/>
      <c r="V25" s="254"/>
      <c r="W25" s="361"/>
      <c r="X25" s="360"/>
      <c r="Y25" s="254"/>
      <c r="Z25" s="330"/>
      <c r="AA25" s="254"/>
      <c r="AB25" s="254"/>
      <c r="AC25" s="254"/>
      <c r="AD25" s="255"/>
      <c r="AE25" s="254"/>
      <c r="AF25" s="254"/>
      <c r="AG25" s="255"/>
      <c r="AH25" s="254"/>
      <c r="AI25" s="254"/>
      <c r="AJ25" s="255"/>
      <c r="AK25" s="254"/>
      <c r="AL25" s="254"/>
      <c r="AM25" s="255"/>
      <c r="AN25" s="254"/>
      <c r="AQ25" s="202"/>
      <c r="AZ25" s="203"/>
      <c r="BF25" s="203"/>
      <c r="BK25" s="203"/>
      <c r="BP25" s="203"/>
      <c r="BQ25" s="202"/>
      <c r="CA25" s="203"/>
      <c r="CR25" s="125"/>
    </row>
    <row r="26" spans="1:96" ht="45" hidden="1" outlineLevel="2" x14ac:dyDescent="0.25">
      <c r="A26" s="133"/>
      <c r="B26" s="253" t="s">
        <v>331</v>
      </c>
      <c r="C26" s="260" t="s">
        <v>1095</v>
      </c>
      <c r="D26" s="254"/>
      <c r="E26" s="254"/>
      <c r="F26" s="254"/>
      <c r="G26" s="254"/>
      <c r="H26" s="254"/>
      <c r="I26" s="254"/>
      <c r="J26" s="254"/>
      <c r="K26" s="254"/>
      <c r="L26" s="254"/>
      <c r="M26" s="254"/>
      <c r="N26" s="235">
        <f t="shared" si="13"/>
        <v>0</v>
      </c>
      <c r="O26" s="329"/>
      <c r="P26" s="254"/>
      <c r="Q26" s="361"/>
      <c r="R26" s="360"/>
      <c r="S26" s="254"/>
      <c r="T26" s="361"/>
      <c r="U26" s="360"/>
      <c r="V26" s="254"/>
      <c r="W26" s="361"/>
      <c r="X26" s="360"/>
      <c r="Y26" s="254"/>
      <c r="Z26" s="330"/>
      <c r="AA26" s="254"/>
      <c r="AB26" s="254"/>
      <c r="AC26" s="254"/>
      <c r="AD26" s="255"/>
      <c r="AE26" s="254"/>
      <c r="AF26" s="254"/>
      <c r="AG26" s="255"/>
      <c r="AH26" s="254"/>
      <c r="AI26" s="254"/>
      <c r="AJ26" s="255"/>
      <c r="AK26" s="254"/>
      <c r="AL26" s="254"/>
      <c r="AM26" s="255"/>
      <c r="AN26" s="254"/>
      <c r="AQ26" s="202"/>
      <c r="AZ26" s="203"/>
      <c r="BF26" s="203"/>
      <c r="BK26" s="203"/>
      <c r="BP26" s="203"/>
      <c r="BQ26" s="202"/>
      <c r="CA26" s="203"/>
      <c r="CR26" s="125"/>
    </row>
    <row r="27" spans="1:96" ht="30" outlineLevel="1" collapsed="1" x14ac:dyDescent="0.25">
      <c r="A27" s="135" t="s">
        <v>400</v>
      </c>
      <c r="B27" s="244" t="s">
        <v>559</v>
      </c>
      <c r="C27" s="244"/>
      <c r="D27" s="244"/>
      <c r="E27" s="492"/>
      <c r="F27" s="245" t="s">
        <v>222</v>
      </c>
      <c r="G27" s="111" t="s">
        <v>563</v>
      </c>
      <c r="H27" s="111" t="s">
        <v>242</v>
      </c>
      <c r="I27" s="111" t="s">
        <v>242</v>
      </c>
      <c r="J27" s="111" t="s">
        <v>242</v>
      </c>
      <c r="K27" s="111" t="s">
        <v>242</v>
      </c>
      <c r="L27" s="111" t="s">
        <v>1692</v>
      </c>
      <c r="M27" s="245">
        <v>2</v>
      </c>
      <c r="N27" s="235">
        <f t="shared" si="13"/>
        <v>6</v>
      </c>
      <c r="O27" s="200">
        <f t="shared" ref="O27" si="26">IF(AC27="ДА",$M27,"")</f>
        <v>2</v>
      </c>
      <c r="P27" s="144"/>
      <c r="Q27" s="357">
        <f>IF(AC27="ДА",ROUNDUP(O27/5,0),0)</f>
        <v>1</v>
      </c>
      <c r="R27" s="356">
        <f>IF(AF27="ДА",$M27,"")</f>
        <v>2</v>
      </c>
      <c r="S27" s="144"/>
      <c r="T27" s="357">
        <f>IF(AF27="ДА",ROUNDUP(R27/5,0),0)</f>
        <v>1</v>
      </c>
      <c r="U27" s="356">
        <f>IF(AI27="ДА",$M27,"")</f>
        <v>2</v>
      </c>
      <c r="V27" s="144"/>
      <c r="W27" s="357">
        <f>IF(AI27="ДА",ROUNDUP(U27/5,0),0)</f>
        <v>1</v>
      </c>
      <c r="X27" s="356" t="str">
        <f>IF(AL27="ДА",$M27,"")</f>
        <v/>
      </c>
      <c r="Y27" s="144"/>
      <c r="Z27" s="201">
        <f>IF(AL27="ДА",ROUNDUP(X27/5,0),0)</f>
        <v>0</v>
      </c>
      <c r="AA27" s="388" t="str">
        <f>IF(OR(AC27="ДА",AF27="ДА",AI27="ДА",AL27="ДА"),"ДА","НЕТ")</f>
        <v>ДА</v>
      </c>
      <c r="AB27" s="388"/>
      <c r="AC27" s="37" t="str">
        <f>IF(AC$8=$BT$9,$BT27,IF(AC$8=$BS$9,$BS27,IF(AC$8=$BU$9,$BU27,IF(AC$8=$BV$9,$BV27,IF(AC$8=$BW$9,$BW27,IF(AC$8=$BX$9,$BX27,IF(AC$8=$BY$9,$BY27,IF(AC$8=$BZ$9,$BZ27,IF(AC$8=$CA$9,$CA27,IF(AC$8=$CC$9,$CC27,IF(AC$8=$CD$9,$CD27,IF(AC$8=$CE$9,$CE27,IF(AC$8=$CF$9,$CF27,IF(AC$8=$CG$9,$CG27,IF(AC$8=$CH$9,$CH27,IF(AC$8=$CI$9,$CI27,IF(AC$8=$CJ$9,$CJ27,IF(AC$8=$CK$9,$CK27,IF(AC$8=$CL$9,$CL27,IF(AC$8=$CM$9,$CM27,IF(AC$8=$CN$9,$CN27,IF(AC$8=$CO$9,$CO27,IF(AC$8=$CP$9,$CP27,IF(AC$8=$CQ$9,$CQ27,"НЕТ"))))))))))))))))))))))))</f>
        <v>ДА</v>
      </c>
      <c r="AD27" s="37" t="str">
        <f>IF(AC27="НЕТ","Не требуется",$CR27)</f>
        <v>Предоставляется Заказчиком</v>
      </c>
      <c r="AE27" s="37"/>
      <c r="AF27" s="37" t="str">
        <f t="shared" ref="AF27:AL27" si="27">IF(AF$8=$BT$9,$BT27,IF(AF$8=$BS$9,$BS27,IF(AF$8=$BU$9,$BU27,IF(AF$8=$BV$9,$BV27,IF(AF$8=$BW$9,$BW27,IF(AF$8=$BX$9,$BX27,IF(AF$8=$BY$9,$BY27,IF(AF$8=$BZ$9,$BZ27,IF(AF$8=$CA$9,$CA27,IF(AF$8=$CC$9,$CC27,IF(AF$8=$CD$9,$CD27,IF(AF$8=$CE$9,$CE27,IF(AF$8=$CF$9,$CF27,IF(AF$8=$CG$9,$CG27,IF(AF$8=$CH$9,$CH27,IF(AF$8=$CI$9,$CI27,IF(AF$8=$CJ$9,$CJ27,IF(AF$8=$CK$9,$CK27,IF(AF$8=$CL$9,$CL27,IF(AF$8=$CM$9,$CM27,IF(AF$8=$CN$9,$CN27,IF(AF$8=$CO$9,$CO27,IF(AF$8=$CP$9,$CP27,IF(AF$8=$CQ$9,$CQ27,"НЕТ"))))))))))))))))))))))))</f>
        <v>ДА</v>
      </c>
      <c r="AG27" s="37" t="str">
        <f t="shared" si="27"/>
        <v>НЕТ</v>
      </c>
      <c r="AH27" s="37" t="str">
        <f t="shared" si="27"/>
        <v>НЕТ</v>
      </c>
      <c r="AI27" s="37" t="str">
        <f t="shared" si="27"/>
        <v>ДА</v>
      </c>
      <c r="AJ27" s="37" t="str">
        <f t="shared" si="27"/>
        <v>НЕТ</v>
      </c>
      <c r="AK27" s="37" t="str">
        <f t="shared" si="27"/>
        <v>НЕТ</v>
      </c>
      <c r="AL27" s="37" t="str">
        <f t="shared" si="27"/>
        <v>НЕТ</v>
      </c>
      <c r="AM27" s="37" t="str">
        <f>IF(AL27="НЕТ","Не требуется",$CR27)</f>
        <v>Не требуется</v>
      </c>
      <c r="AN27" s="37"/>
      <c r="AQ27" s="200"/>
      <c r="AR27" s="230"/>
      <c r="AS27" s="144">
        <f>IF(BS27="ДА",$M27,"")</f>
        <v>2</v>
      </c>
      <c r="AT27" s="144">
        <f t="shared" ref="AT27:AV27" si="28">IF(BT27="ДА",$M27,"")</f>
        <v>2</v>
      </c>
      <c r="AU27" s="144">
        <f t="shared" si="28"/>
        <v>2</v>
      </c>
      <c r="AV27" s="144">
        <f t="shared" si="28"/>
        <v>2</v>
      </c>
      <c r="AW27" s="144">
        <f>IF(BX27="ДА",$M27,"")</f>
        <v>2</v>
      </c>
      <c r="AX27" s="144">
        <f>IF(BY27="ДА",$M27,"")</f>
        <v>2</v>
      </c>
      <c r="AY27" s="144">
        <f>IF(BZ27="ДА",$M27,"")</f>
        <v>2</v>
      </c>
      <c r="AZ27" s="201">
        <f>IF(CA27="ДА",$M27,"")</f>
        <v>2</v>
      </c>
      <c r="BA27" s="235"/>
      <c r="BB27" s="144">
        <f t="shared" ref="BB27:BP27" si="29">IF(CC27="ДА",$M27,"")</f>
        <v>2</v>
      </c>
      <c r="BC27" s="144">
        <f t="shared" si="29"/>
        <v>2</v>
      </c>
      <c r="BD27" s="144" t="str">
        <f t="shared" si="29"/>
        <v/>
      </c>
      <c r="BE27" s="144" t="str">
        <f t="shared" si="29"/>
        <v/>
      </c>
      <c r="BF27" s="201" t="str">
        <f t="shared" si="29"/>
        <v/>
      </c>
      <c r="BG27" s="144">
        <f t="shared" si="29"/>
        <v>2</v>
      </c>
      <c r="BH27" s="144">
        <f t="shared" si="29"/>
        <v>2</v>
      </c>
      <c r="BI27" s="144" t="str">
        <f t="shared" si="29"/>
        <v/>
      </c>
      <c r="BJ27" s="144">
        <f t="shared" si="29"/>
        <v>2</v>
      </c>
      <c r="BK27" s="201" t="str">
        <f t="shared" si="29"/>
        <v/>
      </c>
      <c r="BL27" s="144">
        <f t="shared" si="29"/>
        <v>2</v>
      </c>
      <c r="BM27" s="144" t="str">
        <f t="shared" si="29"/>
        <v/>
      </c>
      <c r="BN27" s="144" t="str">
        <f t="shared" si="29"/>
        <v/>
      </c>
      <c r="BO27" s="144" t="str">
        <f t="shared" si="29"/>
        <v/>
      </c>
      <c r="BP27" s="201" t="str">
        <f t="shared" si="29"/>
        <v/>
      </c>
      <c r="BQ27" s="209"/>
      <c r="BR27" s="388"/>
      <c r="BS27" s="37" t="s">
        <v>246</v>
      </c>
      <c r="BT27" s="37" t="s">
        <v>246</v>
      </c>
      <c r="BU27" s="37" t="s">
        <v>246</v>
      </c>
      <c r="BV27" s="37" t="s">
        <v>246</v>
      </c>
      <c r="BW27" s="37" t="s">
        <v>246</v>
      </c>
      <c r="BX27" s="37" t="s">
        <v>246</v>
      </c>
      <c r="BY27" s="37" t="s">
        <v>246</v>
      </c>
      <c r="BZ27" s="37" t="s">
        <v>246</v>
      </c>
      <c r="CA27" s="123" t="s">
        <v>246</v>
      </c>
      <c r="CB27" s="223"/>
      <c r="CC27" s="37" t="s">
        <v>246</v>
      </c>
      <c r="CD27" s="37" t="s">
        <v>246</v>
      </c>
      <c r="CE27" s="37" t="s">
        <v>255</v>
      </c>
      <c r="CF27" s="37" t="s">
        <v>255</v>
      </c>
      <c r="CG27" s="37" t="s">
        <v>255</v>
      </c>
      <c r="CH27" s="37" t="s">
        <v>246</v>
      </c>
      <c r="CI27" s="37" t="s">
        <v>246</v>
      </c>
      <c r="CJ27" s="37" t="s">
        <v>255</v>
      </c>
      <c r="CK27" s="37" t="s">
        <v>246</v>
      </c>
      <c r="CL27" s="37" t="s">
        <v>255</v>
      </c>
      <c r="CM27" s="37" t="s">
        <v>246</v>
      </c>
      <c r="CN27" s="37" t="s">
        <v>255</v>
      </c>
      <c r="CO27" s="37" t="s">
        <v>255</v>
      </c>
      <c r="CP27" s="37" t="s">
        <v>255</v>
      </c>
      <c r="CQ27" s="37" t="s">
        <v>255</v>
      </c>
      <c r="CR27" s="123" t="s">
        <v>302</v>
      </c>
    </row>
    <row r="28" spans="1:96" ht="30" hidden="1" outlineLevel="2" x14ac:dyDescent="0.25">
      <c r="A28" s="133"/>
      <c r="B28" s="253" t="s">
        <v>332</v>
      </c>
      <c r="C28" s="254" t="s">
        <v>2255</v>
      </c>
      <c r="D28" s="254"/>
      <c r="E28" s="254"/>
      <c r="F28" s="254"/>
      <c r="G28" s="254"/>
      <c r="H28" s="254"/>
      <c r="I28" s="254"/>
      <c r="J28" s="254"/>
      <c r="K28" s="254"/>
      <c r="L28" s="254"/>
      <c r="M28" s="254"/>
      <c r="N28" s="235">
        <f t="shared" si="13"/>
        <v>0</v>
      </c>
      <c r="O28" s="329"/>
      <c r="P28" s="254"/>
      <c r="Q28" s="361"/>
      <c r="R28" s="360"/>
      <c r="S28" s="254"/>
      <c r="T28" s="361"/>
      <c r="U28" s="360"/>
      <c r="V28" s="254"/>
      <c r="W28" s="361"/>
      <c r="X28" s="360"/>
      <c r="Y28" s="254"/>
      <c r="Z28" s="330"/>
      <c r="AA28" s="254"/>
      <c r="AB28" s="254"/>
      <c r="AC28" s="254"/>
      <c r="AD28" s="255"/>
      <c r="AE28" s="254"/>
      <c r="AF28" s="254"/>
      <c r="AG28" s="255"/>
      <c r="AH28" s="254"/>
      <c r="AI28" s="254"/>
      <c r="AJ28" s="255"/>
      <c r="AK28" s="254"/>
      <c r="AL28" s="254"/>
      <c r="AM28" s="255"/>
      <c r="AN28" s="254"/>
      <c r="AQ28" s="202"/>
      <c r="AZ28" s="203"/>
      <c r="BF28" s="203"/>
      <c r="BK28" s="203"/>
      <c r="BP28" s="203"/>
      <c r="BQ28" s="202"/>
      <c r="CA28" s="203"/>
      <c r="CR28" s="125"/>
    </row>
    <row r="29" spans="1:96" hidden="1" outlineLevel="2" x14ac:dyDescent="0.25">
      <c r="A29" s="133"/>
      <c r="B29" s="256" t="s">
        <v>552</v>
      </c>
      <c r="C29" s="256"/>
      <c r="D29" s="257"/>
      <c r="E29" s="257"/>
      <c r="F29" s="257"/>
      <c r="G29" s="257"/>
      <c r="H29" s="257"/>
      <c r="I29" s="257"/>
      <c r="J29" s="257"/>
      <c r="K29" s="257"/>
      <c r="L29" s="257"/>
      <c r="M29" s="257"/>
      <c r="N29" s="235">
        <f t="shared" si="13"/>
        <v>0</v>
      </c>
      <c r="O29" s="331"/>
      <c r="P29" s="257"/>
      <c r="Q29" s="363"/>
      <c r="R29" s="362"/>
      <c r="S29" s="257"/>
      <c r="T29" s="363"/>
      <c r="U29" s="362"/>
      <c r="V29" s="257"/>
      <c r="W29" s="363"/>
      <c r="X29" s="362"/>
      <c r="Y29" s="257"/>
      <c r="Z29" s="332"/>
      <c r="AA29" s="257"/>
      <c r="AB29" s="257"/>
      <c r="AC29" s="257"/>
      <c r="AD29" s="258"/>
      <c r="AE29" s="257"/>
      <c r="AF29" s="257"/>
      <c r="AG29" s="258"/>
      <c r="AH29" s="257"/>
      <c r="AI29" s="257"/>
      <c r="AJ29" s="258"/>
      <c r="AK29" s="257"/>
      <c r="AL29" s="257"/>
      <c r="AM29" s="258"/>
      <c r="AN29" s="257"/>
      <c r="AQ29" s="202"/>
      <c r="AZ29" s="203"/>
      <c r="BF29" s="203"/>
      <c r="BK29" s="203"/>
      <c r="BP29" s="203"/>
      <c r="BQ29" s="202"/>
      <c r="CA29" s="203"/>
      <c r="CR29" s="125"/>
    </row>
    <row r="30" spans="1:96" ht="45" hidden="1" outlineLevel="2" x14ac:dyDescent="0.25">
      <c r="A30" s="133"/>
      <c r="B30" s="253" t="s">
        <v>553</v>
      </c>
      <c r="C30" s="254" t="s">
        <v>2256</v>
      </c>
      <c r="D30" s="254"/>
      <c r="E30" s="254"/>
      <c r="F30" s="254"/>
      <c r="G30" s="254"/>
      <c r="H30" s="254"/>
      <c r="I30" s="254"/>
      <c r="J30" s="254"/>
      <c r="K30" s="254"/>
      <c r="L30" s="254"/>
      <c r="M30" s="254"/>
      <c r="N30" s="235">
        <f t="shared" si="13"/>
        <v>0</v>
      </c>
      <c r="O30" s="329"/>
      <c r="P30" s="254"/>
      <c r="Q30" s="361"/>
      <c r="R30" s="360"/>
      <c r="S30" s="254"/>
      <c r="T30" s="361"/>
      <c r="U30" s="360"/>
      <c r="V30" s="254"/>
      <c r="W30" s="361"/>
      <c r="X30" s="360"/>
      <c r="Y30" s="254"/>
      <c r="Z30" s="330"/>
      <c r="AA30" s="254"/>
      <c r="AB30" s="254"/>
      <c r="AC30" s="254"/>
      <c r="AD30" s="255"/>
      <c r="AE30" s="254"/>
      <c r="AF30" s="254"/>
      <c r="AG30" s="255"/>
      <c r="AH30" s="254"/>
      <c r="AI30" s="254"/>
      <c r="AJ30" s="255"/>
      <c r="AK30" s="254"/>
      <c r="AL30" s="254"/>
      <c r="AM30" s="255"/>
      <c r="AN30" s="254"/>
      <c r="AQ30" s="202"/>
      <c r="AZ30" s="203"/>
      <c r="BF30" s="203"/>
      <c r="BK30" s="203"/>
      <c r="BP30" s="203"/>
      <c r="BQ30" s="202"/>
      <c r="CA30" s="203"/>
      <c r="CR30" s="125"/>
    </row>
    <row r="31" spans="1:96" ht="31.5" outlineLevel="1" collapsed="1" x14ac:dyDescent="0.25">
      <c r="A31" s="131" t="s">
        <v>401</v>
      </c>
      <c r="B31" s="113" t="s">
        <v>31</v>
      </c>
      <c r="C31" s="113"/>
      <c r="D31" s="113"/>
      <c r="E31" s="490"/>
      <c r="F31" s="111" t="s">
        <v>222</v>
      </c>
      <c r="G31" s="111" t="s">
        <v>563</v>
      </c>
      <c r="H31" s="111" t="s">
        <v>243</v>
      </c>
      <c r="I31" s="111" t="s">
        <v>243</v>
      </c>
      <c r="J31" s="111" t="s">
        <v>242</v>
      </c>
      <c r="K31" s="111" t="s">
        <v>242</v>
      </c>
      <c r="L31" s="111" t="s">
        <v>1692</v>
      </c>
      <c r="M31" s="111">
        <v>1</v>
      </c>
      <c r="N31" s="235">
        <f t="shared" si="13"/>
        <v>1</v>
      </c>
      <c r="O31" s="200" t="str">
        <f t="shared" ref="O31" si="30">IF(AC31="ДА",$M31,"")</f>
        <v/>
      </c>
      <c r="P31" s="144"/>
      <c r="Q31" s="357">
        <f>IF(AC31="ДА",ROUNDUP(O31/5,0),0)</f>
        <v>0</v>
      </c>
      <c r="R31" s="356">
        <f>IF(AF31="ДА",$M31,"")</f>
        <v>1</v>
      </c>
      <c r="S31" s="144"/>
      <c r="T31" s="357">
        <f>IF(AF31="ДА",ROUNDUP(R31/5,0),0)</f>
        <v>1</v>
      </c>
      <c r="U31" s="356" t="str">
        <f>IF(AI31="ДА",$M31,"")</f>
        <v/>
      </c>
      <c r="V31" s="144"/>
      <c r="W31" s="357">
        <f>IF(AI31="ДА",ROUNDUP(U31/5,0),0)</f>
        <v>0</v>
      </c>
      <c r="X31" s="356" t="str">
        <f>IF(AL31="ДА",$M31,"")</f>
        <v/>
      </c>
      <c r="Y31" s="144"/>
      <c r="Z31" s="201">
        <f>IF(AL31="ДА",ROUNDUP(X31/5,0),0)</f>
        <v>0</v>
      </c>
      <c r="AA31" s="388" t="str">
        <f>IF(OR(AC31="ДА",AF31="ДА",AI31="ДА",AL31="ДА"),"ДА","НЕТ")</f>
        <v>ДА</v>
      </c>
      <c r="AB31" s="388"/>
      <c r="AC31" s="37" t="str">
        <f>IF(AC$8=$BT$9,$BT31,IF(AC$8=$BS$9,$BS31,IF(AC$8=$BU$9,$BU31,IF(AC$8=$BV$9,$BV31,IF(AC$8=$BW$9,$BW31,IF(AC$8=$BX$9,$BX31,IF(AC$8=$BY$9,$BY31,IF(AC$8=$BZ$9,$BZ31,IF(AC$8=$CA$9,$CA31,IF(AC$8=$CC$9,$CC31,IF(AC$8=$CD$9,$CD31,IF(AC$8=$CE$9,$CE31,IF(AC$8=$CF$9,$CF31,IF(AC$8=$CG$9,$CG31,IF(AC$8=$CH$9,$CH31,IF(AC$8=$CI$9,$CI31,IF(AC$8=$CJ$9,$CJ31,IF(AC$8=$CK$9,$CK31,IF(AC$8=$CL$9,$CL31,IF(AC$8=$CM$9,$CM31,IF(AC$8=$CN$9,$CN31,IF(AC$8=$CO$9,$CO31,IF(AC$8=$CP$9,$CP31,IF(AC$8=$CQ$9,$CQ31,"НЕТ"))))))))))))))))))))))))</f>
        <v>НЕТ</v>
      </c>
      <c r="AD31" s="37" t="str">
        <f>IF(AC31="НЕТ","Не требуется",$CR31)</f>
        <v>Не требуется</v>
      </c>
      <c r="AE31" s="37"/>
      <c r="AF31" s="37" t="str">
        <f t="shared" ref="AF31:AL31" si="31">IF(AF$8=$BT$9,$BT31,IF(AF$8=$BS$9,$BS31,IF(AF$8=$BU$9,$BU31,IF(AF$8=$BV$9,$BV31,IF(AF$8=$BW$9,$BW31,IF(AF$8=$BX$9,$BX31,IF(AF$8=$BY$9,$BY31,IF(AF$8=$BZ$9,$BZ31,IF(AF$8=$CA$9,$CA31,IF(AF$8=$CC$9,$CC31,IF(AF$8=$CD$9,$CD31,IF(AF$8=$CE$9,$CE31,IF(AF$8=$CF$9,$CF31,IF(AF$8=$CG$9,$CG31,IF(AF$8=$CH$9,$CH31,IF(AF$8=$CI$9,$CI31,IF(AF$8=$CJ$9,$CJ31,IF(AF$8=$CK$9,$CK31,IF(AF$8=$CL$9,$CL31,IF(AF$8=$CM$9,$CM31,IF(AF$8=$CN$9,$CN31,IF(AF$8=$CO$9,$CO31,IF(AF$8=$CP$9,$CP31,IF(AF$8=$CQ$9,$CQ31,"НЕТ"))))))))))))))))))))))))</f>
        <v>ДА</v>
      </c>
      <c r="AG31" s="37" t="str">
        <f t="shared" si="31"/>
        <v>НЕТ</v>
      </c>
      <c r="AH31" s="37" t="str">
        <f t="shared" si="31"/>
        <v>НЕТ</v>
      </c>
      <c r="AI31" s="37" t="str">
        <f t="shared" si="31"/>
        <v>НЕТ</v>
      </c>
      <c r="AJ31" s="37" t="str">
        <f t="shared" si="31"/>
        <v>НЕТ</v>
      </c>
      <c r="AK31" s="37" t="str">
        <f t="shared" si="31"/>
        <v>НЕТ</v>
      </c>
      <c r="AL31" s="37" t="str">
        <f t="shared" si="31"/>
        <v>НЕТ</v>
      </c>
      <c r="AM31" s="37" t="str">
        <f>IF(AL31="НЕТ","Не требуется",$CR31)</f>
        <v>Не требуется</v>
      </c>
      <c r="AN31" s="37"/>
      <c r="AQ31" s="200"/>
      <c r="AR31" s="230"/>
      <c r="AS31" s="144">
        <f>IF(BS31="ДА",$M31,"")</f>
        <v>1</v>
      </c>
      <c r="AT31" s="144" t="str">
        <f t="shared" ref="AT31:AV31" si="32">IF(BT31="ДА",$M31,"")</f>
        <v/>
      </c>
      <c r="AU31" s="144" t="str">
        <f t="shared" si="32"/>
        <v/>
      </c>
      <c r="AV31" s="144" t="str">
        <f t="shared" si="32"/>
        <v/>
      </c>
      <c r="AW31" s="144">
        <f>IF(BX31="ДА",$M31,"")</f>
        <v>1</v>
      </c>
      <c r="AX31" s="144">
        <f>IF(BY31="ДА",$M31,"")</f>
        <v>1</v>
      </c>
      <c r="AY31" s="144">
        <f>IF(BZ31="ДА",$M31,"")</f>
        <v>1</v>
      </c>
      <c r="AZ31" s="201">
        <f>IF(CA31="ДА",$M31,"")</f>
        <v>1</v>
      </c>
      <c r="BA31" s="235"/>
      <c r="BB31" s="144">
        <f t="shared" ref="BB31:BP31" si="33">IF(CC31="ДА",$M31,"")</f>
        <v>1</v>
      </c>
      <c r="BC31" s="144">
        <f t="shared" si="33"/>
        <v>1</v>
      </c>
      <c r="BD31" s="144" t="str">
        <f t="shared" si="33"/>
        <v/>
      </c>
      <c r="BE31" s="144" t="str">
        <f t="shared" si="33"/>
        <v/>
      </c>
      <c r="BF31" s="201" t="str">
        <f t="shared" si="33"/>
        <v/>
      </c>
      <c r="BG31" s="144">
        <f t="shared" si="33"/>
        <v>1</v>
      </c>
      <c r="BH31" s="144">
        <f t="shared" si="33"/>
        <v>1</v>
      </c>
      <c r="BI31" s="144" t="str">
        <f t="shared" si="33"/>
        <v/>
      </c>
      <c r="BJ31" s="144">
        <f t="shared" si="33"/>
        <v>1</v>
      </c>
      <c r="BK31" s="201">
        <f t="shared" si="33"/>
        <v>1</v>
      </c>
      <c r="BL31" s="144" t="str">
        <f t="shared" si="33"/>
        <v/>
      </c>
      <c r="BM31" s="144" t="str">
        <f t="shared" si="33"/>
        <v/>
      </c>
      <c r="BN31" s="144" t="str">
        <f t="shared" si="33"/>
        <v/>
      </c>
      <c r="BO31" s="144" t="str">
        <f t="shared" si="33"/>
        <v/>
      </c>
      <c r="BP31" s="201" t="str">
        <f t="shared" si="33"/>
        <v/>
      </c>
      <c r="BQ31" s="209"/>
      <c r="BR31" s="388"/>
      <c r="BS31" s="37" t="s">
        <v>246</v>
      </c>
      <c r="BT31" s="37" t="s">
        <v>255</v>
      </c>
      <c r="BU31" s="37" t="s">
        <v>255</v>
      </c>
      <c r="BV31" s="37" t="s">
        <v>255</v>
      </c>
      <c r="BW31" s="37" t="s">
        <v>246</v>
      </c>
      <c r="BX31" s="37" t="s">
        <v>246</v>
      </c>
      <c r="BY31" s="37" t="s">
        <v>246</v>
      </c>
      <c r="BZ31" s="37" t="s">
        <v>246</v>
      </c>
      <c r="CA31" s="123" t="s">
        <v>246</v>
      </c>
      <c r="CB31" s="223"/>
      <c r="CC31" s="37" t="s">
        <v>246</v>
      </c>
      <c r="CD31" s="37" t="s">
        <v>246</v>
      </c>
      <c r="CE31" s="37" t="s">
        <v>255</v>
      </c>
      <c r="CF31" s="37" t="s">
        <v>255</v>
      </c>
      <c r="CG31" s="37" t="s">
        <v>255</v>
      </c>
      <c r="CH31" s="37" t="s">
        <v>246</v>
      </c>
      <c r="CI31" s="37" t="s">
        <v>246</v>
      </c>
      <c r="CJ31" s="37" t="s">
        <v>255</v>
      </c>
      <c r="CK31" s="37" t="s">
        <v>246</v>
      </c>
      <c r="CL31" s="37" t="s">
        <v>246</v>
      </c>
      <c r="CM31" s="37" t="s">
        <v>255</v>
      </c>
      <c r="CN31" s="37" t="s">
        <v>255</v>
      </c>
      <c r="CO31" s="37" t="s">
        <v>255</v>
      </c>
      <c r="CP31" s="37" t="s">
        <v>255</v>
      </c>
      <c r="CQ31" s="37" t="s">
        <v>255</v>
      </c>
      <c r="CR31" s="123" t="s">
        <v>302</v>
      </c>
    </row>
    <row r="32" spans="1:96" ht="30" hidden="1" outlineLevel="2" x14ac:dyDescent="0.25">
      <c r="A32" s="246"/>
      <c r="B32" s="259" t="s">
        <v>334</v>
      </c>
      <c r="C32" s="260" t="s">
        <v>2257</v>
      </c>
      <c r="D32" s="260"/>
      <c r="E32" s="260"/>
      <c r="F32" s="260"/>
      <c r="G32" s="260"/>
      <c r="H32" s="260"/>
      <c r="I32" s="260"/>
      <c r="J32" s="260"/>
      <c r="K32" s="260"/>
      <c r="L32" s="260"/>
      <c r="M32" s="260"/>
      <c r="N32" s="235">
        <f t="shared" si="13"/>
        <v>0</v>
      </c>
      <c r="O32" s="333"/>
      <c r="P32" s="260"/>
      <c r="Q32" s="365"/>
      <c r="R32" s="364"/>
      <c r="S32" s="260"/>
      <c r="T32" s="365"/>
      <c r="U32" s="364"/>
      <c r="V32" s="260"/>
      <c r="W32" s="365"/>
      <c r="X32" s="364"/>
      <c r="Y32" s="260"/>
      <c r="Z32" s="334"/>
      <c r="AA32" s="260"/>
      <c r="AB32" s="260"/>
      <c r="AC32" s="260"/>
      <c r="AD32" s="261"/>
      <c r="AE32" s="260"/>
      <c r="AF32" s="260"/>
      <c r="AG32" s="261"/>
      <c r="AH32" s="260"/>
      <c r="AI32" s="260"/>
      <c r="AJ32" s="261"/>
      <c r="AK32" s="260"/>
      <c r="AL32" s="260"/>
      <c r="AM32" s="261"/>
      <c r="AN32" s="260"/>
      <c r="AQ32" s="202"/>
      <c r="AZ32" s="203"/>
      <c r="BF32" s="203"/>
      <c r="BK32" s="203"/>
      <c r="BP32" s="203"/>
      <c r="BQ32" s="202"/>
      <c r="CA32" s="203"/>
      <c r="CR32" s="125"/>
    </row>
    <row r="33" spans="1:96" ht="30" outlineLevel="1" collapsed="1" x14ac:dyDescent="0.25">
      <c r="A33" s="134" t="s">
        <v>402</v>
      </c>
      <c r="B33" s="114" t="s">
        <v>34</v>
      </c>
      <c r="C33" s="114"/>
      <c r="D33" s="114"/>
      <c r="E33" s="491"/>
      <c r="F33" s="109" t="s">
        <v>326</v>
      </c>
      <c r="G33" s="109" t="s">
        <v>953</v>
      </c>
      <c r="H33" s="111" t="s">
        <v>243</v>
      </c>
      <c r="I33" s="111" t="s">
        <v>243</v>
      </c>
      <c r="J33" s="111" t="s">
        <v>242</v>
      </c>
      <c r="K33" s="111" t="s">
        <v>242</v>
      </c>
      <c r="L33" s="111" t="s">
        <v>1692</v>
      </c>
      <c r="M33" s="109">
        <v>2</v>
      </c>
      <c r="N33" s="235">
        <f t="shared" si="13"/>
        <v>2</v>
      </c>
      <c r="O33" s="200" t="str">
        <f t="shared" ref="O33" si="34">IF(AC33="ДА",$M33,"")</f>
        <v/>
      </c>
      <c r="P33" s="144"/>
      <c r="Q33" s="357">
        <f>IF(AC33="ДА",ROUNDUP(O33/5,0),0)</f>
        <v>0</v>
      </c>
      <c r="R33" s="356">
        <f>IF(AF33="ДА",$M33,"")</f>
        <v>2</v>
      </c>
      <c r="S33" s="144"/>
      <c r="T33" s="357">
        <f>IF(AF33="ДА",ROUNDUP(R33/5,0),0)</f>
        <v>1</v>
      </c>
      <c r="U33" s="356" t="str">
        <f>IF(AI33="ДА",$M33,"")</f>
        <v/>
      </c>
      <c r="V33" s="144"/>
      <c r="W33" s="357">
        <f>IF(AI33="ДА",ROUNDUP(U33/5,0),0)</f>
        <v>0</v>
      </c>
      <c r="X33" s="356" t="str">
        <f>IF(AL33="ДА",$M33,"")</f>
        <v/>
      </c>
      <c r="Y33" s="144"/>
      <c r="Z33" s="201">
        <f>IF(AL33="ДА",ROUNDUP(X33/5,0),0)</f>
        <v>0</v>
      </c>
      <c r="AA33" s="388" t="str">
        <f>IF(OR(AC33="ДА",AF33="ДА",AI33="ДА",AL33="ДА"),"ДА","НЕТ")</f>
        <v>ДА</v>
      </c>
      <c r="AB33" s="388"/>
      <c r="AC33" s="37" t="str">
        <f>IF(AC$8=$BT$9,$BT33,IF(AC$8=$BS$9,$BS33,IF(AC$8=$BU$9,$BU33,IF(AC$8=$BV$9,$BV33,IF(AC$8=$BW$9,$BW33,IF(AC$8=$BX$9,$BX33,IF(AC$8=$BY$9,$BY33,IF(AC$8=$BZ$9,$BZ33,IF(AC$8=$CA$9,$CA33,IF(AC$8=$CC$9,$CC33,IF(AC$8=$CD$9,$CD33,IF(AC$8=$CE$9,$CE33,IF(AC$8=$CF$9,$CF33,IF(AC$8=$CG$9,$CG33,IF(AC$8=$CH$9,$CH33,IF(AC$8=$CI$9,$CI33,IF(AC$8=$CJ$9,$CJ33,IF(AC$8=$CK$9,$CK33,IF(AC$8=$CL$9,$CL33,IF(AC$8=$CM$9,$CM33,IF(AC$8=$CN$9,$CN33,IF(AC$8=$CO$9,$CO33,IF(AC$8=$CP$9,$CP33,IF(AC$8=$CQ$9,$CQ33,"НЕТ"))))))))))))))))))))))))</f>
        <v>НЕТ</v>
      </c>
      <c r="AD33" s="37" t="str">
        <f>IF(AC33="НЕТ","Не требуется",$CR33)</f>
        <v>Не требуется</v>
      </c>
      <c r="AE33" s="37"/>
      <c r="AF33" s="37" t="str">
        <f t="shared" ref="AF33:AL33" si="35">IF(AF$8=$BT$9,$BT33,IF(AF$8=$BS$9,$BS33,IF(AF$8=$BU$9,$BU33,IF(AF$8=$BV$9,$BV33,IF(AF$8=$BW$9,$BW33,IF(AF$8=$BX$9,$BX33,IF(AF$8=$BY$9,$BY33,IF(AF$8=$BZ$9,$BZ33,IF(AF$8=$CA$9,$CA33,IF(AF$8=$CC$9,$CC33,IF(AF$8=$CD$9,$CD33,IF(AF$8=$CE$9,$CE33,IF(AF$8=$CF$9,$CF33,IF(AF$8=$CG$9,$CG33,IF(AF$8=$CH$9,$CH33,IF(AF$8=$CI$9,$CI33,IF(AF$8=$CJ$9,$CJ33,IF(AF$8=$CK$9,$CK33,IF(AF$8=$CL$9,$CL33,IF(AF$8=$CM$9,$CM33,IF(AF$8=$CN$9,$CN33,IF(AF$8=$CO$9,$CO33,IF(AF$8=$CP$9,$CP33,IF(AF$8=$CQ$9,$CQ33,"НЕТ"))))))))))))))))))))))))</f>
        <v>ДА</v>
      </c>
      <c r="AG33" s="37" t="str">
        <f t="shared" si="35"/>
        <v>НЕТ</v>
      </c>
      <c r="AH33" s="37" t="str">
        <f t="shared" si="35"/>
        <v>НЕТ</v>
      </c>
      <c r="AI33" s="37" t="str">
        <f t="shared" si="35"/>
        <v>НЕТ</v>
      </c>
      <c r="AJ33" s="37" t="str">
        <f t="shared" si="35"/>
        <v>НЕТ</v>
      </c>
      <c r="AK33" s="37" t="str">
        <f t="shared" si="35"/>
        <v>НЕТ</v>
      </c>
      <c r="AL33" s="37" t="str">
        <f t="shared" si="35"/>
        <v>НЕТ</v>
      </c>
      <c r="AM33" s="37" t="str">
        <f>IF(AL33="НЕТ","Не требуется",$CR33)</f>
        <v>Не требуется</v>
      </c>
      <c r="AN33" s="37"/>
      <c r="AQ33" s="200"/>
      <c r="AR33" s="230"/>
      <c r="AS33" s="144" t="str">
        <f>IF(BS33="ДА",$M33,"")</f>
        <v/>
      </c>
      <c r="AT33" s="144" t="str">
        <f t="shared" ref="AT33:AV33" si="36">IF(BT33="ДА",$M33,"")</f>
        <v/>
      </c>
      <c r="AU33" s="144" t="str">
        <f t="shared" si="36"/>
        <v/>
      </c>
      <c r="AV33" s="144" t="str">
        <f t="shared" si="36"/>
        <v/>
      </c>
      <c r="AW33" s="144" t="str">
        <f>IF(BX33="ДА",$M33,"")</f>
        <v/>
      </c>
      <c r="AX33" s="144">
        <f>IF(BY33="ДА",$M33,"")</f>
        <v>2</v>
      </c>
      <c r="AY33" s="144">
        <f>IF(BZ33="ДА",$M33,"")</f>
        <v>2</v>
      </c>
      <c r="AZ33" s="201">
        <f>IF(CA33="ДА",$M33,"")</f>
        <v>2</v>
      </c>
      <c r="BA33" s="235"/>
      <c r="BB33" s="144" t="str">
        <f t="shared" ref="BB33:BP33" si="37">IF(CC33="ДА",$M33,"")</f>
        <v/>
      </c>
      <c r="BC33" s="144">
        <f t="shared" si="37"/>
        <v>2</v>
      </c>
      <c r="BD33" s="144" t="str">
        <f t="shared" si="37"/>
        <v/>
      </c>
      <c r="BE33" s="144" t="str">
        <f t="shared" si="37"/>
        <v/>
      </c>
      <c r="BF33" s="201" t="str">
        <f t="shared" si="37"/>
        <v/>
      </c>
      <c r="BG33" s="144">
        <f t="shared" si="37"/>
        <v>2</v>
      </c>
      <c r="BH33" s="144">
        <f t="shared" si="37"/>
        <v>2</v>
      </c>
      <c r="BI33" s="144" t="str">
        <f t="shared" si="37"/>
        <v/>
      </c>
      <c r="BJ33" s="144">
        <f t="shared" si="37"/>
        <v>2</v>
      </c>
      <c r="BK33" s="201">
        <f t="shared" si="37"/>
        <v>2</v>
      </c>
      <c r="BL33" s="144">
        <f t="shared" si="37"/>
        <v>2</v>
      </c>
      <c r="BM33" s="144" t="str">
        <f t="shared" si="37"/>
        <v/>
      </c>
      <c r="BN33" s="144" t="str">
        <f t="shared" si="37"/>
        <v/>
      </c>
      <c r="BO33" s="144" t="str">
        <f t="shared" si="37"/>
        <v/>
      </c>
      <c r="BP33" s="201" t="str">
        <f t="shared" si="37"/>
        <v/>
      </c>
      <c r="BQ33" s="209"/>
      <c r="BR33" s="388"/>
      <c r="BS33" s="37" t="s">
        <v>255</v>
      </c>
      <c r="BT33" s="37" t="s">
        <v>255</v>
      </c>
      <c r="BU33" s="37" t="s">
        <v>255</v>
      </c>
      <c r="BV33" s="37" t="s">
        <v>255</v>
      </c>
      <c r="BW33" s="37" t="s">
        <v>255</v>
      </c>
      <c r="BX33" s="37" t="s">
        <v>255</v>
      </c>
      <c r="BY33" s="37" t="s">
        <v>246</v>
      </c>
      <c r="BZ33" s="37" t="s">
        <v>246</v>
      </c>
      <c r="CA33" s="123" t="s">
        <v>246</v>
      </c>
      <c r="CB33" s="223"/>
      <c r="CC33" s="37" t="s">
        <v>255</v>
      </c>
      <c r="CD33" s="37" t="s">
        <v>246</v>
      </c>
      <c r="CE33" s="37" t="s">
        <v>255</v>
      </c>
      <c r="CF33" s="37" t="s">
        <v>255</v>
      </c>
      <c r="CG33" s="37" t="s">
        <v>255</v>
      </c>
      <c r="CH33" s="37" t="s">
        <v>246</v>
      </c>
      <c r="CI33" s="37" t="s">
        <v>246</v>
      </c>
      <c r="CJ33" s="37" t="s">
        <v>255</v>
      </c>
      <c r="CK33" s="37" t="s">
        <v>246</v>
      </c>
      <c r="CL33" s="37" t="s">
        <v>246</v>
      </c>
      <c r="CM33" s="37" t="s">
        <v>246</v>
      </c>
      <c r="CN33" s="37" t="s">
        <v>255</v>
      </c>
      <c r="CO33" s="37" t="s">
        <v>255</v>
      </c>
      <c r="CP33" s="37" t="s">
        <v>255</v>
      </c>
      <c r="CQ33" s="37" t="s">
        <v>255</v>
      </c>
      <c r="CR33" s="123" t="s">
        <v>302</v>
      </c>
    </row>
    <row r="34" spans="1:96" ht="45" hidden="1" outlineLevel="2" x14ac:dyDescent="0.25">
      <c r="A34" s="133"/>
      <c r="B34" s="253" t="s">
        <v>335</v>
      </c>
      <c r="C34" s="254" t="s">
        <v>2258</v>
      </c>
      <c r="D34" s="254"/>
      <c r="E34" s="254"/>
      <c r="F34" s="254"/>
      <c r="G34" s="254"/>
      <c r="H34" s="254"/>
      <c r="I34" s="254"/>
      <c r="J34" s="254"/>
      <c r="K34" s="254"/>
      <c r="L34" s="254"/>
      <c r="M34" s="254"/>
      <c r="N34" s="235">
        <f t="shared" si="13"/>
        <v>0</v>
      </c>
      <c r="O34" s="329"/>
      <c r="P34" s="254"/>
      <c r="Q34" s="361"/>
      <c r="R34" s="360"/>
      <c r="S34" s="254"/>
      <c r="T34" s="361"/>
      <c r="U34" s="360"/>
      <c r="V34" s="254"/>
      <c r="W34" s="361"/>
      <c r="X34" s="360"/>
      <c r="Y34" s="254"/>
      <c r="Z34" s="330"/>
      <c r="AA34" s="254"/>
      <c r="AB34" s="254"/>
      <c r="AC34" s="254"/>
      <c r="AD34" s="255"/>
      <c r="AE34" s="254"/>
      <c r="AF34" s="254"/>
      <c r="AG34" s="255"/>
      <c r="AH34" s="254"/>
      <c r="AI34" s="254"/>
      <c r="AJ34" s="255"/>
      <c r="AK34" s="254"/>
      <c r="AL34" s="254"/>
      <c r="AM34" s="255"/>
      <c r="AN34" s="254"/>
      <c r="AQ34" s="202"/>
      <c r="AZ34" s="203"/>
      <c r="BF34" s="203"/>
      <c r="BK34" s="203"/>
      <c r="BP34" s="203"/>
      <c r="BQ34" s="202"/>
      <c r="CA34" s="203"/>
      <c r="CR34" s="125"/>
    </row>
    <row r="35" spans="1:96" ht="75" hidden="1" outlineLevel="2" x14ac:dyDescent="0.25">
      <c r="A35" s="133"/>
      <c r="B35" s="253" t="s">
        <v>1713</v>
      </c>
      <c r="C35" s="254" t="s">
        <v>2258</v>
      </c>
      <c r="D35" s="254"/>
      <c r="E35" s="254"/>
      <c r="F35" s="254"/>
      <c r="G35" s="254"/>
      <c r="H35" s="254"/>
      <c r="I35" s="254"/>
      <c r="J35" s="254"/>
      <c r="K35" s="254"/>
      <c r="L35" s="254"/>
      <c r="M35" s="254"/>
      <c r="N35" s="235">
        <f t="shared" si="13"/>
        <v>0</v>
      </c>
      <c r="O35" s="329"/>
      <c r="P35" s="254"/>
      <c r="Q35" s="361"/>
      <c r="R35" s="360"/>
      <c r="S35" s="254"/>
      <c r="T35" s="361"/>
      <c r="U35" s="360"/>
      <c r="V35" s="254"/>
      <c r="W35" s="361"/>
      <c r="X35" s="360"/>
      <c r="Y35" s="254"/>
      <c r="Z35" s="330"/>
      <c r="AA35" s="254"/>
      <c r="AB35" s="254"/>
      <c r="AC35" s="254"/>
      <c r="AD35" s="255"/>
      <c r="AE35" s="254"/>
      <c r="AF35" s="254"/>
      <c r="AG35" s="255"/>
      <c r="AH35" s="254"/>
      <c r="AI35" s="254"/>
      <c r="AJ35" s="255"/>
      <c r="AK35" s="254"/>
      <c r="AL35" s="254"/>
      <c r="AM35" s="255"/>
      <c r="AN35" s="254"/>
      <c r="AQ35" s="202"/>
      <c r="AZ35" s="203"/>
      <c r="BF35" s="203"/>
      <c r="BK35" s="203"/>
      <c r="BP35" s="203"/>
      <c r="BQ35" s="202"/>
      <c r="CA35" s="203"/>
      <c r="CR35" s="125"/>
    </row>
    <row r="36" spans="1:96" ht="30" hidden="1" outlineLevel="2" x14ac:dyDescent="0.25">
      <c r="A36" s="133"/>
      <c r="B36" s="253" t="s">
        <v>336</v>
      </c>
      <c r="C36" s="254" t="s">
        <v>2258</v>
      </c>
      <c r="D36" s="254"/>
      <c r="E36" s="254"/>
      <c r="F36" s="254"/>
      <c r="G36" s="254"/>
      <c r="H36" s="254"/>
      <c r="I36" s="254"/>
      <c r="J36" s="254"/>
      <c r="K36" s="254"/>
      <c r="L36" s="254"/>
      <c r="M36" s="254"/>
      <c r="N36" s="235">
        <f t="shared" si="13"/>
        <v>0</v>
      </c>
      <c r="O36" s="329"/>
      <c r="P36" s="254"/>
      <c r="Q36" s="361"/>
      <c r="R36" s="360"/>
      <c r="S36" s="254"/>
      <c r="T36" s="361"/>
      <c r="U36" s="360"/>
      <c r="V36" s="254"/>
      <c r="W36" s="361"/>
      <c r="X36" s="360"/>
      <c r="Y36" s="254"/>
      <c r="Z36" s="330"/>
      <c r="AA36" s="254"/>
      <c r="AB36" s="254"/>
      <c r="AC36" s="254"/>
      <c r="AD36" s="255"/>
      <c r="AE36" s="254"/>
      <c r="AF36" s="254"/>
      <c r="AG36" s="255"/>
      <c r="AH36" s="254"/>
      <c r="AI36" s="254"/>
      <c r="AJ36" s="255"/>
      <c r="AK36" s="254"/>
      <c r="AL36" s="254"/>
      <c r="AM36" s="255"/>
      <c r="AN36" s="254"/>
      <c r="AQ36" s="202"/>
      <c r="AZ36" s="203"/>
      <c r="BF36" s="203"/>
      <c r="BK36" s="203"/>
      <c r="BP36" s="203"/>
      <c r="BQ36" s="202"/>
      <c r="CA36" s="203"/>
      <c r="CR36" s="125"/>
    </row>
    <row r="37" spans="1:96" ht="30" outlineLevel="1" x14ac:dyDescent="0.25">
      <c r="A37" s="44" t="s">
        <v>403</v>
      </c>
      <c r="B37" s="120" t="s">
        <v>1714</v>
      </c>
      <c r="C37" s="861" t="s">
        <v>243</v>
      </c>
      <c r="D37" s="120"/>
      <c r="E37" s="121"/>
      <c r="F37" s="34" t="s">
        <v>225</v>
      </c>
      <c r="G37" s="120" t="s">
        <v>579</v>
      </c>
      <c r="H37" s="111" t="s">
        <v>1693</v>
      </c>
      <c r="I37" s="111" t="s">
        <v>1693</v>
      </c>
      <c r="J37" s="111" t="s">
        <v>1693</v>
      </c>
      <c r="K37" s="111" t="s">
        <v>1693</v>
      </c>
      <c r="L37" s="111" t="s">
        <v>1693</v>
      </c>
      <c r="M37" s="34">
        <v>10</v>
      </c>
      <c r="N37" s="235">
        <f t="shared" si="13"/>
        <v>0</v>
      </c>
      <c r="O37" s="200" t="str">
        <f t="shared" ref="O37" si="38">IF(AC37="ДА",$M37,"")</f>
        <v/>
      </c>
      <c r="P37" s="144"/>
      <c r="Q37" s="357">
        <f>IF(AC37="ДА",ROUNDUP(O37/5,0),0)</f>
        <v>0</v>
      </c>
      <c r="R37" s="356" t="str">
        <f>IF(AF37="ДА",$M37,"")</f>
        <v/>
      </c>
      <c r="S37" s="144"/>
      <c r="T37" s="357">
        <f>IF(AF37="ДА",ROUNDUP(R37/5,0),0)</f>
        <v>0</v>
      </c>
      <c r="U37" s="356" t="str">
        <f>IF(AI37="ДА",$M37,"")</f>
        <v/>
      </c>
      <c r="V37" s="144"/>
      <c r="W37" s="357">
        <f>IF(AI37="ДА",ROUNDUP(U37/5,0),0)</f>
        <v>0</v>
      </c>
      <c r="X37" s="356" t="str">
        <f>IF(AL37="ДА",$M37,"")</f>
        <v/>
      </c>
      <c r="Y37" s="144"/>
      <c r="Z37" s="201">
        <f>IF(AL37="ДА",ROUNDUP(X37/5,0),0)</f>
        <v>0</v>
      </c>
      <c r="AA37" s="388" t="str">
        <f>IF(OR(AC37="ДА",AF37="ДА",AI37="ДА",AL37="ДА"),"ДА","НЕТ")</f>
        <v>НЕТ</v>
      </c>
      <c r="AB37" s="388"/>
      <c r="AC37" s="37" t="str">
        <f>IF(AC$8=$BT$9,$BT37,IF(AC$8=$BS$9,$BS37,IF(AC$8=$BU$9,$BU37,IF(AC$8=$BV$9,$BV37,IF(AC$8=$BW$9,$BW37,IF(AC$8=$BX$9,$BX37,IF(AC$8=$BY$9,$BY37,IF(AC$8=$BZ$9,$BZ37,IF(AC$8=$CA$9,$CA37,IF(AC$8=$CC$9,$CC37,IF(AC$8=$CD$9,$CD37,IF(AC$8=$CE$9,$CE37,IF(AC$8=$CF$9,$CF37,IF(AC$8=$CG$9,$CG37,IF(AC$8=$CH$9,$CH37,IF(AC$8=$CI$9,$CI37,IF(AC$8=$CJ$9,$CJ37,IF(AC$8=$CK$9,$CK37,IF(AC$8=$CL$9,$CL37,IF(AC$8=$CM$9,$CM37,IF(AC$8=$CN$9,$CN37,IF(AC$8=$CO$9,$CO37,IF(AC$8=$CP$9,$CP37,IF(AC$8=$CQ$9,$CQ37,"НЕТ"))))))))))))))))))))))))</f>
        <v>НЕТ</v>
      </c>
      <c r="AD37" s="37" t="str">
        <f>IF(AC37="НЕТ","Не требуется",$CR37)</f>
        <v>Не требуется</v>
      </c>
      <c r="AE37" s="37"/>
      <c r="AF37" s="37" t="str">
        <f t="shared" ref="AF37:AL37" si="39">IF(AF$8=$BT$9,$BT37,IF(AF$8=$BS$9,$BS37,IF(AF$8=$BU$9,$BU37,IF(AF$8=$BV$9,$BV37,IF(AF$8=$BW$9,$BW37,IF(AF$8=$BX$9,$BX37,IF(AF$8=$BY$9,$BY37,IF(AF$8=$BZ$9,$BZ37,IF(AF$8=$CA$9,$CA37,IF(AF$8=$CC$9,$CC37,IF(AF$8=$CD$9,$CD37,IF(AF$8=$CE$9,$CE37,IF(AF$8=$CF$9,$CF37,IF(AF$8=$CG$9,$CG37,IF(AF$8=$CH$9,$CH37,IF(AF$8=$CI$9,$CI37,IF(AF$8=$CJ$9,$CJ37,IF(AF$8=$CK$9,$CK37,IF(AF$8=$CL$9,$CL37,IF(AF$8=$CM$9,$CM37,IF(AF$8=$CN$9,$CN37,IF(AF$8=$CO$9,$CO37,IF(AF$8=$CP$9,$CP37,IF(AF$8=$CQ$9,$CQ37,"НЕТ"))))))))))))))))))))))))</f>
        <v>НЕТ</v>
      </c>
      <c r="AG37" s="37" t="str">
        <f t="shared" si="39"/>
        <v>НЕТ</v>
      </c>
      <c r="AH37" s="37" t="str">
        <f t="shared" si="39"/>
        <v>НЕТ</v>
      </c>
      <c r="AI37" s="37" t="str">
        <f t="shared" si="39"/>
        <v>НЕТ</v>
      </c>
      <c r="AJ37" s="37" t="str">
        <f t="shared" si="39"/>
        <v>НЕТ</v>
      </c>
      <c r="AK37" s="37" t="str">
        <f t="shared" si="39"/>
        <v>НЕТ</v>
      </c>
      <c r="AL37" s="37" t="str">
        <f t="shared" si="39"/>
        <v>НЕТ</v>
      </c>
      <c r="AM37" s="37" t="str">
        <f>IF(AL37="НЕТ","Не требуется",$CR37)</f>
        <v>Не требуется</v>
      </c>
      <c r="AN37" s="37"/>
      <c r="AQ37" s="200"/>
      <c r="AR37" s="230"/>
      <c r="AS37" s="144" t="str">
        <f>IF(BS37="ДА",$M37,"")</f>
        <v/>
      </c>
      <c r="AT37" s="144" t="str">
        <f t="shared" ref="AT37:AV37" si="40">IF(BT37="ДА",$M37,"")</f>
        <v/>
      </c>
      <c r="AU37" s="144" t="str">
        <f t="shared" si="40"/>
        <v/>
      </c>
      <c r="AV37" s="144" t="str">
        <f t="shared" si="40"/>
        <v/>
      </c>
      <c r="AW37" s="144" t="str">
        <f>IF(BX37="ДА",$M37,"")</f>
        <v/>
      </c>
      <c r="AX37" s="144" t="str">
        <f>IF(BY37="ДА",$M37,"")</f>
        <v/>
      </c>
      <c r="AY37" s="144" t="str">
        <f>IF(BZ37="ДА",$M37,"")</f>
        <v/>
      </c>
      <c r="AZ37" s="201">
        <f>IF(CA37="ДА",$M37,"")</f>
        <v>10</v>
      </c>
      <c r="BA37" s="235"/>
      <c r="BB37" s="144" t="str">
        <f t="shared" ref="BB37:BP37" si="41">IF(CC37="ДА",$M37,"")</f>
        <v/>
      </c>
      <c r="BC37" s="144" t="str">
        <f t="shared" si="41"/>
        <v/>
      </c>
      <c r="BD37" s="144" t="str">
        <f t="shared" si="41"/>
        <v/>
      </c>
      <c r="BE37" s="144" t="str">
        <f t="shared" si="41"/>
        <v/>
      </c>
      <c r="BF37" s="201" t="str">
        <f t="shared" si="41"/>
        <v/>
      </c>
      <c r="BG37" s="144" t="str">
        <f t="shared" si="41"/>
        <v/>
      </c>
      <c r="BH37" s="144" t="str">
        <f t="shared" si="41"/>
        <v/>
      </c>
      <c r="BI37" s="144" t="str">
        <f t="shared" si="41"/>
        <v/>
      </c>
      <c r="BJ37" s="144">
        <f t="shared" si="41"/>
        <v>10</v>
      </c>
      <c r="BK37" s="201" t="str">
        <f t="shared" si="41"/>
        <v/>
      </c>
      <c r="BL37" s="144" t="str">
        <f t="shared" si="41"/>
        <v/>
      </c>
      <c r="BM37" s="144" t="str">
        <f t="shared" si="41"/>
        <v/>
      </c>
      <c r="BN37" s="144" t="str">
        <f t="shared" si="41"/>
        <v/>
      </c>
      <c r="BO37" s="144" t="str">
        <f t="shared" si="41"/>
        <v/>
      </c>
      <c r="BP37" s="201" t="str">
        <f t="shared" si="41"/>
        <v/>
      </c>
      <c r="BQ37" s="209"/>
      <c r="BR37" s="388"/>
      <c r="BS37" s="37" t="s">
        <v>255</v>
      </c>
      <c r="BT37" s="37" t="s">
        <v>255</v>
      </c>
      <c r="BU37" s="37" t="s">
        <v>255</v>
      </c>
      <c r="BV37" s="37" t="s">
        <v>255</v>
      </c>
      <c r="BW37" s="37" t="s">
        <v>255</v>
      </c>
      <c r="BX37" s="37" t="s">
        <v>255</v>
      </c>
      <c r="BY37" s="37" t="s">
        <v>255</v>
      </c>
      <c r="BZ37" s="37" t="s">
        <v>255</v>
      </c>
      <c r="CA37" s="123" t="s">
        <v>246</v>
      </c>
      <c r="CB37" s="223"/>
      <c r="CC37" s="37" t="s">
        <v>255</v>
      </c>
      <c r="CD37" s="37" t="s">
        <v>255</v>
      </c>
      <c r="CE37" s="37" t="s">
        <v>255</v>
      </c>
      <c r="CF37" s="37" t="s">
        <v>255</v>
      </c>
      <c r="CG37" s="37" t="s">
        <v>255</v>
      </c>
      <c r="CH37" s="37" t="s">
        <v>255</v>
      </c>
      <c r="CI37" s="37" t="s">
        <v>255</v>
      </c>
      <c r="CJ37" s="37" t="s">
        <v>255</v>
      </c>
      <c r="CK37" s="37" t="s">
        <v>246</v>
      </c>
      <c r="CL37" s="37" t="s">
        <v>255</v>
      </c>
      <c r="CM37" s="37" t="s">
        <v>255</v>
      </c>
      <c r="CN37" s="37" t="s">
        <v>255</v>
      </c>
      <c r="CO37" s="37" t="s">
        <v>255</v>
      </c>
      <c r="CP37" s="37" t="s">
        <v>255</v>
      </c>
      <c r="CQ37" s="37" t="s">
        <v>255</v>
      </c>
      <c r="CR37" s="123" t="s">
        <v>302</v>
      </c>
    </row>
    <row r="38" spans="1:96" ht="15.75" x14ac:dyDescent="0.25">
      <c r="A38" s="54" t="s">
        <v>405</v>
      </c>
      <c r="B38" s="119" t="s">
        <v>37</v>
      </c>
      <c r="C38" s="119"/>
      <c r="D38" s="119"/>
      <c r="E38" s="493"/>
      <c r="F38" s="49" t="s">
        <v>221</v>
      </c>
      <c r="G38" s="49" t="s">
        <v>221</v>
      </c>
      <c r="H38" s="49" t="s">
        <v>221</v>
      </c>
      <c r="I38" s="49" t="s">
        <v>221</v>
      </c>
      <c r="J38" s="49" t="s">
        <v>221</v>
      </c>
      <c r="K38" s="49" t="s">
        <v>221</v>
      </c>
      <c r="L38" s="49" t="s">
        <v>221</v>
      </c>
      <c r="M38" s="81">
        <f>SUM(M39,M50,M54,M59,M61,M64,M65,M66)</f>
        <v>26</v>
      </c>
      <c r="N38" s="81">
        <f>SUM(N39,N50,N54,N59,N61,N64,N65,N66)</f>
        <v>33</v>
      </c>
      <c r="O38" s="81">
        <f t="shared" ref="O38:Z38" si="42">SUM(O39,O50,O54,O59,O61,O64,O65,O66)</f>
        <v>6</v>
      </c>
      <c r="P38" s="81">
        <f t="shared" si="42"/>
        <v>0</v>
      </c>
      <c r="Q38" s="81">
        <f t="shared" si="42"/>
        <v>5</v>
      </c>
      <c r="R38" s="81">
        <f t="shared" si="42"/>
        <v>21</v>
      </c>
      <c r="S38" s="81">
        <f t="shared" si="42"/>
        <v>0</v>
      </c>
      <c r="T38" s="81">
        <f t="shared" si="42"/>
        <v>8</v>
      </c>
      <c r="U38" s="81">
        <f t="shared" si="42"/>
        <v>6</v>
      </c>
      <c r="V38" s="81">
        <f t="shared" si="42"/>
        <v>0</v>
      </c>
      <c r="W38" s="81">
        <f t="shared" si="42"/>
        <v>5</v>
      </c>
      <c r="X38" s="81">
        <f t="shared" si="42"/>
        <v>0</v>
      </c>
      <c r="Y38" s="81">
        <f t="shared" si="42"/>
        <v>0</v>
      </c>
      <c r="Z38" s="81">
        <f t="shared" si="42"/>
        <v>0</v>
      </c>
      <c r="AA38" s="387" t="str">
        <f>IF(N38&gt;0,"ДА","НЕТ")</f>
        <v>ДА</v>
      </c>
      <c r="AB38" s="387"/>
      <c r="AC38" s="140" t="str">
        <f>IF(O38&gt;0,"ДА","НЕТ")</f>
        <v>ДА</v>
      </c>
      <c r="AD38" s="118"/>
      <c r="AE38" s="140"/>
      <c r="AF38" s="140" t="str">
        <f>IF(R38&gt;0,"ДА","НЕТ")</f>
        <v>ДА</v>
      </c>
      <c r="AG38" s="118"/>
      <c r="AH38" s="140"/>
      <c r="AI38" s="140" t="str">
        <f>IF(U38&gt;0,"ДА","НЕТ")</f>
        <v>ДА</v>
      </c>
      <c r="AJ38" s="118"/>
      <c r="AK38" s="140"/>
      <c r="AL38" s="140" t="str">
        <f>IF(X38&gt;0,"ДА","НЕТ")</f>
        <v>НЕТ</v>
      </c>
      <c r="AM38" s="118"/>
      <c r="AN38" s="140"/>
      <c r="AQ38" s="199"/>
      <c r="AR38" s="229"/>
      <c r="AS38" s="49">
        <f>SUM(AS39,AS50,AS54,AS59,AS61,AS64,AS65,AS66)</f>
        <v>6</v>
      </c>
      <c r="AT38" s="49">
        <f t="shared" ref="AT38:AV38" si="43">SUM(AT39,AT50,AT54,AT59,AT61,AT64,AT65,AT66)</f>
        <v>5</v>
      </c>
      <c r="AU38" s="49">
        <f t="shared" si="43"/>
        <v>6</v>
      </c>
      <c r="AV38" s="49">
        <f t="shared" si="43"/>
        <v>6</v>
      </c>
      <c r="AW38" s="49">
        <f>SUM(AW39,AW50,AW54,AW59,AW61,AW64,AW65,AW66)</f>
        <v>6</v>
      </c>
      <c r="AX38" s="49">
        <f>SUM(AX39,AX50,AX54,AX59,AX61,AX64,AX65,AX66)</f>
        <v>16</v>
      </c>
      <c r="AY38" s="49">
        <f>SUM(AY39,AY50,AY54,AY59,AY61,AY64,AY65,AY66)</f>
        <v>21</v>
      </c>
      <c r="AZ38" s="52">
        <f>SUM(AZ39,AZ50,AZ54,AZ59,AZ61,AZ64,AZ65,AZ66)</f>
        <v>26</v>
      </c>
      <c r="BA38" s="81"/>
      <c r="BB38" s="49">
        <f t="shared" ref="BB38:BP38" si="44">SUM(BB39,BB50,BB54,BB59,BB61,BB64,BB65,BB66)</f>
        <v>4</v>
      </c>
      <c r="BC38" s="49">
        <f t="shared" si="44"/>
        <v>10</v>
      </c>
      <c r="BD38" s="49">
        <f t="shared" si="44"/>
        <v>3</v>
      </c>
      <c r="BE38" s="49">
        <f t="shared" si="44"/>
        <v>25</v>
      </c>
      <c r="BF38" s="52">
        <f t="shared" si="44"/>
        <v>24</v>
      </c>
      <c r="BG38" s="49">
        <f t="shared" si="44"/>
        <v>6</v>
      </c>
      <c r="BH38" s="49">
        <f t="shared" si="44"/>
        <v>10</v>
      </c>
      <c r="BI38" s="49">
        <f t="shared" si="44"/>
        <v>16</v>
      </c>
      <c r="BJ38" s="49">
        <f t="shared" si="44"/>
        <v>6</v>
      </c>
      <c r="BK38" s="52">
        <f t="shared" si="44"/>
        <v>2</v>
      </c>
      <c r="BL38" s="49">
        <f t="shared" si="44"/>
        <v>3</v>
      </c>
      <c r="BM38" s="49">
        <f t="shared" si="44"/>
        <v>0</v>
      </c>
      <c r="BN38" s="49">
        <f t="shared" si="44"/>
        <v>0</v>
      </c>
      <c r="BO38" s="49">
        <f t="shared" si="44"/>
        <v>0</v>
      </c>
      <c r="BP38" s="52">
        <f t="shared" si="44"/>
        <v>0</v>
      </c>
      <c r="BQ38" s="209"/>
      <c r="BR38" s="388"/>
      <c r="BS38" s="140" t="str">
        <f>IF(AS38&gt;0,"ДА","НЕТ")</f>
        <v>ДА</v>
      </c>
      <c r="BT38" s="140" t="str">
        <f t="shared" ref="BT38:BV38" si="45">IF(AT38&gt;0,"ДА","НЕТ")</f>
        <v>ДА</v>
      </c>
      <c r="BU38" s="140" t="str">
        <f t="shared" si="45"/>
        <v>ДА</v>
      </c>
      <c r="BV38" s="140" t="str">
        <f t="shared" si="45"/>
        <v>ДА</v>
      </c>
      <c r="BW38" s="140" t="str">
        <f>IF(AS38&gt;0,"ДА","НЕТ")</f>
        <v>ДА</v>
      </c>
      <c r="BX38" s="140" t="str">
        <f>IF(AW38&gt;0,"ДА","НЕТ")</f>
        <v>ДА</v>
      </c>
      <c r="BY38" s="140" t="str">
        <f>IF(AX38&gt;0,"ДА","НЕТ")</f>
        <v>ДА</v>
      </c>
      <c r="BZ38" s="140" t="str">
        <f>IF(AY38&gt;0,"ДА","НЕТ")</f>
        <v>ДА</v>
      </c>
      <c r="CA38" s="208" t="str">
        <f>IF(AZ38&gt;0,"ДА","НЕТ")</f>
        <v>ДА</v>
      </c>
      <c r="CB38" s="222"/>
      <c r="CC38" s="140" t="str">
        <f t="shared" ref="CC38:CQ38" si="46">IF(BB38&gt;0,"ДА","НЕТ")</f>
        <v>ДА</v>
      </c>
      <c r="CD38" s="140" t="str">
        <f t="shared" si="46"/>
        <v>ДА</v>
      </c>
      <c r="CE38" s="140" t="str">
        <f t="shared" si="46"/>
        <v>ДА</v>
      </c>
      <c r="CF38" s="140" t="str">
        <f t="shared" si="46"/>
        <v>ДА</v>
      </c>
      <c r="CG38" s="140" t="str">
        <f t="shared" si="46"/>
        <v>ДА</v>
      </c>
      <c r="CH38" s="140" t="str">
        <f t="shared" si="46"/>
        <v>ДА</v>
      </c>
      <c r="CI38" s="140" t="str">
        <f t="shared" si="46"/>
        <v>ДА</v>
      </c>
      <c r="CJ38" s="140" t="str">
        <f t="shared" si="46"/>
        <v>ДА</v>
      </c>
      <c r="CK38" s="140" t="str">
        <f t="shared" si="46"/>
        <v>ДА</v>
      </c>
      <c r="CL38" s="140" t="str">
        <f t="shared" si="46"/>
        <v>ДА</v>
      </c>
      <c r="CM38" s="140" t="str">
        <f t="shared" si="46"/>
        <v>ДА</v>
      </c>
      <c r="CN38" s="140" t="str">
        <f t="shared" si="46"/>
        <v>НЕТ</v>
      </c>
      <c r="CO38" s="140" t="str">
        <f t="shared" si="46"/>
        <v>НЕТ</v>
      </c>
      <c r="CP38" s="140" t="str">
        <f t="shared" si="46"/>
        <v>НЕТ</v>
      </c>
      <c r="CQ38" s="140" t="str">
        <f t="shared" si="46"/>
        <v>НЕТ</v>
      </c>
      <c r="CR38" s="122"/>
    </row>
    <row r="39" spans="1:96" ht="31.5" outlineLevel="1" collapsed="1" x14ac:dyDescent="0.25">
      <c r="A39" s="131" t="s">
        <v>406</v>
      </c>
      <c r="B39" s="113" t="s">
        <v>38</v>
      </c>
      <c r="C39" s="113"/>
      <c r="D39" s="113"/>
      <c r="E39" s="490"/>
      <c r="F39" s="111" t="s">
        <v>222</v>
      </c>
      <c r="G39" s="111" t="s">
        <v>563</v>
      </c>
      <c r="H39" s="111" t="s">
        <v>242</v>
      </c>
      <c r="I39" s="111" t="s">
        <v>242</v>
      </c>
      <c r="J39" s="111" t="s">
        <v>242</v>
      </c>
      <c r="K39" s="111" t="s">
        <v>242</v>
      </c>
      <c r="L39" s="111" t="s">
        <v>242</v>
      </c>
      <c r="M39" s="111">
        <v>2</v>
      </c>
      <c r="N39" s="235">
        <f t="shared" ref="N39:N66" si="47">SUM(O39,R39,U39,X39)</f>
        <v>6</v>
      </c>
      <c r="O39" s="200">
        <f t="shared" ref="O39" si="48">IF(AC39="ДА",$M39,"")</f>
        <v>2</v>
      </c>
      <c r="P39" s="144"/>
      <c r="Q39" s="357">
        <f>IF(AC39="ДА",ROUNDUP(O39/5,0),0)</f>
        <v>1</v>
      </c>
      <c r="R39" s="356">
        <f>IF(AF39="ДА",$M39,"")</f>
        <v>2</v>
      </c>
      <c r="S39" s="144"/>
      <c r="T39" s="357">
        <f>IF(AF39="ДА",ROUNDUP(R39/5,0),0)</f>
        <v>1</v>
      </c>
      <c r="U39" s="356">
        <f>IF(AI39="ДА",$M39,"")</f>
        <v>2</v>
      </c>
      <c r="V39" s="144"/>
      <c r="W39" s="357">
        <f>IF(AI39="ДА",ROUNDUP(U39/5,0),0)</f>
        <v>1</v>
      </c>
      <c r="X39" s="356" t="str">
        <f>IF(AL39="ДА",$M39,"")</f>
        <v/>
      </c>
      <c r="Y39" s="144"/>
      <c r="Z39" s="201">
        <f>IF(AL39="ДА",ROUNDUP(X39/5,0),0)</f>
        <v>0</v>
      </c>
      <c r="AA39" s="388" t="str">
        <f>IF(OR(AC39="ДА",AF39="ДА",AI39="ДА",AL39="ДА"),"ДА","НЕТ")</f>
        <v>ДА</v>
      </c>
      <c r="AB39" s="388"/>
      <c r="AC39" s="37" t="str">
        <f>IF(AC$8=$BT$9,$BT39,IF(AC$8=$BS$9,$BS39,IF(AC$8=$BU$9,$BU39,IF(AC$8=$BV$9,$BV39,IF(AC$8=$BW$9,$BW39,IF(AC$8=$BX$9,$BX39,IF(AC$8=$BY$9,$BY39,IF(AC$8=$BZ$9,$BZ39,IF(AC$8=$CA$9,$CA39,IF(AC$8=$CC$9,$CC39,IF(AC$8=$CD$9,$CD39,IF(AC$8=$CE$9,$CE39,IF(AC$8=$CF$9,$CF39,IF(AC$8=$CG$9,$CG39,IF(AC$8=$CH$9,$CH39,IF(AC$8=$CI$9,$CI39,IF(AC$8=$CJ$9,$CJ39,IF(AC$8=$CK$9,$CK39,IF(AC$8=$CL$9,$CL39,IF(AC$8=$CM$9,$CM39,IF(AC$8=$CN$9,$CN39,IF(AC$8=$CO$9,$CO39,IF(AC$8=$CP$9,$CP39,IF(AC$8=$CQ$9,$CQ39,"НЕТ"))))))))))))))))))))))))</f>
        <v>ДА</v>
      </c>
      <c r="AD39" s="37" t="str">
        <f>IF(AC39="НЕТ","Не требуется",$CR39)</f>
        <v>Не требуется</v>
      </c>
      <c r="AE39" s="37"/>
      <c r="AF39" s="37" t="str">
        <f t="shared" ref="AF39:AL39" si="49">IF(AF$8=$BT$9,$BT39,IF(AF$8=$BS$9,$BS39,IF(AF$8=$BU$9,$BU39,IF(AF$8=$BV$9,$BV39,IF(AF$8=$BW$9,$BW39,IF(AF$8=$BX$9,$BX39,IF(AF$8=$BY$9,$BY39,IF(AF$8=$BZ$9,$BZ39,IF(AF$8=$CA$9,$CA39,IF(AF$8=$CC$9,$CC39,IF(AF$8=$CD$9,$CD39,IF(AF$8=$CE$9,$CE39,IF(AF$8=$CF$9,$CF39,IF(AF$8=$CG$9,$CG39,IF(AF$8=$CH$9,$CH39,IF(AF$8=$CI$9,$CI39,IF(AF$8=$CJ$9,$CJ39,IF(AF$8=$CK$9,$CK39,IF(AF$8=$CL$9,$CL39,IF(AF$8=$CM$9,$CM39,IF(AF$8=$CN$9,$CN39,IF(AF$8=$CO$9,$CO39,IF(AF$8=$CP$9,$CP39,IF(AF$8=$CQ$9,$CQ39,"НЕТ"))))))))))))))))))))))))</f>
        <v>ДА</v>
      </c>
      <c r="AG39" s="37" t="str">
        <f t="shared" si="49"/>
        <v>НЕТ</v>
      </c>
      <c r="AH39" s="37" t="str">
        <f t="shared" si="49"/>
        <v>НЕТ</v>
      </c>
      <c r="AI39" s="37" t="str">
        <f t="shared" si="49"/>
        <v>ДА</v>
      </c>
      <c r="AJ39" s="37" t="str">
        <f t="shared" si="49"/>
        <v>НЕТ</v>
      </c>
      <c r="AK39" s="37" t="str">
        <f t="shared" si="49"/>
        <v>НЕТ</v>
      </c>
      <c r="AL39" s="37" t="str">
        <f t="shared" si="49"/>
        <v>НЕТ</v>
      </c>
      <c r="AM39" s="37" t="str">
        <f>IF(AL39="НЕТ","Не требуется",$CR39)</f>
        <v>Не требуется</v>
      </c>
      <c r="AN39" s="37"/>
      <c r="AQ39" s="200"/>
      <c r="AR39" s="230"/>
      <c r="AS39" s="144">
        <f>IF(BS39="ДА",$M39,"")</f>
        <v>2</v>
      </c>
      <c r="AT39" s="144">
        <f t="shared" ref="AT39:AV39" si="50">IF(BT39="ДА",$M39,"")</f>
        <v>2</v>
      </c>
      <c r="AU39" s="144">
        <f t="shared" si="50"/>
        <v>2</v>
      </c>
      <c r="AV39" s="144">
        <f t="shared" si="50"/>
        <v>2</v>
      </c>
      <c r="AW39" s="144">
        <f>IF(BX39="ДА",$M39,"")</f>
        <v>2</v>
      </c>
      <c r="AX39" s="144">
        <f>IF(BY39="ДА",$M39,"")</f>
        <v>2</v>
      </c>
      <c r="AY39" s="144">
        <f>IF(BZ39="ДА",$M39,"")</f>
        <v>2</v>
      </c>
      <c r="AZ39" s="201">
        <f>IF(CA39="ДА",$M39,"")</f>
        <v>2</v>
      </c>
      <c r="BA39" s="235"/>
      <c r="BB39" s="144">
        <f t="shared" ref="BB39:BP39" si="51">IF(CC39="ДА",$M39,"")</f>
        <v>2</v>
      </c>
      <c r="BC39" s="144">
        <f t="shared" si="51"/>
        <v>2</v>
      </c>
      <c r="BD39" s="144">
        <f t="shared" si="51"/>
        <v>2</v>
      </c>
      <c r="BE39" s="144">
        <f t="shared" si="51"/>
        <v>2</v>
      </c>
      <c r="BF39" s="201">
        <f t="shared" si="51"/>
        <v>2</v>
      </c>
      <c r="BG39" s="144">
        <f t="shared" si="51"/>
        <v>2</v>
      </c>
      <c r="BH39" s="144">
        <f t="shared" si="51"/>
        <v>2</v>
      </c>
      <c r="BI39" s="144">
        <f t="shared" si="51"/>
        <v>2</v>
      </c>
      <c r="BJ39" s="144">
        <f t="shared" si="51"/>
        <v>2</v>
      </c>
      <c r="BK39" s="201">
        <f t="shared" si="51"/>
        <v>2</v>
      </c>
      <c r="BL39" s="144">
        <f t="shared" si="51"/>
        <v>2</v>
      </c>
      <c r="BM39" s="144" t="str">
        <f t="shared" si="51"/>
        <v/>
      </c>
      <c r="BN39" s="144" t="str">
        <f t="shared" si="51"/>
        <v/>
      </c>
      <c r="BO39" s="144" t="str">
        <f t="shared" si="51"/>
        <v/>
      </c>
      <c r="BP39" s="201" t="str">
        <f t="shared" si="51"/>
        <v/>
      </c>
      <c r="BQ39" s="209"/>
      <c r="BR39" s="388"/>
      <c r="BS39" s="37" t="s">
        <v>246</v>
      </c>
      <c r="BT39" s="37" t="s">
        <v>246</v>
      </c>
      <c r="BU39" s="37" t="s">
        <v>246</v>
      </c>
      <c r="BV39" s="37" t="s">
        <v>246</v>
      </c>
      <c r="BW39" s="37" t="s">
        <v>246</v>
      </c>
      <c r="BX39" s="37" t="s">
        <v>246</v>
      </c>
      <c r="BY39" s="37" t="s">
        <v>246</v>
      </c>
      <c r="BZ39" s="37" t="s">
        <v>246</v>
      </c>
      <c r="CA39" s="123" t="s">
        <v>246</v>
      </c>
      <c r="CB39" s="223"/>
      <c r="CC39" s="37" t="s">
        <v>246</v>
      </c>
      <c r="CD39" s="37" t="s">
        <v>246</v>
      </c>
      <c r="CE39" s="37" t="s">
        <v>246</v>
      </c>
      <c r="CF39" s="37" t="s">
        <v>246</v>
      </c>
      <c r="CG39" s="37" t="s">
        <v>246</v>
      </c>
      <c r="CH39" s="37" t="s">
        <v>246</v>
      </c>
      <c r="CI39" s="37" t="s">
        <v>246</v>
      </c>
      <c r="CJ39" s="37" t="s">
        <v>246</v>
      </c>
      <c r="CK39" s="37" t="s">
        <v>246</v>
      </c>
      <c r="CL39" s="37" t="s">
        <v>246</v>
      </c>
      <c r="CM39" s="37" t="s">
        <v>246</v>
      </c>
      <c r="CN39" s="37" t="s">
        <v>255</v>
      </c>
      <c r="CO39" s="37" t="s">
        <v>255</v>
      </c>
      <c r="CP39" s="37" t="s">
        <v>255</v>
      </c>
      <c r="CQ39" s="37" t="s">
        <v>255</v>
      </c>
      <c r="CR39" s="123" t="s">
        <v>300</v>
      </c>
    </row>
    <row r="40" spans="1:96" hidden="1" outlineLevel="2" x14ac:dyDescent="0.25">
      <c r="A40" s="133"/>
      <c r="B40" s="253" t="s">
        <v>39</v>
      </c>
      <c r="C40" s="254" t="s">
        <v>2259</v>
      </c>
      <c r="D40" s="254"/>
      <c r="E40" s="254"/>
      <c r="F40" s="254"/>
      <c r="G40" s="254"/>
      <c r="H40" s="254"/>
      <c r="I40" s="254"/>
      <c r="J40" s="254"/>
      <c r="K40" s="254"/>
      <c r="L40" s="254"/>
      <c r="M40" s="254"/>
      <c r="N40" s="235">
        <f t="shared" si="47"/>
        <v>0</v>
      </c>
      <c r="O40" s="329"/>
      <c r="P40" s="254"/>
      <c r="Q40" s="361"/>
      <c r="R40" s="360"/>
      <c r="S40" s="254"/>
      <c r="T40" s="361"/>
      <c r="U40" s="360"/>
      <c r="V40" s="254"/>
      <c r="W40" s="361"/>
      <c r="X40" s="360"/>
      <c r="Y40" s="254"/>
      <c r="Z40" s="330"/>
      <c r="AA40" s="254"/>
      <c r="AB40" s="793"/>
      <c r="AD40" s="255"/>
      <c r="AE40" s="254"/>
      <c r="AF40" s="254"/>
      <c r="AG40" s="255"/>
      <c r="AH40" s="254"/>
      <c r="AI40" s="254"/>
      <c r="AJ40" s="255"/>
      <c r="AK40" s="254"/>
      <c r="AL40" s="254"/>
      <c r="AM40" s="255"/>
      <c r="AN40" s="254"/>
      <c r="AQ40" s="202"/>
      <c r="AZ40" s="203"/>
      <c r="BF40" s="203"/>
      <c r="BK40" s="203"/>
      <c r="BP40" s="203"/>
      <c r="BQ40" s="202"/>
      <c r="CA40" s="203"/>
      <c r="CR40" s="125"/>
    </row>
    <row r="41" spans="1:96" ht="30" hidden="1" outlineLevel="2" x14ac:dyDescent="0.25">
      <c r="A41" s="133"/>
      <c r="B41" s="262" t="s">
        <v>40</v>
      </c>
      <c r="C41" s="263" t="s">
        <v>40</v>
      </c>
      <c r="D41" s="263"/>
      <c r="E41" s="263"/>
      <c r="F41" s="263"/>
      <c r="G41" s="263"/>
      <c r="H41" s="263"/>
      <c r="I41" s="263"/>
      <c r="J41" s="263"/>
      <c r="K41" s="263"/>
      <c r="L41" s="263"/>
      <c r="M41" s="263"/>
      <c r="N41" s="235">
        <f t="shared" si="47"/>
        <v>0</v>
      </c>
      <c r="O41" s="335"/>
      <c r="P41" s="263"/>
      <c r="Q41" s="367"/>
      <c r="R41" s="366"/>
      <c r="S41" s="263"/>
      <c r="T41" s="367"/>
      <c r="U41" s="366"/>
      <c r="V41" s="263"/>
      <c r="W41" s="367"/>
      <c r="X41" s="366"/>
      <c r="Y41" s="263"/>
      <c r="Z41" s="336"/>
      <c r="AA41" s="263"/>
      <c r="AB41" s="794"/>
      <c r="AD41" s="264"/>
      <c r="AE41" s="263"/>
      <c r="AF41" s="263"/>
      <c r="AG41" s="264"/>
      <c r="AH41" s="263"/>
      <c r="AI41" s="263"/>
      <c r="AJ41" s="264"/>
      <c r="AK41" s="263"/>
      <c r="AL41" s="263"/>
      <c r="AM41" s="264"/>
      <c r="AN41" s="263"/>
      <c r="AQ41" s="202"/>
      <c r="AZ41" s="203"/>
      <c r="BF41" s="203"/>
      <c r="BK41" s="203"/>
      <c r="BP41" s="203"/>
      <c r="BQ41" s="202"/>
      <c r="CA41" s="203"/>
      <c r="CR41" s="125"/>
    </row>
    <row r="42" spans="1:96" ht="60" hidden="1" outlineLevel="2" x14ac:dyDescent="0.25">
      <c r="A42" s="133"/>
      <c r="B42" s="253" t="s">
        <v>568</v>
      </c>
      <c r="C42" s="254" t="s">
        <v>568</v>
      </c>
      <c r="D42" s="254"/>
      <c r="E42" s="254"/>
      <c r="F42" s="254"/>
      <c r="G42" s="254"/>
      <c r="H42" s="254"/>
      <c r="I42" s="254"/>
      <c r="J42" s="254"/>
      <c r="K42" s="254"/>
      <c r="L42" s="254"/>
      <c r="M42" s="254"/>
      <c r="N42" s="235">
        <f t="shared" si="47"/>
        <v>0</v>
      </c>
      <c r="O42" s="329"/>
      <c r="P42" s="254"/>
      <c r="Q42" s="361"/>
      <c r="R42" s="360"/>
      <c r="S42" s="254"/>
      <c r="T42" s="361"/>
      <c r="U42" s="360"/>
      <c r="V42" s="254"/>
      <c r="W42" s="361"/>
      <c r="X42" s="360"/>
      <c r="Y42" s="254"/>
      <c r="Z42" s="330"/>
      <c r="AA42" s="254"/>
      <c r="AB42" s="793"/>
      <c r="AD42" s="255"/>
      <c r="AE42" s="254"/>
      <c r="AF42" s="254"/>
      <c r="AG42" s="255"/>
      <c r="AH42" s="254"/>
      <c r="AI42" s="254"/>
      <c r="AJ42" s="255"/>
      <c r="AK42" s="254"/>
      <c r="AL42" s="254"/>
      <c r="AM42" s="255"/>
      <c r="AN42" s="254"/>
      <c r="AQ42" s="202"/>
      <c r="AZ42" s="203"/>
      <c r="BF42" s="203"/>
      <c r="BK42" s="203"/>
      <c r="BP42" s="203"/>
      <c r="BQ42" s="202"/>
      <c r="CA42" s="203"/>
      <c r="CR42" s="125"/>
    </row>
    <row r="43" spans="1:96" ht="30" hidden="1" outlineLevel="2" x14ac:dyDescent="0.25">
      <c r="A43" s="133"/>
      <c r="B43" s="253" t="s">
        <v>42</v>
      </c>
      <c r="C43" s="254" t="s">
        <v>42</v>
      </c>
      <c r="D43" s="254"/>
      <c r="E43" s="254"/>
      <c r="F43" s="254"/>
      <c r="G43" s="254"/>
      <c r="H43" s="254"/>
      <c r="I43" s="254"/>
      <c r="J43" s="254"/>
      <c r="K43" s="254"/>
      <c r="L43" s="254"/>
      <c r="M43" s="254"/>
      <c r="N43" s="235">
        <f t="shared" si="47"/>
        <v>0</v>
      </c>
      <c r="O43" s="329"/>
      <c r="P43" s="254"/>
      <c r="Q43" s="361"/>
      <c r="R43" s="360"/>
      <c r="S43" s="254"/>
      <c r="T43" s="361"/>
      <c r="U43" s="360"/>
      <c r="V43" s="254"/>
      <c r="W43" s="361"/>
      <c r="X43" s="360"/>
      <c r="Y43" s="254"/>
      <c r="Z43" s="330"/>
      <c r="AA43" s="254"/>
      <c r="AB43" s="793"/>
      <c r="AD43" s="255"/>
      <c r="AE43" s="254"/>
      <c r="AF43" s="254"/>
      <c r="AG43" s="255"/>
      <c r="AH43" s="254"/>
      <c r="AI43" s="254"/>
      <c r="AJ43" s="255"/>
      <c r="AK43" s="254"/>
      <c r="AL43" s="254"/>
      <c r="AM43" s="255"/>
      <c r="AN43" s="254"/>
      <c r="AQ43" s="202"/>
      <c r="AZ43" s="203"/>
      <c r="BF43" s="203"/>
      <c r="BK43" s="203"/>
      <c r="BP43" s="203"/>
      <c r="BQ43" s="202"/>
      <c r="CA43" s="203"/>
      <c r="CR43" s="125"/>
    </row>
    <row r="44" spans="1:96" ht="45" hidden="1" outlineLevel="2" x14ac:dyDescent="0.25">
      <c r="A44" s="133"/>
      <c r="B44" s="253" t="s">
        <v>43</v>
      </c>
      <c r="C44" s="254" t="s">
        <v>2260</v>
      </c>
      <c r="D44" s="254"/>
      <c r="E44" s="254"/>
      <c r="F44" s="254"/>
      <c r="G44" s="254"/>
      <c r="H44" s="254"/>
      <c r="I44" s="254"/>
      <c r="J44" s="254"/>
      <c r="K44" s="254"/>
      <c r="L44" s="254"/>
      <c r="M44" s="254"/>
      <c r="N44" s="235">
        <f t="shared" si="47"/>
        <v>0</v>
      </c>
      <c r="O44" s="329"/>
      <c r="P44" s="254"/>
      <c r="Q44" s="361"/>
      <c r="R44" s="360"/>
      <c r="S44" s="254"/>
      <c r="T44" s="361"/>
      <c r="U44" s="360"/>
      <c r="V44" s="254"/>
      <c r="W44" s="361"/>
      <c r="X44" s="360"/>
      <c r="Y44" s="254"/>
      <c r="Z44" s="330"/>
      <c r="AA44" s="254"/>
      <c r="AB44" s="793"/>
      <c r="AD44" s="255"/>
      <c r="AE44" s="254"/>
      <c r="AF44" s="254"/>
      <c r="AG44" s="255"/>
      <c r="AH44" s="254"/>
      <c r="AI44" s="254"/>
      <c r="AJ44" s="255"/>
      <c r="AK44" s="254"/>
      <c r="AL44" s="254"/>
      <c r="AM44" s="255"/>
      <c r="AN44" s="254"/>
      <c r="AQ44" s="202"/>
      <c r="AZ44" s="203"/>
      <c r="BF44" s="203"/>
      <c r="BK44" s="203"/>
      <c r="BP44" s="203"/>
      <c r="BQ44" s="202"/>
      <c r="CA44" s="203"/>
      <c r="CR44" s="125"/>
    </row>
    <row r="45" spans="1:96" hidden="1" outlineLevel="2" x14ac:dyDescent="0.25">
      <c r="A45" s="133"/>
      <c r="B45" s="253" t="s">
        <v>44</v>
      </c>
      <c r="C45" s="253" t="s">
        <v>44</v>
      </c>
      <c r="D45" s="254"/>
      <c r="E45" s="254"/>
      <c r="F45" s="254"/>
      <c r="G45" s="254"/>
      <c r="H45" s="254"/>
      <c r="I45" s="254"/>
      <c r="J45" s="254"/>
      <c r="K45" s="254"/>
      <c r="L45" s="254"/>
      <c r="M45" s="254"/>
      <c r="N45" s="235">
        <f t="shared" si="47"/>
        <v>0</v>
      </c>
      <c r="O45" s="329"/>
      <c r="P45" s="254"/>
      <c r="Q45" s="361"/>
      <c r="R45" s="360"/>
      <c r="S45" s="254"/>
      <c r="T45" s="361"/>
      <c r="U45" s="360"/>
      <c r="V45" s="254"/>
      <c r="W45" s="361"/>
      <c r="X45" s="360"/>
      <c r="Y45" s="254"/>
      <c r="Z45" s="330"/>
      <c r="AA45" s="254"/>
      <c r="AB45" s="793"/>
      <c r="AD45" s="255"/>
      <c r="AE45" s="254"/>
      <c r="AF45" s="254"/>
      <c r="AG45" s="255"/>
      <c r="AH45" s="254"/>
      <c r="AI45" s="254"/>
      <c r="AJ45" s="255"/>
      <c r="AK45" s="254"/>
      <c r="AL45" s="254"/>
      <c r="AM45" s="255"/>
      <c r="AN45" s="254"/>
      <c r="AQ45" s="202"/>
      <c r="AZ45" s="203"/>
      <c r="BF45" s="203"/>
      <c r="BK45" s="203"/>
      <c r="BP45" s="203"/>
      <c r="BQ45" s="202"/>
      <c r="CA45" s="203"/>
      <c r="CR45" s="125"/>
    </row>
    <row r="46" spans="1:96" ht="30" hidden="1" outlineLevel="2" x14ac:dyDescent="0.25">
      <c r="A46" s="133"/>
      <c r="B46" s="253" t="s">
        <v>45</v>
      </c>
      <c r="C46" s="253" t="s">
        <v>2261</v>
      </c>
      <c r="D46" s="254"/>
      <c r="E46" s="254"/>
      <c r="F46" s="254"/>
      <c r="G46" s="254"/>
      <c r="H46" s="254"/>
      <c r="I46" s="254"/>
      <c r="J46" s="254"/>
      <c r="K46" s="254"/>
      <c r="L46" s="254"/>
      <c r="M46" s="254"/>
      <c r="N46" s="235">
        <f t="shared" si="47"/>
        <v>0</v>
      </c>
      <c r="O46" s="329"/>
      <c r="P46" s="254"/>
      <c r="Q46" s="361"/>
      <c r="R46" s="360"/>
      <c r="S46" s="254"/>
      <c r="T46" s="361"/>
      <c r="U46" s="360"/>
      <c r="V46" s="254"/>
      <c r="W46" s="361"/>
      <c r="X46" s="360"/>
      <c r="Y46" s="254"/>
      <c r="Z46" s="330"/>
      <c r="AA46" s="254"/>
      <c r="AB46" s="793"/>
      <c r="AD46" s="255"/>
      <c r="AE46" s="254"/>
      <c r="AF46" s="254"/>
      <c r="AG46" s="255"/>
      <c r="AH46" s="254"/>
      <c r="AI46" s="254"/>
      <c r="AJ46" s="255"/>
      <c r="AK46" s="254"/>
      <c r="AL46" s="254"/>
      <c r="AM46" s="255"/>
      <c r="AN46" s="254"/>
      <c r="AQ46" s="202"/>
      <c r="AZ46" s="203"/>
      <c r="BF46" s="203"/>
      <c r="BK46" s="203"/>
      <c r="BP46" s="203"/>
      <c r="BQ46" s="202"/>
      <c r="CA46" s="203"/>
      <c r="CR46" s="125"/>
    </row>
    <row r="47" spans="1:96" ht="30" hidden="1" outlineLevel="2" x14ac:dyDescent="0.25">
      <c r="A47" s="133"/>
      <c r="B47" s="253" t="s">
        <v>46</v>
      </c>
      <c r="C47" s="253" t="s">
        <v>2262</v>
      </c>
      <c r="D47" s="254"/>
      <c r="E47" s="254"/>
      <c r="F47" s="254"/>
      <c r="G47" s="254"/>
      <c r="H47" s="254"/>
      <c r="I47" s="254"/>
      <c r="J47" s="254"/>
      <c r="K47" s="254"/>
      <c r="L47" s="254"/>
      <c r="M47" s="254"/>
      <c r="N47" s="235">
        <f t="shared" si="47"/>
        <v>0</v>
      </c>
      <c r="O47" s="329"/>
      <c r="P47" s="254"/>
      <c r="Q47" s="361"/>
      <c r="R47" s="360"/>
      <c r="S47" s="254"/>
      <c r="T47" s="361"/>
      <c r="U47" s="360"/>
      <c r="V47" s="254"/>
      <c r="W47" s="361"/>
      <c r="X47" s="360"/>
      <c r="Y47" s="254"/>
      <c r="Z47" s="330"/>
      <c r="AA47" s="254"/>
      <c r="AB47" s="793"/>
      <c r="AD47" s="255"/>
      <c r="AE47" s="254"/>
      <c r="AF47" s="254"/>
      <c r="AG47" s="255"/>
      <c r="AH47" s="254"/>
      <c r="AI47" s="254"/>
      <c r="AJ47" s="255"/>
      <c r="AK47" s="254"/>
      <c r="AL47" s="254"/>
      <c r="AM47" s="255"/>
      <c r="AN47" s="254"/>
      <c r="AQ47" s="202"/>
      <c r="AZ47" s="203"/>
      <c r="BF47" s="203"/>
      <c r="BK47" s="203"/>
      <c r="BP47" s="203"/>
      <c r="BQ47" s="202"/>
      <c r="CA47" s="203"/>
      <c r="CR47" s="125"/>
    </row>
    <row r="48" spans="1:96" ht="45" hidden="1" outlineLevel="2" x14ac:dyDescent="0.25">
      <c r="A48" s="133"/>
      <c r="B48" s="265" t="s">
        <v>554</v>
      </c>
      <c r="C48" s="254" t="s">
        <v>2263</v>
      </c>
      <c r="D48" s="266"/>
      <c r="E48" s="266"/>
      <c r="F48" s="266"/>
      <c r="G48" s="266"/>
      <c r="H48" s="266"/>
      <c r="I48" s="266"/>
      <c r="J48" s="266"/>
      <c r="K48" s="266"/>
      <c r="L48" s="266"/>
      <c r="M48" s="266"/>
      <c r="N48" s="235">
        <f t="shared" si="47"/>
        <v>0</v>
      </c>
      <c r="O48" s="337"/>
      <c r="P48" s="266"/>
      <c r="Q48" s="369"/>
      <c r="R48" s="368"/>
      <c r="S48" s="266"/>
      <c r="T48" s="369"/>
      <c r="U48" s="368"/>
      <c r="V48" s="266"/>
      <c r="W48" s="369"/>
      <c r="X48" s="368"/>
      <c r="Y48" s="266"/>
      <c r="Z48" s="338"/>
      <c r="AA48" s="266"/>
      <c r="AB48" s="795"/>
      <c r="AD48" s="267"/>
      <c r="AE48" s="266"/>
      <c r="AF48" s="266"/>
      <c r="AG48" s="267"/>
      <c r="AH48" s="266"/>
      <c r="AI48" s="266"/>
      <c r="AJ48" s="267"/>
      <c r="AK48" s="266"/>
      <c r="AL48" s="266"/>
      <c r="AM48" s="267"/>
      <c r="AN48" s="266"/>
      <c r="AQ48" s="202"/>
      <c r="AZ48" s="203"/>
      <c r="BF48" s="203"/>
      <c r="BK48" s="203"/>
      <c r="BP48" s="203"/>
      <c r="BQ48" s="202"/>
      <c r="CA48" s="203"/>
      <c r="CR48" s="125"/>
    </row>
    <row r="49" spans="1:96" ht="30" hidden="1" outlineLevel="2" x14ac:dyDescent="0.25">
      <c r="A49" s="133"/>
      <c r="B49" s="253" t="s">
        <v>48</v>
      </c>
      <c r="C49" s="254" t="s">
        <v>2263</v>
      </c>
      <c r="D49" s="254"/>
      <c r="E49" s="254"/>
      <c r="F49" s="254"/>
      <c r="G49" s="254"/>
      <c r="H49" s="254"/>
      <c r="I49" s="254"/>
      <c r="J49" s="254"/>
      <c r="K49" s="254"/>
      <c r="L49" s="254"/>
      <c r="M49" s="254"/>
      <c r="N49" s="235">
        <f t="shared" si="47"/>
        <v>0</v>
      </c>
      <c r="O49" s="329"/>
      <c r="P49" s="254"/>
      <c r="Q49" s="361"/>
      <c r="R49" s="360"/>
      <c r="S49" s="254"/>
      <c r="T49" s="361"/>
      <c r="U49" s="360"/>
      <c r="V49" s="254"/>
      <c r="W49" s="361"/>
      <c r="X49" s="360"/>
      <c r="Y49" s="254"/>
      <c r="Z49" s="330"/>
      <c r="AA49" s="254"/>
      <c r="AB49" s="793"/>
      <c r="AD49" s="255"/>
      <c r="AE49" s="254"/>
      <c r="AF49" s="254"/>
      <c r="AG49" s="255"/>
      <c r="AH49" s="254"/>
      <c r="AI49" s="254"/>
      <c r="AJ49" s="255"/>
      <c r="AK49" s="254"/>
      <c r="AL49" s="254"/>
      <c r="AM49" s="255"/>
      <c r="AN49" s="254"/>
      <c r="AQ49" s="202"/>
      <c r="AZ49" s="203"/>
      <c r="BF49" s="203"/>
      <c r="BK49" s="203"/>
      <c r="BP49" s="203"/>
      <c r="BQ49" s="202"/>
      <c r="CA49" s="203"/>
      <c r="CR49" s="125"/>
    </row>
    <row r="50" spans="1:96" ht="15.75" outlineLevel="1" collapsed="1" x14ac:dyDescent="0.25">
      <c r="A50" s="131" t="s">
        <v>407</v>
      </c>
      <c r="B50" s="244" t="s">
        <v>561</v>
      </c>
      <c r="C50" s="244"/>
      <c r="D50" s="244"/>
      <c r="E50" s="492"/>
      <c r="F50" s="247" t="s">
        <v>222</v>
      </c>
      <c r="G50" s="111" t="s">
        <v>563</v>
      </c>
      <c r="H50" s="111" t="s">
        <v>242</v>
      </c>
      <c r="I50" s="111" t="s">
        <v>242</v>
      </c>
      <c r="J50" s="111" t="s">
        <v>242</v>
      </c>
      <c r="K50" s="111" t="s">
        <v>242</v>
      </c>
      <c r="L50" s="111" t="s">
        <v>1692</v>
      </c>
      <c r="M50" s="247">
        <v>1</v>
      </c>
      <c r="N50" s="235">
        <f t="shared" si="47"/>
        <v>3</v>
      </c>
      <c r="O50" s="339">
        <f t="shared" ref="O50" si="52">IF(AC50="ДА",$M50,"")</f>
        <v>1</v>
      </c>
      <c r="P50" s="248"/>
      <c r="Q50" s="357">
        <f>IF(AC50="ДА",ROUNDUP(O50/5,0),0)</f>
        <v>1</v>
      </c>
      <c r="R50" s="370">
        <f>IF(AF50="ДА",$M50,"")</f>
        <v>1</v>
      </c>
      <c r="S50" s="248"/>
      <c r="T50" s="357">
        <f>IF(AF50="ДА",ROUNDUP(R50/5,0),0)</f>
        <v>1</v>
      </c>
      <c r="U50" s="370">
        <f>IF(AI50="ДА",$M50,"")</f>
        <v>1</v>
      </c>
      <c r="V50" s="248"/>
      <c r="W50" s="357">
        <f>IF(AI50="ДА",ROUNDUP(U50/5,0),0)</f>
        <v>1</v>
      </c>
      <c r="X50" s="370" t="str">
        <f>IF(AL50="ДА",$M50,"")</f>
        <v/>
      </c>
      <c r="Y50" s="248"/>
      <c r="Z50" s="201">
        <f>IF(AL50="ДА",ROUNDUP(X50/5,0),0)</f>
        <v>0</v>
      </c>
      <c r="AA50" s="389" t="str">
        <f>IF(OR(AC50="ДА",AF50="ДА",AI50="ДА",AL50="ДА"),"ДА","НЕТ")</f>
        <v>ДА</v>
      </c>
      <c r="AB50" s="389"/>
      <c r="AC50" s="37" t="str">
        <f>IF(AC$8=$BT$9,$BT50,IF(AC$8=$BS$9,$BS50,IF(AC$8=$BU$9,$BU50,IF(AC$8=$BV$9,$BV50,IF(AC$8=$BW$9,$BW50,IF(AC$8=$BX$9,$BX50,IF(AC$8=$BY$9,$BY50,IF(AC$8=$BZ$9,$BZ50,IF(AC$8=$CA$9,$CA50,IF(AC$8=$CC$9,$CC50,IF(AC$8=$CD$9,$CD50,IF(AC$8=$CE$9,$CE50,IF(AC$8=$CF$9,$CF50,IF(AC$8=$CG$9,$CG50,IF(AC$8=$CH$9,$CH50,IF(AC$8=$CI$9,$CI50,IF(AC$8=$CJ$9,$CJ50,IF(AC$8=$CK$9,$CK50,IF(AC$8=$CL$9,$CL50,IF(AC$8=$CM$9,$CM50,IF(AC$8=$CN$9,$CN50,IF(AC$8=$CO$9,$CO50,IF(AC$8=$CP$9,$CP50,IF(AC$8=$CQ$9,$CQ50,"НЕТ"))))))))))))))))))))))))</f>
        <v>ДА</v>
      </c>
      <c r="AD50" s="37" t="str">
        <f>IF(AC50="НЕТ","Не требуется",$CR50)</f>
        <v>Не требуется</v>
      </c>
      <c r="AE50" s="37"/>
      <c r="AF50" s="37" t="str">
        <f t="shared" ref="AF50:AL50" si="53">IF(AF$8=$BT$9,$BT50,IF(AF$8=$BS$9,$BS50,IF(AF$8=$BU$9,$BU50,IF(AF$8=$BV$9,$BV50,IF(AF$8=$BW$9,$BW50,IF(AF$8=$BX$9,$BX50,IF(AF$8=$BY$9,$BY50,IF(AF$8=$BZ$9,$BZ50,IF(AF$8=$CA$9,$CA50,IF(AF$8=$CC$9,$CC50,IF(AF$8=$CD$9,$CD50,IF(AF$8=$CE$9,$CE50,IF(AF$8=$CF$9,$CF50,IF(AF$8=$CG$9,$CG50,IF(AF$8=$CH$9,$CH50,IF(AF$8=$CI$9,$CI50,IF(AF$8=$CJ$9,$CJ50,IF(AF$8=$CK$9,$CK50,IF(AF$8=$CL$9,$CL50,IF(AF$8=$CM$9,$CM50,IF(AF$8=$CN$9,$CN50,IF(AF$8=$CO$9,$CO50,IF(AF$8=$CP$9,$CP50,IF(AF$8=$CQ$9,$CQ50,"НЕТ"))))))))))))))))))))))))</f>
        <v>ДА</v>
      </c>
      <c r="AG50" s="37" t="str">
        <f t="shared" si="53"/>
        <v>НЕТ</v>
      </c>
      <c r="AH50" s="37" t="str">
        <f t="shared" si="53"/>
        <v>НЕТ</v>
      </c>
      <c r="AI50" s="37" t="str">
        <f t="shared" si="53"/>
        <v>ДА</v>
      </c>
      <c r="AJ50" s="37" t="str">
        <f t="shared" si="53"/>
        <v>НЕТ</v>
      </c>
      <c r="AK50" s="37" t="str">
        <f t="shared" si="53"/>
        <v>НЕТ</v>
      </c>
      <c r="AL50" s="37" t="str">
        <f t="shared" si="53"/>
        <v>НЕТ</v>
      </c>
      <c r="AM50" s="37" t="str">
        <f>IF(AL50="НЕТ","Не требуется",$CR50)</f>
        <v>Не требуется</v>
      </c>
      <c r="AN50" s="249"/>
      <c r="AQ50" s="200"/>
      <c r="AR50" s="230"/>
      <c r="AS50" s="144">
        <f>IF(BS50="ДА",$M50,"")</f>
        <v>1</v>
      </c>
      <c r="AT50" s="144">
        <f t="shared" ref="AT50:AV50" si="54">IF(BT50="ДА",$M50,"")</f>
        <v>1</v>
      </c>
      <c r="AU50" s="144">
        <f t="shared" si="54"/>
        <v>1</v>
      </c>
      <c r="AV50" s="144">
        <f t="shared" si="54"/>
        <v>1</v>
      </c>
      <c r="AW50" s="144">
        <f>IF(BX50="ДА",$M50,"")</f>
        <v>1</v>
      </c>
      <c r="AX50" s="144">
        <f>IF(BY50="ДА",$M50,"")</f>
        <v>1</v>
      </c>
      <c r="AY50" s="144">
        <f>IF(BZ50="ДА",$M50,"")</f>
        <v>1</v>
      </c>
      <c r="AZ50" s="201">
        <f>IF(CA50="ДА",$M50,"")</f>
        <v>1</v>
      </c>
      <c r="BA50" s="235"/>
      <c r="BB50" s="144" t="str">
        <f t="shared" ref="BB50:BP50" si="55">IF(CC50="ДА",$M50,"")</f>
        <v/>
      </c>
      <c r="BC50" s="144" t="str">
        <f t="shared" si="55"/>
        <v/>
      </c>
      <c r="BD50" s="144" t="str">
        <f t="shared" si="55"/>
        <v/>
      </c>
      <c r="BE50" s="144">
        <f t="shared" si="55"/>
        <v>1</v>
      </c>
      <c r="BF50" s="201">
        <f t="shared" si="55"/>
        <v>1</v>
      </c>
      <c r="BG50" s="144">
        <f t="shared" si="55"/>
        <v>1</v>
      </c>
      <c r="BH50" s="144" t="str">
        <f t="shared" si="55"/>
        <v/>
      </c>
      <c r="BI50" s="144">
        <f t="shared" si="55"/>
        <v>1</v>
      </c>
      <c r="BJ50" s="144">
        <f t="shared" si="55"/>
        <v>1</v>
      </c>
      <c r="BK50" s="201" t="str">
        <f t="shared" si="55"/>
        <v/>
      </c>
      <c r="BL50" s="144">
        <f t="shared" si="55"/>
        <v>1</v>
      </c>
      <c r="BM50" s="144" t="str">
        <f t="shared" si="55"/>
        <v/>
      </c>
      <c r="BN50" s="144" t="str">
        <f t="shared" si="55"/>
        <v/>
      </c>
      <c r="BO50" s="144" t="str">
        <f t="shared" si="55"/>
        <v/>
      </c>
      <c r="BP50" s="201" t="str">
        <f t="shared" si="55"/>
        <v/>
      </c>
      <c r="BQ50" s="209"/>
      <c r="BR50" s="388"/>
      <c r="BS50" s="37" t="s">
        <v>246</v>
      </c>
      <c r="BT50" s="37" t="s">
        <v>246</v>
      </c>
      <c r="BU50" s="37" t="s">
        <v>246</v>
      </c>
      <c r="BV50" s="37" t="s">
        <v>246</v>
      </c>
      <c r="BW50" s="37" t="s">
        <v>246</v>
      </c>
      <c r="BX50" s="37" t="s">
        <v>246</v>
      </c>
      <c r="BY50" s="37" t="s">
        <v>246</v>
      </c>
      <c r="BZ50" s="37" t="s">
        <v>246</v>
      </c>
      <c r="CA50" s="123" t="s">
        <v>246</v>
      </c>
      <c r="CB50" s="223"/>
      <c r="CC50" s="37" t="s">
        <v>255</v>
      </c>
      <c r="CD50" s="37" t="s">
        <v>255</v>
      </c>
      <c r="CE50" s="37" t="s">
        <v>255</v>
      </c>
      <c r="CF50" s="37" t="s">
        <v>246</v>
      </c>
      <c r="CG50" s="37" t="s">
        <v>246</v>
      </c>
      <c r="CH50" s="37" t="s">
        <v>246</v>
      </c>
      <c r="CI50" s="37" t="s">
        <v>255</v>
      </c>
      <c r="CJ50" s="37" t="s">
        <v>246</v>
      </c>
      <c r="CK50" s="37" t="s">
        <v>246</v>
      </c>
      <c r="CL50" s="37" t="s">
        <v>255</v>
      </c>
      <c r="CM50" s="37" t="s">
        <v>246</v>
      </c>
      <c r="CN50" s="37" t="s">
        <v>255</v>
      </c>
      <c r="CO50" s="37" t="s">
        <v>255</v>
      </c>
      <c r="CP50" s="37" t="s">
        <v>255</v>
      </c>
      <c r="CQ50" s="37" t="s">
        <v>255</v>
      </c>
      <c r="CR50" s="123" t="s">
        <v>300</v>
      </c>
    </row>
    <row r="51" spans="1:96" ht="60" hidden="1" outlineLevel="2" x14ac:dyDescent="0.25">
      <c r="A51" s="133"/>
      <c r="B51" s="253" t="s">
        <v>558</v>
      </c>
      <c r="C51" s="254" t="s">
        <v>2264</v>
      </c>
      <c r="D51" s="254"/>
      <c r="E51" s="254"/>
      <c r="F51" s="254"/>
      <c r="G51" s="254"/>
      <c r="H51" s="254"/>
      <c r="I51" s="254"/>
      <c r="J51" s="254"/>
      <c r="K51" s="254"/>
      <c r="L51" s="254"/>
      <c r="M51" s="254"/>
      <c r="N51" s="235">
        <f t="shared" si="47"/>
        <v>0</v>
      </c>
      <c r="O51" s="329"/>
      <c r="P51" s="254"/>
      <c r="Q51" s="361"/>
      <c r="R51" s="360"/>
      <c r="S51" s="254"/>
      <c r="T51" s="361"/>
      <c r="U51" s="360"/>
      <c r="V51" s="254"/>
      <c r="W51" s="361"/>
      <c r="X51" s="360"/>
      <c r="Y51" s="254"/>
      <c r="Z51" s="330"/>
      <c r="AA51" s="254"/>
      <c r="AB51" s="793"/>
      <c r="AD51" s="255"/>
      <c r="AE51" s="254"/>
      <c r="AF51" s="254"/>
      <c r="AG51" s="255"/>
      <c r="AH51" s="254"/>
      <c r="AI51" s="254"/>
      <c r="AJ51" s="255"/>
      <c r="AK51" s="254"/>
      <c r="AL51" s="254"/>
      <c r="AM51" s="255"/>
      <c r="AN51" s="254"/>
      <c r="AQ51" s="202"/>
      <c r="AZ51" s="203"/>
      <c r="BF51" s="203"/>
      <c r="BK51" s="203"/>
      <c r="BP51" s="203"/>
      <c r="BQ51" s="202"/>
      <c r="CA51" s="203"/>
      <c r="CR51" s="125"/>
    </row>
    <row r="52" spans="1:96" ht="45" hidden="1" outlineLevel="2" x14ac:dyDescent="0.25">
      <c r="A52" s="133"/>
      <c r="B52" s="253" t="s">
        <v>560</v>
      </c>
      <c r="C52" s="254" t="s">
        <v>2265</v>
      </c>
      <c r="D52" s="254"/>
      <c r="E52" s="254"/>
      <c r="F52" s="254"/>
      <c r="G52" s="254"/>
      <c r="H52" s="254"/>
      <c r="I52" s="254"/>
      <c r="J52" s="254"/>
      <c r="K52" s="254"/>
      <c r="L52" s="254"/>
      <c r="M52" s="254"/>
      <c r="N52" s="235">
        <f t="shared" si="47"/>
        <v>0</v>
      </c>
      <c r="O52" s="329"/>
      <c r="P52" s="254"/>
      <c r="Q52" s="361"/>
      <c r="R52" s="360"/>
      <c r="S52" s="254"/>
      <c r="T52" s="361"/>
      <c r="U52" s="360"/>
      <c r="V52" s="254"/>
      <c r="W52" s="361"/>
      <c r="X52" s="360"/>
      <c r="Y52" s="254"/>
      <c r="Z52" s="330"/>
      <c r="AA52" s="254"/>
      <c r="AB52" s="793"/>
      <c r="AD52" s="255"/>
      <c r="AE52" s="254"/>
      <c r="AF52" s="254"/>
      <c r="AG52" s="255"/>
      <c r="AH52" s="254"/>
      <c r="AI52" s="254"/>
      <c r="AJ52" s="255"/>
      <c r="AK52" s="254"/>
      <c r="AL52" s="254"/>
      <c r="AM52" s="255"/>
      <c r="AN52" s="254"/>
      <c r="AQ52" s="202"/>
      <c r="AZ52" s="203"/>
      <c r="BF52" s="203"/>
      <c r="BK52" s="203"/>
      <c r="BP52" s="203"/>
      <c r="BQ52" s="202"/>
      <c r="CA52" s="203"/>
      <c r="CR52" s="125"/>
    </row>
    <row r="53" spans="1:96" ht="45" hidden="1" outlineLevel="2" x14ac:dyDescent="0.25">
      <c r="A53" s="133"/>
      <c r="B53" s="253" t="s">
        <v>391</v>
      </c>
      <c r="C53" s="254" t="s">
        <v>2266</v>
      </c>
      <c r="D53" s="254"/>
      <c r="E53" s="254"/>
      <c r="F53" s="254"/>
      <c r="G53" s="254"/>
      <c r="H53" s="254"/>
      <c r="I53" s="254"/>
      <c r="J53" s="254"/>
      <c r="K53" s="254"/>
      <c r="L53" s="254"/>
      <c r="M53" s="254"/>
      <c r="N53" s="235">
        <f t="shared" si="47"/>
        <v>0</v>
      </c>
      <c r="O53" s="329"/>
      <c r="P53" s="254"/>
      <c r="Q53" s="361"/>
      <c r="R53" s="360"/>
      <c r="S53" s="254"/>
      <c r="T53" s="361"/>
      <c r="U53" s="360"/>
      <c r="V53" s="254"/>
      <c r="W53" s="361"/>
      <c r="X53" s="360"/>
      <c r="Y53" s="254"/>
      <c r="Z53" s="330"/>
      <c r="AA53" s="254"/>
      <c r="AB53" s="793"/>
      <c r="AD53" s="255"/>
      <c r="AE53" s="254"/>
      <c r="AF53" s="254"/>
      <c r="AG53" s="255"/>
      <c r="AH53" s="254"/>
      <c r="AI53" s="254"/>
      <c r="AJ53" s="255"/>
      <c r="AK53" s="254"/>
      <c r="AL53" s="254"/>
      <c r="AM53" s="255"/>
      <c r="AN53" s="254"/>
      <c r="AQ53" s="202"/>
      <c r="AZ53" s="203"/>
      <c r="BF53" s="203"/>
      <c r="BK53" s="203"/>
      <c r="BP53" s="203"/>
      <c r="BQ53" s="202"/>
      <c r="CA53" s="203"/>
      <c r="CR53" s="125"/>
    </row>
    <row r="54" spans="1:96" ht="15.75" outlineLevel="1" collapsed="1" x14ac:dyDescent="0.25">
      <c r="A54" s="131" t="s">
        <v>408</v>
      </c>
      <c r="B54" s="113" t="s">
        <v>49</v>
      </c>
      <c r="C54" s="113"/>
      <c r="D54" s="113"/>
      <c r="E54" s="490"/>
      <c r="F54" s="111" t="s">
        <v>222</v>
      </c>
      <c r="G54" s="111" t="s">
        <v>563</v>
      </c>
      <c r="H54" s="111" t="s">
        <v>242</v>
      </c>
      <c r="I54" s="111" t="s">
        <v>242</v>
      </c>
      <c r="J54" s="111" t="s">
        <v>242</v>
      </c>
      <c r="K54" s="111" t="s">
        <v>242</v>
      </c>
      <c r="L54" s="111" t="s">
        <v>242</v>
      </c>
      <c r="M54" s="111">
        <v>1</v>
      </c>
      <c r="N54" s="235">
        <f t="shared" si="47"/>
        <v>3</v>
      </c>
      <c r="O54" s="200">
        <f t="shared" ref="O54" si="56">IF(AC54="ДА",$M54,"")</f>
        <v>1</v>
      </c>
      <c r="P54" s="144"/>
      <c r="Q54" s="357">
        <f>IF(AC54="ДА",ROUNDUP(O54/5,0),0)</f>
        <v>1</v>
      </c>
      <c r="R54" s="356">
        <f>IF(AF54="ДА",$M54,"")</f>
        <v>1</v>
      </c>
      <c r="S54" s="144"/>
      <c r="T54" s="357">
        <f>IF(AF54="ДА",ROUNDUP(R54/5,0),0)</f>
        <v>1</v>
      </c>
      <c r="U54" s="356">
        <f>IF(AI54="ДА",$M54,"")</f>
        <v>1</v>
      </c>
      <c r="V54" s="144"/>
      <c r="W54" s="357">
        <f>IF(AI54="ДА",ROUNDUP(U54/5,0),0)</f>
        <v>1</v>
      </c>
      <c r="X54" s="356" t="str">
        <f>IF(AL54="ДА",$M54,"")</f>
        <v/>
      </c>
      <c r="Y54" s="144"/>
      <c r="Z54" s="201">
        <f>IF(AL54="ДА",ROUNDUP(X54/5,0),0)</f>
        <v>0</v>
      </c>
      <c r="AA54" s="388" t="str">
        <f>IF(OR(AC54="ДА",AF54="ДА",AI54="ДА",AL54="ДА"),"ДА","НЕТ")</f>
        <v>ДА</v>
      </c>
      <c r="AB54" s="388"/>
      <c r="AC54" s="37" t="str">
        <f>IF(AC$8=$BT$9,$BT54,IF(AC$8=$BS$9,$BS54,IF(AC$8=$BU$9,$BU54,IF(AC$8=$BV$9,$BV54,IF(AC$8=$BW$9,$BW54,IF(AC$8=$BX$9,$BX54,IF(AC$8=$BY$9,$BY54,IF(AC$8=$BZ$9,$BZ54,IF(AC$8=$CA$9,$CA54,IF(AC$8=$CC$9,$CC54,IF(AC$8=$CD$9,$CD54,IF(AC$8=$CE$9,$CE54,IF(AC$8=$CF$9,$CF54,IF(AC$8=$CG$9,$CG54,IF(AC$8=$CH$9,$CH54,IF(AC$8=$CI$9,$CI54,IF(AC$8=$CJ$9,$CJ54,IF(AC$8=$CK$9,$CK54,IF(AC$8=$CL$9,$CL54,IF(AC$8=$CM$9,$CM54,IF(AC$8=$CN$9,$CN54,IF(AC$8=$CO$9,$CO54,IF(AC$8=$CP$9,$CP54,IF(AC$8=$CQ$9,$CQ54,"НЕТ"))))))))))))))))))))))))</f>
        <v>ДА</v>
      </c>
      <c r="AD54" s="37" t="str">
        <f>IF(AC54="НЕТ","Не требуется",$CR54)</f>
        <v>Не требуется</v>
      </c>
      <c r="AE54" s="37"/>
      <c r="AF54" s="37" t="str">
        <f t="shared" ref="AF54:AL54" si="57">IF(AF$8=$BT$9,$BT54,IF(AF$8=$BS$9,$BS54,IF(AF$8=$BU$9,$BU54,IF(AF$8=$BV$9,$BV54,IF(AF$8=$BW$9,$BW54,IF(AF$8=$BX$9,$BX54,IF(AF$8=$BY$9,$BY54,IF(AF$8=$BZ$9,$BZ54,IF(AF$8=$CA$9,$CA54,IF(AF$8=$CC$9,$CC54,IF(AF$8=$CD$9,$CD54,IF(AF$8=$CE$9,$CE54,IF(AF$8=$CF$9,$CF54,IF(AF$8=$CG$9,$CG54,IF(AF$8=$CH$9,$CH54,IF(AF$8=$CI$9,$CI54,IF(AF$8=$CJ$9,$CJ54,IF(AF$8=$CK$9,$CK54,IF(AF$8=$CL$9,$CL54,IF(AF$8=$CM$9,$CM54,IF(AF$8=$CN$9,$CN54,IF(AF$8=$CO$9,$CO54,IF(AF$8=$CP$9,$CP54,IF(AF$8=$CQ$9,$CQ54,"НЕТ"))))))))))))))))))))))))</f>
        <v>ДА</v>
      </c>
      <c r="AG54" s="37" t="str">
        <f t="shared" si="57"/>
        <v>НЕТ</v>
      </c>
      <c r="AH54" s="37" t="str">
        <f t="shared" si="57"/>
        <v>НЕТ</v>
      </c>
      <c r="AI54" s="37" t="str">
        <f t="shared" si="57"/>
        <v>ДА</v>
      </c>
      <c r="AJ54" s="37" t="str">
        <f t="shared" si="57"/>
        <v>НЕТ</v>
      </c>
      <c r="AK54" s="37" t="str">
        <f t="shared" si="57"/>
        <v>НЕТ</v>
      </c>
      <c r="AL54" s="37" t="str">
        <f t="shared" si="57"/>
        <v>НЕТ</v>
      </c>
      <c r="AM54" s="37" t="str">
        <f>IF(AL54="НЕТ","Не требуется",$CR54)</f>
        <v>Не требуется</v>
      </c>
      <c r="AN54" s="37"/>
      <c r="AQ54" s="200"/>
      <c r="AR54" s="230"/>
      <c r="AS54" s="144">
        <f>IF(BS54="ДА",$M54,"")</f>
        <v>1</v>
      </c>
      <c r="AT54" s="144">
        <f t="shared" ref="AT54:AV54" si="58">IF(BT54="ДА",$M54,"")</f>
        <v>1</v>
      </c>
      <c r="AU54" s="144">
        <f t="shared" si="58"/>
        <v>1</v>
      </c>
      <c r="AV54" s="144">
        <f t="shared" si="58"/>
        <v>1</v>
      </c>
      <c r="AW54" s="144">
        <f>IF(BX54="ДА",$M54,"")</f>
        <v>1</v>
      </c>
      <c r="AX54" s="144">
        <f>IF(BY54="ДА",$M54,"")</f>
        <v>1</v>
      </c>
      <c r="AY54" s="144">
        <f>IF(BZ54="ДА",$M54,"")</f>
        <v>1</v>
      </c>
      <c r="AZ54" s="201">
        <f>IF(CA54="ДА",$M54,"")</f>
        <v>1</v>
      </c>
      <c r="BA54" s="235"/>
      <c r="BB54" s="144">
        <f t="shared" ref="BB54:BP54" si="59">IF(CC54="ДА",$M54,"")</f>
        <v>1</v>
      </c>
      <c r="BC54" s="144">
        <f t="shared" si="59"/>
        <v>1</v>
      </c>
      <c r="BD54" s="144">
        <f t="shared" si="59"/>
        <v>1</v>
      </c>
      <c r="BE54" s="144">
        <f t="shared" si="59"/>
        <v>1</v>
      </c>
      <c r="BF54" s="201">
        <f t="shared" si="59"/>
        <v>1</v>
      </c>
      <c r="BG54" s="144">
        <f t="shared" si="59"/>
        <v>1</v>
      </c>
      <c r="BH54" s="144">
        <f t="shared" si="59"/>
        <v>1</v>
      </c>
      <c r="BI54" s="144">
        <f t="shared" si="59"/>
        <v>1</v>
      </c>
      <c r="BJ54" s="144">
        <f t="shared" si="59"/>
        <v>1</v>
      </c>
      <c r="BK54" s="201" t="str">
        <f t="shared" si="59"/>
        <v/>
      </c>
      <c r="BL54" s="144" t="str">
        <f t="shared" si="59"/>
        <v/>
      </c>
      <c r="BM54" s="144" t="str">
        <f t="shared" si="59"/>
        <v/>
      </c>
      <c r="BN54" s="144" t="str">
        <f t="shared" si="59"/>
        <v/>
      </c>
      <c r="BO54" s="144" t="str">
        <f t="shared" si="59"/>
        <v/>
      </c>
      <c r="BP54" s="201" t="str">
        <f t="shared" si="59"/>
        <v/>
      </c>
      <c r="BQ54" s="209"/>
      <c r="BR54" s="388"/>
      <c r="BS54" s="37" t="s">
        <v>246</v>
      </c>
      <c r="BT54" s="37" t="s">
        <v>246</v>
      </c>
      <c r="BU54" s="37" t="s">
        <v>246</v>
      </c>
      <c r="BV54" s="37" t="s">
        <v>246</v>
      </c>
      <c r="BW54" s="37" t="s">
        <v>246</v>
      </c>
      <c r="BX54" s="37" t="s">
        <v>246</v>
      </c>
      <c r="BY54" s="37" t="s">
        <v>246</v>
      </c>
      <c r="BZ54" s="37" t="s">
        <v>246</v>
      </c>
      <c r="CA54" s="123" t="s">
        <v>246</v>
      </c>
      <c r="CB54" s="223"/>
      <c r="CC54" s="37" t="s">
        <v>246</v>
      </c>
      <c r="CD54" s="37" t="s">
        <v>246</v>
      </c>
      <c r="CE54" s="37" t="s">
        <v>246</v>
      </c>
      <c r="CF54" s="37" t="s">
        <v>246</v>
      </c>
      <c r="CG54" s="37" t="s">
        <v>246</v>
      </c>
      <c r="CH54" s="37" t="s">
        <v>246</v>
      </c>
      <c r="CI54" s="37" t="s">
        <v>246</v>
      </c>
      <c r="CJ54" s="37" t="s">
        <v>246</v>
      </c>
      <c r="CK54" s="37" t="s">
        <v>246</v>
      </c>
      <c r="CL54" s="37" t="s">
        <v>255</v>
      </c>
      <c r="CM54" s="37" t="s">
        <v>255</v>
      </c>
      <c r="CN54" s="37" t="s">
        <v>255</v>
      </c>
      <c r="CO54" s="37" t="s">
        <v>255</v>
      </c>
      <c r="CP54" s="37" t="s">
        <v>255</v>
      </c>
      <c r="CQ54" s="37" t="s">
        <v>255</v>
      </c>
      <c r="CR54" s="123" t="s">
        <v>300</v>
      </c>
    </row>
    <row r="55" spans="1:96" ht="60" hidden="1" outlineLevel="2" x14ac:dyDescent="0.25">
      <c r="A55" s="133"/>
      <c r="B55" s="253" t="s">
        <v>50</v>
      </c>
      <c r="C55" s="254" t="s">
        <v>2267</v>
      </c>
      <c r="D55" s="254"/>
      <c r="E55" s="254"/>
      <c r="F55" s="254"/>
      <c r="G55" s="254"/>
      <c r="H55" s="254"/>
      <c r="I55" s="254"/>
      <c r="J55" s="254"/>
      <c r="K55" s="254"/>
      <c r="L55" s="254"/>
      <c r="M55" s="254"/>
      <c r="N55" s="235">
        <f t="shared" si="47"/>
        <v>0</v>
      </c>
      <c r="O55" s="329"/>
      <c r="P55" s="254"/>
      <c r="Q55" s="361"/>
      <c r="R55" s="360"/>
      <c r="S55" s="254"/>
      <c r="T55" s="361"/>
      <c r="U55" s="360"/>
      <c r="V55" s="254"/>
      <c r="W55" s="361"/>
      <c r="X55" s="360"/>
      <c r="Y55" s="254"/>
      <c r="Z55" s="330"/>
      <c r="AA55" s="254"/>
      <c r="AB55" s="793"/>
      <c r="AD55" s="255"/>
      <c r="AE55" s="254"/>
      <c r="AF55" s="254"/>
      <c r="AG55" s="255"/>
      <c r="AH55" s="254"/>
      <c r="AI55" s="254"/>
      <c r="AJ55" s="255"/>
      <c r="AK55" s="254"/>
      <c r="AL55" s="254"/>
      <c r="AM55" s="255"/>
      <c r="AN55" s="254"/>
      <c r="AQ55" s="202"/>
      <c r="AZ55" s="203"/>
      <c r="BF55" s="203"/>
      <c r="BK55" s="203"/>
      <c r="BP55" s="203"/>
      <c r="BQ55" s="202"/>
      <c r="CA55" s="203"/>
      <c r="CR55" s="125"/>
    </row>
    <row r="56" spans="1:96" ht="30" hidden="1" outlineLevel="2" x14ac:dyDescent="0.25">
      <c r="A56" s="133"/>
      <c r="B56" s="253" t="s">
        <v>51</v>
      </c>
      <c r="C56" s="253" t="s">
        <v>51</v>
      </c>
      <c r="D56" s="254"/>
      <c r="E56" s="254"/>
      <c r="F56" s="254"/>
      <c r="G56" s="254"/>
      <c r="H56" s="254"/>
      <c r="I56" s="254"/>
      <c r="J56" s="254"/>
      <c r="K56" s="254"/>
      <c r="L56" s="254"/>
      <c r="M56" s="254"/>
      <c r="N56" s="235">
        <f t="shared" si="47"/>
        <v>0</v>
      </c>
      <c r="O56" s="329"/>
      <c r="P56" s="254"/>
      <c r="Q56" s="361"/>
      <c r="R56" s="360"/>
      <c r="S56" s="254"/>
      <c r="T56" s="361"/>
      <c r="U56" s="360"/>
      <c r="V56" s="254"/>
      <c r="W56" s="361"/>
      <c r="X56" s="360"/>
      <c r="Y56" s="254"/>
      <c r="Z56" s="330"/>
      <c r="AA56" s="254"/>
      <c r="AB56" s="793"/>
      <c r="AD56" s="255"/>
      <c r="AE56" s="254"/>
      <c r="AF56" s="254"/>
      <c r="AG56" s="255"/>
      <c r="AH56" s="254"/>
      <c r="AI56" s="254"/>
      <c r="AJ56" s="255"/>
      <c r="AK56" s="254"/>
      <c r="AL56" s="254"/>
      <c r="AM56" s="255"/>
      <c r="AN56" s="254"/>
      <c r="AQ56" s="202"/>
      <c r="AZ56" s="203"/>
      <c r="BF56" s="203"/>
      <c r="BK56" s="203"/>
      <c r="BP56" s="203"/>
      <c r="BQ56" s="202"/>
      <c r="CA56" s="203"/>
      <c r="CR56" s="125"/>
    </row>
    <row r="57" spans="1:96" hidden="1" outlineLevel="2" x14ac:dyDescent="0.25">
      <c r="A57" s="133"/>
      <c r="B57" s="253" t="s">
        <v>52</v>
      </c>
      <c r="C57" s="253" t="s">
        <v>52</v>
      </c>
      <c r="D57" s="254"/>
      <c r="E57" s="254"/>
      <c r="F57" s="254"/>
      <c r="G57" s="254"/>
      <c r="H57" s="254"/>
      <c r="I57" s="254"/>
      <c r="J57" s="254"/>
      <c r="K57" s="254"/>
      <c r="L57" s="254"/>
      <c r="M57" s="254"/>
      <c r="N57" s="235">
        <f t="shared" si="47"/>
        <v>0</v>
      </c>
      <c r="O57" s="329"/>
      <c r="P57" s="254"/>
      <c r="Q57" s="361"/>
      <c r="R57" s="360"/>
      <c r="S57" s="254"/>
      <c r="T57" s="361"/>
      <c r="U57" s="360"/>
      <c r="V57" s="254"/>
      <c r="W57" s="361"/>
      <c r="X57" s="360"/>
      <c r="Y57" s="254"/>
      <c r="Z57" s="330"/>
      <c r="AA57" s="254"/>
      <c r="AB57" s="793"/>
      <c r="AD57" s="255"/>
      <c r="AE57" s="254"/>
      <c r="AF57" s="254"/>
      <c r="AG57" s="255"/>
      <c r="AH57" s="254"/>
      <c r="AI57" s="254"/>
      <c r="AJ57" s="255"/>
      <c r="AK57" s="254"/>
      <c r="AL57" s="254"/>
      <c r="AM57" s="255"/>
      <c r="AN57" s="254"/>
      <c r="AQ57" s="202"/>
      <c r="AZ57" s="203"/>
      <c r="BF57" s="203"/>
      <c r="BK57" s="203"/>
      <c r="BP57" s="203"/>
      <c r="BQ57" s="202"/>
      <c r="CA57" s="203"/>
      <c r="CR57" s="125"/>
    </row>
    <row r="58" spans="1:96" ht="45" hidden="1" outlineLevel="2" x14ac:dyDescent="0.25">
      <c r="A58" s="133"/>
      <c r="B58" s="253" t="s">
        <v>569</v>
      </c>
      <c r="C58" s="260" t="s">
        <v>2268</v>
      </c>
      <c r="D58" s="254"/>
      <c r="E58" s="254"/>
      <c r="F58" s="254"/>
      <c r="G58" s="254"/>
      <c r="H58" s="254"/>
      <c r="I58" s="254"/>
      <c r="J58" s="254"/>
      <c r="K58" s="254"/>
      <c r="L58" s="254"/>
      <c r="M58" s="254"/>
      <c r="N58" s="235">
        <f t="shared" si="47"/>
        <v>0</v>
      </c>
      <c r="O58" s="329"/>
      <c r="P58" s="254"/>
      <c r="Q58" s="361"/>
      <c r="R58" s="360"/>
      <c r="S58" s="254"/>
      <c r="T58" s="361"/>
      <c r="U58" s="360"/>
      <c r="V58" s="254"/>
      <c r="W58" s="361"/>
      <c r="X58" s="360"/>
      <c r="Y58" s="254"/>
      <c r="Z58" s="330"/>
      <c r="AA58" s="254"/>
      <c r="AB58" s="793"/>
      <c r="AD58" s="255"/>
      <c r="AE58" s="254"/>
      <c r="AF58" s="254"/>
      <c r="AG58" s="255"/>
      <c r="AH58" s="254"/>
      <c r="AI58" s="254"/>
      <c r="AJ58" s="255"/>
      <c r="AK58" s="254"/>
      <c r="AL58" s="254"/>
      <c r="AM58" s="255"/>
      <c r="AN58" s="254"/>
      <c r="AQ58" s="202"/>
      <c r="AZ58" s="203"/>
      <c r="BF58" s="203"/>
      <c r="BK58" s="203"/>
      <c r="BP58" s="203"/>
      <c r="BQ58" s="202"/>
      <c r="CA58" s="203"/>
      <c r="CR58" s="125"/>
    </row>
    <row r="59" spans="1:96" ht="15.75" outlineLevel="1" collapsed="1" x14ac:dyDescent="0.25">
      <c r="A59" s="135" t="s">
        <v>409</v>
      </c>
      <c r="B59" s="113" t="s">
        <v>54</v>
      </c>
      <c r="C59" s="113"/>
      <c r="D59" s="113"/>
      <c r="E59" s="490"/>
      <c r="F59" s="111" t="s">
        <v>222</v>
      </c>
      <c r="G59" s="111" t="s">
        <v>563</v>
      </c>
      <c r="H59" s="111" t="s">
        <v>242</v>
      </c>
      <c r="I59" s="111" t="s">
        <v>242</v>
      </c>
      <c r="J59" s="111" t="s">
        <v>242</v>
      </c>
      <c r="K59" s="111" t="s">
        <v>242</v>
      </c>
      <c r="L59" s="111" t="s">
        <v>1692</v>
      </c>
      <c r="M59" s="111">
        <v>1</v>
      </c>
      <c r="N59" s="235">
        <f t="shared" si="47"/>
        <v>3</v>
      </c>
      <c r="O59" s="200">
        <f t="shared" ref="O59" si="60">IF(AC59="ДА",$M59,"")</f>
        <v>1</v>
      </c>
      <c r="P59" s="144"/>
      <c r="Q59" s="357">
        <f>IF(AC59="ДА",ROUNDUP(O59/5,0),0)</f>
        <v>1</v>
      </c>
      <c r="R59" s="356">
        <f>IF(AF59="ДА",$M59,"")</f>
        <v>1</v>
      </c>
      <c r="S59" s="144"/>
      <c r="T59" s="357">
        <f>IF(AF59="ДА",ROUNDUP(R59/5,0),0)</f>
        <v>1</v>
      </c>
      <c r="U59" s="356">
        <f>IF(AI59="ДА",$M59,"")</f>
        <v>1</v>
      </c>
      <c r="V59" s="144"/>
      <c r="W59" s="357">
        <f>IF(AI59="ДА",ROUNDUP(U59/5,0),0)</f>
        <v>1</v>
      </c>
      <c r="X59" s="356" t="str">
        <f>IF(AL59="ДА",$M59,"")</f>
        <v/>
      </c>
      <c r="Y59" s="144"/>
      <c r="Z59" s="201">
        <f>IF(AL59="ДА",ROUNDUP(X59/5,0),0)</f>
        <v>0</v>
      </c>
      <c r="AA59" s="388" t="str">
        <f>IF(OR(AC59="ДА",AF59="ДА",AI59="ДА",AL59="ДА"),"ДА","НЕТ")</f>
        <v>ДА</v>
      </c>
      <c r="AB59" s="388"/>
      <c r="AC59" s="37" t="str">
        <f>IF(AC$8=$BT$9,$BT59,IF(AC$8=$BS$9,$BS59,IF(AC$8=$BU$9,$BU59,IF(AC$8=$BV$9,$BV59,IF(AC$8=$BW$9,$BW59,IF(AC$8=$BX$9,$BX59,IF(AC$8=$BY$9,$BY59,IF(AC$8=$BZ$9,$BZ59,IF(AC$8=$CA$9,$CA59,IF(AC$8=$CC$9,$CC59,IF(AC$8=$CD$9,$CD59,IF(AC$8=$CE$9,$CE59,IF(AC$8=$CF$9,$CF59,IF(AC$8=$CG$9,$CG59,IF(AC$8=$CH$9,$CH59,IF(AC$8=$CI$9,$CI59,IF(AC$8=$CJ$9,$CJ59,IF(AC$8=$CK$9,$CK59,IF(AC$8=$CL$9,$CL59,IF(AC$8=$CM$9,$CM59,IF(AC$8=$CN$9,$CN59,IF(AC$8=$CO$9,$CO59,IF(AC$8=$CP$9,$CP59,IF(AC$8=$CQ$9,$CQ59,"НЕТ"))))))))))))))))))))))))</f>
        <v>ДА</v>
      </c>
      <c r="AD59" s="37" t="str">
        <f>IF(AC59="НЕТ","Не требуется",$CR59)</f>
        <v>Не требуется</v>
      </c>
      <c r="AE59" s="37"/>
      <c r="AF59" s="37" t="str">
        <f t="shared" ref="AF59:AL59" si="61">IF(AF$8=$BT$9,$BT59,IF(AF$8=$BS$9,$BS59,IF(AF$8=$BU$9,$BU59,IF(AF$8=$BV$9,$BV59,IF(AF$8=$BW$9,$BW59,IF(AF$8=$BX$9,$BX59,IF(AF$8=$BY$9,$BY59,IF(AF$8=$BZ$9,$BZ59,IF(AF$8=$CA$9,$CA59,IF(AF$8=$CC$9,$CC59,IF(AF$8=$CD$9,$CD59,IF(AF$8=$CE$9,$CE59,IF(AF$8=$CF$9,$CF59,IF(AF$8=$CG$9,$CG59,IF(AF$8=$CH$9,$CH59,IF(AF$8=$CI$9,$CI59,IF(AF$8=$CJ$9,$CJ59,IF(AF$8=$CK$9,$CK59,IF(AF$8=$CL$9,$CL59,IF(AF$8=$CM$9,$CM59,IF(AF$8=$CN$9,$CN59,IF(AF$8=$CO$9,$CO59,IF(AF$8=$CP$9,$CP59,IF(AF$8=$CQ$9,$CQ59,"НЕТ"))))))))))))))))))))))))</f>
        <v>ДА</v>
      </c>
      <c r="AG59" s="37" t="str">
        <f t="shared" si="61"/>
        <v>НЕТ</v>
      </c>
      <c r="AH59" s="37" t="str">
        <f t="shared" si="61"/>
        <v>НЕТ</v>
      </c>
      <c r="AI59" s="37" t="str">
        <f t="shared" si="61"/>
        <v>ДА</v>
      </c>
      <c r="AJ59" s="37" t="str">
        <f t="shared" si="61"/>
        <v>НЕТ</v>
      </c>
      <c r="AK59" s="37" t="str">
        <f t="shared" si="61"/>
        <v>НЕТ</v>
      </c>
      <c r="AL59" s="37" t="str">
        <f t="shared" si="61"/>
        <v>НЕТ</v>
      </c>
      <c r="AM59" s="37" t="str">
        <f>IF(AL59="НЕТ","Не требуется",$CR59)</f>
        <v>Не требуется</v>
      </c>
      <c r="AN59" s="37"/>
      <c r="AQ59" s="200"/>
      <c r="AR59" s="230"/>
      <c r="AS59" s="144">
        <f>IF(BS59="ДА",$M59,"")</f>
        <v>1</v>
      </c>
      <c r="AT59" s="144" t="str">
        <f t="shared" ref="AT59:AV59" si="62">IF(BT59="ДА",$M59,"")</f>
        <v/>
      </c>
      <c r="AU59" s="144">
        <f t="shared" si="62"/>
        <v>1</v>
      </c>
      <c r="AV59" s="144">
        <f t="shared" si="62"/>
        <v>1</v>
      </c>
      <c r="AW59" s="144">
        <f>IF(BX59="ДА",$M59,"")</f>
        <v>1</v>
      </c>
      <c r="AX59" s="144">
        <f>IF(BY59="ДА",$M59,"")</f>
        <v>1</v>
      </c>
      <c r="AY59" s="144">
        <f>IF(BZ59="ДА",$M59,"")</f>
        <v>1</v>
      </c>
      <c r="AZ59" s="201">
        <f>IF(CA59="ДА",$M59,"")</f>
        <v>1</v>
      </c>
      <c r="BA59" s="235"/>
      <c r="BB59" s="144" t="str">
        <f t="shared" ref="BB59:BP59" si="63">IF(CC59="ДА",$M59,"")</f>
        <v/>
      </c>
      <c r="BC59" s="144">
        <f t="shared" si="63"/>
        <v>1</v>
      </c>
      <c r="BD59" s="144" t="str">
        <f t="shared" si="63"/>
        <v/>
      </c>
      <c r="BE59" s="144">
        <f t="shared" si="63"/>
        <v>1</v>
      </c>
      <c r="BF59" s="201" t="str">
        <f t="shared" si="63"/>
        <v/>
      </c>
      <c r="BG59" s="144">
        <f t="shared" si="63"/>
        <v>1</v>
      </c>
      <c r="BH59" s="144">
        <f t="shared" si="63"/>
        <v>1</v>
      </c>
      <c r="BI59" s="144">
        <f t="shared" si="63"/>
        <v>1</v>
      </c>
      <c r="BJ59" s="144">
        <f t="shared" si="63"/>
        <v>1</v>
      </c>
      <c r="BK59" s="201" t="str">
        <f t="shared" si="63"/>
        <v/>
      </c>
      <c r="BL59" s="144" t="str">
        <f t="shared" si="63"/>
        <v/>
      </c>
      <c r="BM59" s="144" t="str">
        <f t="shared" si="63"/>
        <v/>
      </c>
      <c r="BN59" s="144" t="str">
        <f t="shared" si="63"/>
        <v/>
      </c>
      <c r="BO59" s="144" t="str">
        <f t="shared" si="63"/>
        <v/>
      </c>
      <c r="BP59" s="201" t="str">
        <f t="shared" si="63"/>
        <v/>
      </c>
      <c r="BQ59" s="209"/>
      <c r="BR59" s="388"/>
      <c r="BS59" s="37" t="s">
        <v>246</v>
      </c>
      <c r="BT59" s="37" t="s">
        <v>255</v>
      </c>
      <c r="BU59" s="37" t="s">
        <v>246</v>
      </c>
      <c r="BV59" s="37" t="s">
        <v>246</v>
      </c>
      <c r="BW59" s="37" t="s">
        <v>246</v>
      </c>
      <c r="BX59" s="37" t="s">
        <v>246</v>
      </c>
      <c r="BY59" s="37" t="s">
        <v>246</v>
      </c>
      <c r="BZ59" s="37" t="s">
        <v>246</v>
      </c>
      <c r="CA59" s="123" t="s">
        <v>246</v>
      </c>
      <c r="CB59" s="223"/>
      <c r="CC59" s="37" t="s">
        <v>255</v>
      </c>
      <c r="CD59" s="37" t="s">
        <v>246</v>
      </c>
      <c r="CE59" s="37" t="s">
        <v>255</v>
      </c>
      <c r="CF59" s="37" t="s">
        <v>246</v>
      </c>
      <c r="CG59" s="37" t="s">
        <v>255</v>
      </c>
      <c r="CH59" s="37" t="s">
        <v>246</v>
      </c>
      <c r="CI59" s="37" t="s">
        <v>246</v>
      </c>
      <c r="CJ59" s="37" t="s">
        <v>246</v>
      </c>
      <c r="CK59" s="37" t="s">
        <v>246</v>
      </c>
      <c r="CL59" s="37" t="s">
        <v>255</v>
      </c>
      <c r="CM59" s="37" t="s">
        <v>255</v>
      </c>
      <c r="CN59" s="37" t="s">
        <v>255</v>
      </c>
      <c r="CO59" s="37" t="s">
        <v>255</v>
      </c>
      <c r="CP59" s="37" t="s">
        <v>255</v>
      </c>
      <c r="CQ59" s="37" t="s">
        <v>255</v>
      </c>
      <c r="CR59" s="123" t="s">
        <v>300</v>
      </c>
    </row>
    <row r="60" spans="1:96" ht="30" hidden="1" outlineLevel="2" x14ac:dyDescent="0.25">
      <c r="A60" s="133"/>
      <c r="B60" s="262" t="s">
        <v>55</v>
      </c>
      <c r="C60" s="1023" t="s">
        <v>2269</v>
      </c>
      <c r="D60" s="263"/>
      <c r="E60" s="263"/>
      <c r="F60" s="263"/>
      <c r="G60" s="263"/>
      <c r="H60" s="263"/>
      <c r="I60" s="263"/>
      <c r="J60" s="263"/>
      <c r="K60" s="263"/>
      <c r="L60" s="263"/>
      <c r="M60" s="263"/>
      <c r="N60" s="235">
        <f t="shared" si="47"/>
        <v>0</v>
      </c>
      <c r="O60" s="335"/>
      <c r="P60" s="263"/>
      <c r="Q60" s="367"/>
      <c r="R60" s="366"/>
      <c r="S60" s="263"/>
      <c r="T60" s="367"/>
      <c r="U60" s="366"/>
      <c r="V60" s="263"/>
      <c r="W60" s="367"/>
      <c r="X60" s="366"/>
      <c r="Y60" s="263"/>
      <c r="Z60" s="336"/>
      <c r="AA60" s="263"/>
      <c r="AB60" s="794"/>
      <c r="AD60" s="264"/>
      <c r="AE60" s="263"/>
      <c r="AF60" s="263"/>
      <c r="AG60" s="264"/>
      <c r="AH60" s="263"/>
      <c r="AI60" s="263"/>
      <c r="AJ60" s="264"/>
      <c r="AK60" s="263"/>
      <c r="AL60" s="263"/>
      <c r="AM60" s="264"/>
      <c r="AN60" s="263"/>
      <c r="AQ60" s="202"/>
      <c r="AZ60" s="203"/>
      <c r="BF60" s="203"/>
      <c r="BK60" s="203"/>
      <c r="BP60" s="203"/>
      <c r="BQ60" s="202"/>
      <c r="CA60" s="203"/>
      <c r="CR60" s="125"/>
    </row>
    <row r="61" spans="1:96" ht="15.75" outlineLevel="1" collapsed="1" x14ac:dyDescent="0.25">
      <c r="A61" s="135" t="s">
        <v>410</v>
      </c>
      <c r="B61" s="113" t="s">
        <v>56</v>
      </c>
      <c r="C61" s="113"/>
      <c r="D61" s="113"/>
      <c r="E61" s="490"/>
      <c r="F61" s="111" t="s">
        <v>222</v>
      </c>
      <c r="G61" s="111" t="s">
        <v>563</v>
      </c>
      <c r="H61" s="111" t="s">
        <v>242</v>
      </c>
      <c r="I61" s="111" t="s">
        <v>242</v>
      </c>
      <c r="J61" s="111" t="s">
        <v>242</v>
      </c>
      <c r="K61" s="111" t="s">
        <v>242</v>
      </c>
      <c r="L61" s="111" t="s">
        <v>1692</v>
      </c>
      <c r="M61" s="111">
        <v>1</v>
      </c>
      <c r="N61" s="235">
        <f t="shared" si="47"/>
        <v>3</v>
      </c>
      <c r="O61" s="200">
        <f t="shared" ref="O61" si="64">IF(AC61="ДА",$M61,"")</f>
        <v>1</v>
      </c>
      <c r="P61" s="144"/>
      <c r="Q61" s="357">
        <f>IF(AC61="ДА",ROUNDUP(O61/5,0),0)</f>
        <v>1</v>
      </c>
      <c r="R61" s="356">
        <f>IF(AF61="ДА",$M61,"")</f>
        <v>1</v>
      </c>
      <c r="S61" s="144"/>
      <c r="T61" s="357">
        <f>IF(AF61="ДА",ROUNDUP(R61/5,0),0)</f>
        <v>1</v>
      </c>
      <c r="U61" s="356">
        <f>IF(AI61="ДА",$M61,"")</f>
        <v>1</v>
      </c>
      <c r="V61" s="144"/>
      <c r="W61" s="357">
        <f>IF(AI61="ДА",ROUNDUP(U61/5,0),0)</f>
        <v>1</v>
      </c>
      <c r="X61" s="356" t="str">
        <f>IF(AL61="ДА",$M61,"")</f>
        <v/>
      </c>
      <c r="Y61" s="144"/>
      <c r="Z61" s="201">
        <f>IF(AL61="ДА",ROUNDUP(X61/5,0),0)</f>
        <v>0</v>
      </c>
      <c r="AA61" s="388" t="str">
        <f>IF(OR(AC61="ДА",AF61="ДА",AI61="ДА",AL61="ДА"),"ДА","НЕТ")</f>
        <v>ДА</v>
      </c>
      <c r="AB61" s="388"/>
      <c r="AC61" s="37" t="str">
        <f>IF(AC$8=$BT$9,$BT61,IF(AC$8=$BS$9,$BS61,IF(AC$8=$BU$9,$BU61,IF(AC$8=$BV$9,$BV61,IF(AC$8=$BW$9,$BW61,IF(AC$8=$BX$9,$BX61,IF(AC$8=$BY$9,$BY61,IF(AC$8=$BZ$9,$BZ61,IF(AC$8=$CA$9,$CA61,IF(AC$8=$CC$9,$CC61,IF(AC$8=$CD$9,$CD61,IF(AC$8=$CE$9,$CE61,IF(AC$8=$CF$9,$CF61,IF(AC$8=$CG$9,$CG61,IF(AC$8=$CH$9,$CH61,IF(AC$8=$CI$9,$CI61,IF(AC$8=$CJ$9,$CJ61,IF(AC$8=$CK$9,$CK61,IF(AC$8=$CL$9,$CL61,IF(AC$8=$CM$9,$CM61,IF(AC$8=$CN$9,$CN61,IF(AC$8=$CO$9,$CO61,IF(AC$8=$CP$9,$CP61,IF(AC$8=$CQ$9,$CQ61,"НЕТ"))))))))))))))))))))))))</f>
        <v>ДА</v>
      </c>
      <c r="AD61" s="37" t="str">
        <f>IF(AC61="НЕТ","Не требуется",$CR61)</f>
        <v>Не требуется</v>
      </c>
      <c r="AE61" s="37"/>
      <c r="AF61" s="37" t="str">
        <f t="shared" ref="AF61:AL61" si="65">IF(AF$8=$BT$9,$BT61,IF(AF$8=$BS$9,$BS61,IF(AF$8=$BU$9,$BU61,IF(AF$8=$BV$9,$BV61,IF(AF$8=$BW$9,$BW61,IF(AF$8=$BX$9,$BX61,IF(AF$8=$BY$9,$BY61,IF(AF$8=$BZ$9,$BZ61,IF(AF$8=$CA$9,$CA61,IF(AF$8=$CC$9,$CC61,IF(AF$8=$CD$9,$CD61,IF(AF$8=$CE$9,$CE61,IF(AF$8=$CF$9,$CF61,IF(AF$8=$CG$9,$CG61,IF(AF$8=$CH$9,$CH61,IF(AF$8=$CI$9,$CI61,IF(AF$8=$CJ$9,$CJ61,IF(AF$8=$CK$9,$CK61,IF(AF$8=$CL$9,$CL61,IF(AF$8=$CM$9,$CM61,IF(AF$8=$CN$9,$CN61,IF(AF$8=$CO$9,$CO61,IF(AF$8=$CP$9,$CP61,IF(AF$8=$CQ$9,$CQ61,"НЕТ"))))))))))))))))))))))))</f>
        <v>ДА</v>
      </c>
      <c r="AG61" s="37" t="str">
        <f t="shared" si="65"/>
        <v>НЕТ</v>
      </c>
      <c r="AH61" s="37" t="str">
        <f t="shared" si="65"/>
        <v>НЕТ</v>
      </c>
      <c r="AI61" s="37" t="str">
        <f t="shared" si="65"/>
        <v>ДА</v>
      </c>
      <c r="AJ61" s="37" t="str">
        <f t="shared" si="65"/>
        <v>НЕТ</v>
      </c>
      <c r="AK61" s="37" t="str">
        <f t="shared" si="65"/>
        <v>НЕТ</v>
      </c>
      <c r="AL61" s="37" t="str">
        <f t="shared" si="65"/>
        <v>НЕТ</v>
      </c>
      <c r="AM61" s="37" t="str">
        <f>IF(AL61="НЕТ","Не требуется",$CR61)</f>
        <v>Не требуется</v>
      </c>
      <c r="AN61" s="37"/>
      <c r="AQ61" s="200"/>
      <c r="AR61" s="230"/>
      <c r="AS61" s="144">
        <f>IF(BS61="ДА",$M61,"")</f>
        <v>1</v>
      </c>
      <c r="AT61" s="144">
        <f t="shared" ref="AT61:AV61" si="66">IF(BT61="ДА",$M61,"")</f>
        <v>1</v>
      </c>
      <c r="AU61" s="144">
        <f t="shared" si="66"/>
        <v>1</v>
      </c>
      <c r="AV61" s="144">
        <f t="shared" si="66"/>
        <v>1</v>
      </c>
      <c r="AW61" s="144">
        <f>IF(BX61="ДА",$M61,"")</f>
        <v>1</v>
      </c>
      <c r="AX61" s="144">
        <f>IF(BY61="ДА",$M61,"")</f>
        <v>1</v>
      </c>
      <c r="AY61" s="144">
        <f>IF(BZ61="ДА",$M61,"")</f>
        <v>1</v>
      </c>
      <c r="AZ61" s="201">
        <f>IF(CA61="ДА",$M61,"")</f>
        <v>1</v>
      </c>
      <c r="BA61" s="235"/>
      <c r="BB61" s="144">
        <f t="shared" ref="BB61:BP61" si="67">IF(CC61="ДА",$M61,"")</f>
        <v>1</v>
      </c>
      <c r="BC61" s="144">
        <f t="shared" si="67"/>
        <v>1</v>
      </c>
      <c r="BD61" s="144" t="str">
        <f t="shared" si="67"/>
        <v/>
      </c>
      <c r="BE61" s="144" t="str">
        <f t="shared" si="67"/>
        <v/>
      </c>
      <c r="BF61" s="201" t="str">
        <f t="shared" si="67"/>
        <v/>
      </c>
      <c r="BG61" s="144">
        <f t="shared" si="67"/>
        <v>1</v>
      </c>
      <c r="BH61" s="144">
        <f t="shared" si="67"/>
        <v>1</v>
      </c>
      <c r="BI61" s="144">
        <f t="shared" si="67"/>
        <v>1</v>
      </c>
      <c r="BJ61" s="144">
        <f t="shared" si="67"/>
        <v>1</v>
      </c>
      <c r="BK61" s="201" t="str">
        <f t="shared" si="67"/>
        <v/>
      </c>
      <c r="BL61" s="144" t="str">
        <f t="shared" si="67"/>
        <v/>
      </c>
      <c r="BM61" s="144" t="str">
        <f t="shared" si="67"/>
        <v/>
      </c>
      <c r="BN61" s="144" t="str">
        <f t="shared" si="67"/>
        <v/>
      </c>
      <c r="BO61" s="144" t="str">
        <f t="shared" si="67"/>
        <v/>
      </c>
      <c r="BP61" s="201" t="str">
        <f t="shared" si="67"/>
        <v/>
      </c>
      <c r="BQ61" s="209"/>
      <c r="BR61" s="388"/>
      <c r="BS61" s="37" t="s">
        <v>246</v>
      </c>
      <c r="BT61" s="37" t="s">
        <v>246</v>
      </c>
      <c r="BU61" s="37" t="s">
        <v>246</v>
      </c>
      <c r="BV61" s="37" t="s">
        <v>246</v>
      </c>
      <c r="BW61" s="37" t="s">
        <v>246</v>
      </c>
      <c r="BX61" s="37" t="s">
        <v>246</v>
      </c>
      <c r="BY61" s="37" t="s">
        <v>246</v>
      </c>
      <c r="BZ61" s="37" t="s">
        <v>246</v>
      </c>
      <c r="CA61" s="123" t="s">
        <v>246</v>
      </c>
      <c r="CB61" s="223"/>
      <c r="CC61" s="37" t="s">
        <v>246</v>
      </c>
      <c r="CD61" s="37" t="s">
        <v>246</v>
      </c>
      <c r="CE61" s="37" t="s">
        <v>255</v>
      </c>
      <c r="CF61" s="37" t="s">
        <v>255</v>
      </c>
      <c r="CG61" s="37" t="s">
        <v>255</v>
      </c>
      <c r="CH61" s="37" t="s">
        <v>246</v>
      </c>
      <c r="CI61" s="37" t="s">
        <v>246</v>
      </c>
      <c r="CJ61" s="37" t="s">
        <v>246</v>
      </c>
      <c r="CK61" s="37" t="s">
        <v>246</v>
      </c>
      <c r="CL61" s="37" t="s">
        <v>255</v>
      </c>
      <c r="CM61" s="37" t="s">
        <v>255</v>
      </c>
      <c r="CN61" s="37" t="s">
        <v>255</v>
      </c>
      <c r="CO61" s="37" t="s">
        <v>255</v>
      </c>
      <c r="CP61" s="37" t="s">
        <v>255</v>
      </c>
      <c r="CQ61" s="37" t="s">
        <v>255</v>
      </c>
      <c r="CR61" s="123" t="s">
        <v>300</v>
      </c>
    </row>
    <row r="62" spans="1:96" ht="30" hidden="1" outlineLevel="2" x14ac:dyDescent="0.25">
      <c r="A62" s="1159"/>
      <c r="B62" s="253" t="s">
        <v>57</v>
      </c>
      <c r="C62" s="254" t="s">
        <v>2270</v>
      </c>
      <c r="D62" s="254"/>
      <c r="E62" s="254"/>
      <c r="F62" s="254"/>
      <c r="G62" s="254"/>
      <c r="H62" s="254"/>
      <c r="I62" s="254"/>
      <c r="J62" s="254"/>
      <c r="K62" s="254"/>
      <c r="L62" s="254"/>
      <c r="M62" s="254"/>
      <c r="N62" s="235">
        <f t="shared" si="47"/>
        <v>0</v>
      </c>
      <c r="O62" s="329"/>
      <c r="P62" s="254"/>
      <c r="Q62" s="361"/>
      <c r="R62" s="360"/>
      <c r="S62" s="254"/>
      <c r="T62" s="361"/>
      <c r="U62" s="360"/>
      <c r="V62" s="254"/>
      <c r="W62" s="361"/>
      <c r="X62" s="360"/>
      <c r="Y62" s="254"/>
      <c r="Z62" s="330"/>
      <c r="AA62" s="254"/>
      <c r="AB62" s="793"/>
      <c r="AD62" s="255"/>
      <c r="AE62" s="254"/>
      <c r="AF62" s="254"/>
      <c r="AG62" s="255"/>
      <c r="AH62" s="254"/>
      <c r="AI62" s="254"/>
      <c r="AJ62" s="255"/>
      <c r="AK62" s="254"/>
      <c r="AL62" s="254"/>
      <c r="AM62" s="255"/>
      <c r="AN62" s="254"/>
      <c r="AQ62" s="202"/>
      <c r="AZ62" s="203"/>
      <c r="BF62" s="203"/>
      <c r="BK62" s="203"/>
      <c r="BP62" s="203"/>
      <c r="BQ62" s="202"/>
      <c r="CA62" s="203"/>
      <c r="CR62" s="122"/>
    </row>
    <row r="63" spans="1:96" hidden="1" outlineLevel="2" x14ac:dyDescent="0.25">
      <c r="A63" s="1160"/>
      <c r="B63" s="253" t="s">
        <v>58</v>
      </c>
      <c r="C63" s="253" t="s">
        <v>58</v>
      </c>
      <c r="D63" s="254"/>
      <c r="E63" s="254"/>
      <c r="F63" s="254"/>
      <c r="G63" s="254"/>
      <c r="H63" s="254"/>
      <c r="I63" s="254"/>
      <c r="J63" s="254"/>
      <c r="K63" s="254"/>
      <c r="L63" s="254"/>
      <c r="M63" s="254"/>
      <c r="N63" s="235">
        <f t="shared" si="47"/>
        <v>0</v>
      </c>
      <c r="O63" s="329"/>
      <c r="P63" s="254"/>
      <c r="Q63" s="361"/>
      <c r="R63" s="360"/>
      <c r="S63" s="254"/>
      <c r="T63" s="361"/>
      <c r="U63" s="360"/>
      <c r="V63" s="254"/>
      <c r="W63" s="361"/>
      <c r="X63" s="360"/>
      <c r="Y63" s="254"/>
      <c r="Z63" s="330"/>
      <c r="AA63" s="254"/>
      <c r="AB63" s="793"/>
      <c r="AD63" s="255"/>
      <c r="AE63" s="254"/>
      <c r="AF63" s="254"/>
      <c r="AG63" s="255"/>
      <c r="AH63" s="254"/>
      <c r="AI63" s="254"/>
      <c r="AJ63" s="255"/>
      <c r="AK63" s="254"/>
      <c r="AL63" s="254"/>
      <c r="AM63" s="255"/>
      <c r="AN63" s="254"/>
      <c r="AQ63" s="202"/>
      <c r="AZ63" s="203"/>
      <c r="BF63" s="203"/>
      <c r="BK63" s="203"/>
      <c r="BP63" s="203"/>
      <c r="BQ63" s="202"/>
      <c r="CA63" s="203"/>
      <c r="CR63" s="122"/>
    </row>
    <row r="64" spans="1:96" ht="120" outlineLevel="1" x14ac:dyDescent="0.25">
      <c r="A64" s="842" t="s">
        <v>411</v>
      </c>
      <c r="B64" s="121" t="s">
        <v>1751</v>
      </c>
      <c r="C64" s="1024" t="s">
        <v>2271</v>
      </c>
      <c r="D64" s="121"/>
      <c r="E64" s="121"/>
      <c r="F64" s="34" t="s">
        <v>225</v>
      </c>
      <c r="G64" s="120" t="s">
        <v>579</v>
      </c>
      <c r="H64" s="111" t="s">
        <v>242</v>
      </c>
      <c r="I64" s="111" t="s">
        <v>242</v>
      </c>
      <c r="J64" s="111" t="s">
        <v>242</v>
      </c>
      <c r="K64" s="111" t="s">
        <v>242</v>
      </c>
      <c r="L64" s="111" t="s">
        <v>242</v>
      </c>
      <c r="M64" s="34">
        <v>10</v>
      </c>
      <c r="N64" s="235">
        <f t="shared" si="47"/>
        <v>10</v>
      </c>
      <c r="O64" s="200" t="str">
        <f t="shared" ref="O64:O66" si="68">IF(AC64="ДА",$M64,"")</f>
        <v/>
      </c>
      <c r="P64" s="144"/>
      <c r="Q64" s="357">
        <f>IF(AC64="ДА",ROUNDUP(O64/5,0),0)</f>
        <v>0</v>
      </c>
      <c r="R64" s="356">
        <f>IF(AF64="ДА",$M64,"")</f>
        <v>10</v>
      </c>
      <c r="S64" s="144"/>
      <c r="T64" s="357">
        <f>IF(AF64="ДА",ROUNDUP(R64/5,0),0)</f>
        <v>2</v>
      </c>
      <c r="U64" s="356" t="str">
        <f>IF(AI64="ДА",$M64,"")</f>
        <v/>
      </c>
      <c r="V64" s="144"/>
      <c r="W64" s="357">
        <f>IF(AI64="ДА",ROUNDUP(U64/5,0),0)</f>
        <v>0</v>
      </c>
      <c r="X64" s="356" t="str">
        <f>IF(AL64="ДА",$M64,"")</f>
        <v/>
      </c>
      <c r="Y64" s="144"/>
      <c r="Z64" s="201">
        <f>IF(AL64="ДА",ROUNDUP(X64/5,0),0)</f>
        <v>0</v>
      </c>
      <c r="AA64" s="388" t="str">
        <f>IF(OR(AC64="ДА",AF64="ДА",AI64="ДА",AL64="ДА"),"ДА","НЕТ")</f>
        <v>ДА</v>
      </c>
      <c r="AB64" s="388"/>
      <c r="AC64" s="37" t="str">
        <f>IF(AC$8=$BT$9,$BT64,IF(AC$8=$BS$9,$BS64,IF(AC$8=$BU$9,$BU64,IF(AC$8=$BV$9,$BV64,IF(AC$8=$BW$9,$BW64,IF(AC$8=$BX$9,$BX64,IF(AC$8=$BY$9,$BY64,IF(AC$8=$BZ$9,$BZ64,IF(AC$8=$CA$9,$CA64,IF(AC$8=$CC$9,$CC64,IF(AC$8=$CD$9,$CD64,IF(AC$8=$CE$9,$CE64,IF(AC$8=$CF$9,$CF64,IF(AC$8=$CG$9,$CG64,IF(AC$8=$CH$9,$CH64,IF(AC$8=$CI$9,$CI64,IF(AC$8=$CJ$9,$CJ64,IF(AC$8=$CK$9,$CK64,IF(AC$8=$CL$9,$CL64,IF(AC$8=$CM$9,$CM64,IF(AC$8=$CN$9,$CN64,IF(AC$8=$CO$9,$CO64,IF(AC$8=$CP$9,$CP64,IF(AC$8=$CQ$9,$CQ64,"НЕТ"))))))))))))))))))))))))</f>
        <v>НЕТ</v>
      </c>
      <c r="AD64" s="37" t="str">
        <f>IF(AC64="НЕТ","Не требуется",$CR64)</f>
        <v>Не требуется</v>
      </c>
      <c r="AE64" s="37"/>
      <c r="AF64" s="37" t="str">
        <f t="shared" ref="AF64:AL66" si="69">IF(AF$8=$BT$9,$BT64,IF(AF$8=$BS$9,$BS64,IF(AF$8=$BU$9,$BU64,IF(AF$8=$BV$9,$BV64,IF(AF$8=$BW$9,$BW64,IF(AF$8=$BX$9,$BX64,IF(AF$8=$BY$9,$BY64,IF(AF$8=$BZ$9,$BZ64,IF(AF$8=$CA$9,$CA64,IF(AF$8=$CC$9,$CC64,IF(AF$8=$CD$9,$CD64,IF(AF$8=$CE$9,$CE64,IF(AF$8=$CF$9,$CF64,IF(AF$8=$CG$9,$CG64,IF(AF$8=$CH$9,$CH64,IF(AF$8=$CI$9,$CI64,IF(AF$8=$CJ$9,$CJ64,IF(AF$8=$CK$9,$CK64,IF(AF$8=$CL$9,$CL64,IF(AF$8=$CM$9,$CM64,IF(AF$8=$CN$9,$CN64,IF(AF$8=$CO$9,$CO64,IF(AF$8=$CP$9,$CP64,IF(AF$8=$CQ$9,$CQ64,"НЕТ"))))))))))))))))))))))))</f>
        <v>ДА</v>
      </c>
      <c r="AG64" s="37" t="str">
        <f t="shared" si="69"/>
        <v>НЕТ</v>
      </c>
      <c r="AH64" s="37" t="str">
        <f t="shared" si="69"/>
        <v>НЕТ</v>
      </c>
      <c r="AI64" s="37" t="str">
        <f t="shared" si="69"/>
        <v>НЕТ</v>
      </c>
      <c r="AJ64" s="37" t="str">
        <f t="shared" si="69"/>
        <v>НЕТ</v>
      </c>
      <c r="AK64" s="37" t="str">
        <f t="shared" si="69"/>
        <v>НЕТ</v>
      </c>
      <c r="AL64" s="37" t="str">
        <f t="shared" si="69"/>
        <v>НЕТ</v>
      </c>
      <c r="AM64" s="37" t="str">
        <f>IF(AL64="НЕТ","Не требуется",$CR64)</f>
        <v>Не требуется</v>
      </c>
      <c r="AN64" s="37"/>
      <c r="AQ64" s="200"/>
      <c r="AR64" s="230"/>
      <c r="AS64" s="144" t="str">
        <f t="shared" ref="AS64:AS66" si="70">IF(BS64="ДА",$M64,"")</f>
        <v/>
      </c>
      <c r="AT64" s="144" t="str">
        <f t="shared" ref="AT64:AT66" si="71">IF(BT64="ДА",$M64,"")</f>
        <v/>
      </c>
      <c r="AU64" s="144" t="str">
        <f t="shared" ref="AU64:AU66" si="72">IF(BU64="ДА",$M64,"")</f>
        <v/>
      </c>
      <c r="AV64" s="144" t="str">
        <f t="shared" ref="AV64:AV66" si="73">IF(BV64="ДА",$M64,"")</f>
        <v/>
      </c>
      <c r="AW64" s="144" t="str">
        <f t="shared" ref="AW64:AZ66" si="74">IF(BX64="ДА",$M64,"")</f>
        <v/>
      </c>
      <c r="AX64" s="144">
        <f t="shared" si="74"/>
        <v>10</v>
      </c>
      <c r="AY64" s="144">
        <f t="shared" si="74"/>
        <v>10</v>
      </c>
      <c r="AZ64" s="201">
        <f t="shared" si="74"/>
        <v>10</v>
      </c>
      <c r="BA64" s="235"/>
      <c r="BB64" s="144" t="str">
        <f t="shared" ref="BB64:BP66" si="75">IF(CC64="ДА",$M64,"")</f>
        <v/>
      </c>
      <c r="BC64" s="144" t="str">
        <f t="shared" si="75"/>
        <v/>
      </c>
      <c r="BD64" s="144" t="str">
        <f t="shared" si="75"/>
        <v/>
      </c>
      <c r="BE64" s="144">
        <f t="shared" si="75"/>
        <v>10</v>
      </c>
      <c r="BF64" s="201">
        <f t="shared" si="75"/>
        <v>10</v>
      </c>
      <c r="BG64" s="144" t="str">
        <f t="shared" si="75"/>
        <v/>
      </c>
      <c r="BH64" s="144" t="str">
        <f t="shared" si="75"/>
        <v/>
      </c>
      <c r="BI64" s="144">
        <f t="shared" si="75"/>
        <v>10</v>
      </c>
      <c r="BJ64" s="144" t="str">
        <f t="shared" si="75"/>
        <v/>
      </c>
      <c r="BK64" s="201" t="str">
        <f t="shared" si="75"/>
        <v/>
      </c>
      <c r="BL64" s="144" t="str">
        <f t="shared" si="75"/>
        <v/>
      </c>
      <c r="BM64" s="144" t="str">
        <f t="shared" si="75"/>
        <v/>
      </c>
      <c r="BN64" s="144" t="str">
        <f t="shared" si="75"/>
        <v/>
      </c>
      <c r="BO64" s="144" t="str">
        <f t="shared" si="75"/>
        <v/>
      </c>
      <c r="BP64" s="201" t="str">
        <f t="shared" si="75"/>
        <v/>
      </c>
      <c r="BQ64" s="209"/>
      <c r="BR64" s="388"/>
      <c r="BS64" s="37" t="s">
        <v>255</v>
      </c>
      <c r="BT64" s="37" t="s">
        <v>255</v>
      </c>
      <c r="BU64" s="37" t="s">
        <v>255</v>
      </c>
      <c r="BV64" s="37" t="s">
        <v>255</v>
      </c>
      <c r="BW64" s="37" t="s">
        <v>255</v>
      </c>
      <c r="BX64" s="37" t="s">
        <v>255</v>
      </c>
      <c r="BY64" s="37" t="s">
        <v>246</v>
      </c>
      <c r="BZ64" s="37" t="s">
        <v>246</v>
      </c>
      <c r="CA64" s="123" t="s">
        <v>246</v>
      </c>
      <c r="CB64" s="223"/>
      <c r="CC64" s="37" t="s">
        <v>255</v>
      </c>
      <c r="CD64" s="37" t="s">
        <v>255</v>
      </c>
      <c r="CE64" s="37" t="s">
        <v>255</v>
      </c>
      <c r="CF64" s="37" t="s">
        <v>246</v>
      </c>
      <c r="CG64" s="37" t="s">
        <v>246</v>
      </c>
      <c r="CH64" s="37" t="s">
        <v>255</v>
      </c>
      <c r="CI64" s="37" t="s">
        <v>255</v>
      </c>
      <c r="CJ64" s="37" t="s">
        <v>246</v>
      </c>
      <c r="CK64" s="37" t="s">
        <v>255</v>
      </c>
      <c r="CL64" s="37" t="s">
        <v>255</v>
      </c>
      <c r="CM64" s="37" t="s">
        <v>255</v>
      </c>
      <c r="CN64" s="37" t="s">
        <v>255</v>
      </c>
      <c r="CO64" s="37" t="s">
        <v>255</v>
      </c>
      <c r="CP64" s="37" t="s">
        <v>255</v>
      </c>
      <c r="CQ64" s="37" t="s">
        <v>255</v>
      </c>
      <c r="CR64" s="123" t="s">
        <v>302</v>
      </c>
    </row>
    <row r="65" spans="1:96" ht="45" outlineLevel="1" x14ac:dyDescent="0.25">
      <c r="A65" s="112" t="s">
        <v>412</v>
      </c>
      <c r="B65" s="121" t="s">
        <v>392</v>
      </c>
      <c r="C65" s="1024" t="s">
        <v>2272</v>
      </c>
      <c r="D65" s="121"/>
      <c r="E65" s="121"/>
      <c r="F65" s="34" t="s">
        <v>225</v>
      </c>
      <c r="G65" s="120" t="s">
        <v>579</v>
      </c>
      <c r="H65" s="111" t="s">
        <v>242</v>
      </c>
      <c r="I65" s="111" t="s">
        <v>242</v>
      </c>
      <c r="J65" s="111" t="s">
        <v>242</v>
      </c>
      <c r="K65" s="111" t="s">
        <v>242</v>
      </c>
      <c r="L65" s="111" t="s">
        <v>1692</v>
      </c>
      <c r="M65" s="34">
        <v>5</v>
      </c>
      <c r="N65" s="235">
        <f t="shared" si="47"/>
        <v>0</v>
      </c>
      <c r="O65" s="200" t="str">
        <f t="shared" si="68"/>
        <v/>
      </c>
      <c r="P65" s="144"/>
      <c r="Q65" s="357">
        <f>IF(AC65="ДА",ROUNDUP(O65/5,0),0)</f>
        <v>0</v>
      </c>
      <c r="R65" s="356" t="str">
        <f>IF(AF65="ДА",$M65,"")</f>
        <v/>
      </c>
      <c r="S65" s="144"/>
      <c r="T65" s="357">
        <f>IF(AF65="ДА",ROUNDUP(R65/5,0),0)</f>
        <v>0</v>
      </c>
      <c r="U65" s="356" t="str">
        <f>IF(AI65="ДА",$M65,"")</f>
        <v/>
      </c>
      <c r="V65" s="144"/>
      <c r="W65" s="357">
        <f>IF(AI65="ДА",ROUNDUP(U65/5,0),0)</f>
        <v>0</v>
      </c>
      <c r="X65" s="356" t="str">
        <f>IF(AL65="ДА",$M65,"")</f>
        <v/>
      </c>
      <c r="Y65" s="144"/>
      <c r="Z65" s="201">
        <f>IF(AL65="ДА",ROUNDUP(X65/5,0),0)</f>
        <v>0</v>
      </c>
      <c r="AA65" s="388" t="str">
        <f>IF(OR(AC65="ДА",AF65="ДА",AI65="ДА",AL65="ДА"),"ДА","НЕТ")</f>
        <v>НЕТ</v>
      </c>
      <c r="AB65" s="388"/>
      <c r="AC65" s="37" t="str">
        <f>IF(AC$8=$BT$9,$BT65,IF(AC$8=$BS$9,$BS65,IF(AC$8=$BU$9,$BU65,IF(AC$8=$BV$9,$BV65,IF(AC$8=$BW$9,$BW65,IF(AC$8=$BX$9,$BX65,IF(AC$8=$BY$9,$BY65,IF(AC$8=$BZ$9,$BZ65,IF(AC$8=$CA$9,$CA65,IF(AC$8=$CC$9,$CC65,IF(AC$8=$CD$9,$CD65,IF(AC$8=$CE$9,$CE65,IF(AC$8=$CF$9,$CF65,IF(AC$8=$CG$9,$CG65,IF(AC$8=$CH$9,$CH65,IF(AC$8=$CI$9,$CI65,IF(AC$8=$CJ$9,$CJ65,IF(AC$8=$CK$9,$CK65,IF(AC$8=$CL$9,$CL65,IF(AC$8=$CM$9,$CM65,IF(AC$8=$CN$9,$CN65,IF(AC$8=$CO$9,$CO65,IF(AC$8=$CP$9,$CP65,IF(AC$8=$CQ$9,$CQ65,"НЕТ"))))))))))))))))))))))))</f>
        <v>НЕТ</v>
      </c>
      <c r="AD65" s="37" t="str">
        <f>IF(AC65="НЕТ","Не требуется",$CR65)</f>
        <v>Не требуется</v>
      </c>
      <c r="AE65" s="37"/>
      <c r="AF65" s="37" t="str">
        <f t="shared" si="69"/>
        <v>НЕТ</v>
      </c>
      <c r="AG65" s="37" t="str">
        <f t="shared" si="69"/>
        <v>НЕТ</v>
      </c>
      <c r="AH65" s="37" t="str">
        <f t="shared" si="69"/>
        <v>НЕТ</v>
      </c>
      <c r="AI65" s="37" t="str">
        <f t="shared" si="69"/>
        <v>НЕТ</v>
      </c>
      <c r="AJ65" s="37" t="str">
        <f t="shared" si="69"/>
        <v>НЕТ</v>
      </c>
      <c r="AK65" s="37" t="str">
        <f t="shared" si="69"/>
        <v>НЕТ</v>
      </c>
      <c r="AL65" s="37" t="str">
        <f t="shared" si="69"/>
        <v>НЕТ</v>
      </c>
      <c r="AM65" s="37" t="str">
        <f>IF(AL65="НЕТ","Не требуется",$CR65)</f>
        <v>Не требуется</v>
      </c>
      <c r="AN65" s="37"/>
      <c r="AQ65" s="200"/>
      <c r="AR65" s="230"/>
      <c r="AS65" s="144" t="str">
        <f t="shared" si="70"/>
        <v/>
      </c>
      <c r="AT65" s="144" t="str">
        <f t="shared" si="71"/>
        <v/>
      </c>
      <c r="AU65" s="144" t="str">
        <f t="shared" si="72"/>
        <v/>
      </c>
      <c r="AV65" s="144" t="str">
        <f t="shared" si="73"/>
        <v/>
      </c>
      <c r="AW65" s="144" t="str">
        <f t="shared" si="74"/>
        <v/>
      </c>
      <c r="AX65" s="144" t="str">
        <f t="shared" si="74"/>
        <v/>
      </c>
      <c r="AY65" s="144" t="str">
        <f t="shared" si="74"/>
        <v/>
      </c>
      <c r="AZ65" s="201">
        <f t="shared" si="74"/>
        <v>5</v>
      </c>
      <c r="BA65" s="235"/>
      <c r="BB65" s="144" t="str">
        <f t="shared" si="75"/>
        <v/>
      </c>
      <c r="BC65" s="144" t="str">
        <f t="shared" si="75"/>
        <v/>
      </c>
      <c r="BD65" s="144" t="str">
        <f t="shared" si="75"/>
        <v/>
      </c>
      <c r="BE65" s="144">
        <f t="shared" si="75"/>
        <v>5</v>
      </c>
      <c r="BF65" s="201">
        <f t="shared" si="75"/>
        <v>5</v>
      </c>
      <c r="BG65" s="144" t="str">
        <f t="shared" si="75"/>
        <v/>
      </c>
      <c r="BH65" s="144" t="str">
        <f t="shared" si="75"/>
        <v/>
      </c>
      <c r="BI65" s="144" t="str">
        <f t="shared" si="75"/>
        <v/>
      </c>
      <c r="BJ65" s="144" t="str">
        <f t="shared" si="75"/>
        <v/>
      </c>
      <c r="BK65" s="201" t="str">
        <f t="shared" si="75"/>
        <v/>
      </c>
      <c r="BL65" s="144" t="str">
        <f t="shared" si="75"/>
        <v/>
      </c>
      <c r="BM65" s="144" t="str">
        <f t="shared" si="75"/>
        <v/>
      </c>
      <c r="BN65" s="144" t="str">
        <f t="shared" si="75"/>
        <v/>
      </c>
      <c r="BO65" s="144" t="str">
        <f t="shared" si="75"/>
        <v/>
      </c>
      <c r="BP65" s="201" t="str">
        <f t="shared" si="75"/>
        <v/>
      </c>
      <c r="BQ65" s="209"/>
      <c r="BR65" s="388"/>
      <c r="BS65" s="37" t="s">
        <v>255</v>
      </c>
      <c r="BT65" s="37" t="s">
        <v>255</v>
      </c>
      <c r="BU65" s="37" t="s">
        <v>255</v>
      </c>
      <c r="BV65" s="37" t="s">
        <v>255</v>
      </c>
      <c r="BW65" s="37" t="s">
        <v>255</v>
      </c>
      <c r="BX65" s="37" t="s">
        <v>255</v>
      </c>
      <c r="BY65" s="37" t="s">
        <v>255</v>
      </c>
      <c r="BZ65" s="37" t="s">
        <v>255</v>
      </c>
      <c r="CA65" s="123" t="s">
        <v>246</v>
      </c>
      <c r="CB65" s="223"/>
      <c r="CC65" s="37" t="s">
        <v>255</v>
      </c>
      <c r="CD65" s="37" t="s">
        <v>255</v>
      </c>
      <c r="CE65" s="37" t="s">
        <v>255</v>
      </c>
      <c r="CF65" s="37" t="s">
        <v>246</v>
      </c>
      <c r="CG65" s="37" t="s">
        <v>246</v>
      </c>
      <c r="CH65" s="37" t="s">
        <v>255</v>
      </c>
      <c r="CI65" s="37" t="s">
        <v>255</v>
      </c>
      <c r="CJ65" s="37" t="s">
        <v>255</v>
      </c>
      <c r="CK65" s="37" t="s">
        <v>255</v>
      </c>
      <c r="CL65" s="37" t="s">
        <v>255</v>
      </c>
      <c r="CM65" s="37" t="s">
        <v>255</v>
      </c>
      <c r="CN65" s="37" t="s">
        <v>255</v>
      </c>
      <c r="CO65" s="37" t="s">
        <v>255</v>
      </c>
      <c r="CP65" s="37" t="s">
        <v>255</v>
      </c>
      <c r="CQ65" s="37" t="s">
        <v>255</v>
      </c>
      <c r="CR65" s="123" t="s">
        <v>302</v>
      </c>
    </row>
    <row r="66" spans="1:96" ht="30" outlineLevel="1" x14ac:dyDescent="0.25">
      <c r="A66" s="842" t="s">
        <v>413</v>
      </c>
      <c r="B66" s="121" t="s">
        <v>265</v>
      </c>
      <c r="C66" s="1024" t="s">
        <v>1095</v>
      </c>
      <c r="D66" s="121"/>
      <c r="E66" s="121"/>
      <c r="F66" s="34" t="s">
        <v>225</v>
      </c>
      <c r="G66" s="120" t="s">
        <v>579</v>
      </c>
      <c r="H66" s="111" t="s">
        <v>243</v>
      </c>
      <c r="I66" s="111" t="s">
        <v>243</v>
      </c>
      <c r="J66" s="111" t="s">
        <v>242</v>
      </c>
      <c r="K66" s="111" t="s">
        <v>242</v>
      </c>
      <c r="L66" s="111" t="s">
        <v>243</v>
      </c>
      <c r="M66" s="34">
        <v>5</v>
      </c>
      <c r="N66" s="235">
        <f t="shared" si="47"/>
        <v>5</v>
      </c>
      <c r="O66" s="200" t="str">
        <f t="shared" si="68"/>
        <v/>
      </c>
      <c r="P66" s="144"/>
      <c r="Q66" s="357">
        <f>IF(AC66="ДА",ROUNDUP(O66/5,0),0)</f>
        <v>0</v>
      </c>
      <c r="R66" s="356">
        <f>IF(AF66="ДА",$M66,"")</f>
        <v>5</v>
      </c>
      <c r="S66" s="144"/>
      <c r="T66" s="357">
        <f>IF(AF66="ДА",ROUNDUP(R66/5,0),0)</f>
        <v>1</v>
      </c>
      <c r="U66" s="356" t="str">
        <f>IF(AI66="ДА",$M66,"")</f>
        <v/>
      </c>
      <c r="V66" s="144"/>
      <c r="W66" s="357">
        <f>IF(AI66="ДА",ROUNDUP(U66/5,0),0)</f>
        <v>0</v>
      </c>
      <c r="X66" s="356" t="str">
        <f>IF(AL66="ДА",$M66,"")</f>
        <v/>
      </c>
      <c r="Y66" s="144"/>
      <c r="Z66" s="201">
        <f>IF(AL66="ДА",ROUNDUP(X66/5,0),0)</f>
        <v>0</v>
      </c>
      <c r="AA66" s="388" t="str">
        <f>IF(OR(AC66="ДА",AF66="ДА",AI66="ДА",AL66="ДА"),"ДА","НЕТ")</f>
        <v>ДА</v>
      </c>
      <c r="AB66" s="388"/>
      <c r="AC66" s="37" t="str">
        <f>IF(AC$8=$BT$9,$BT66,IF(AC$8=$BS$9,$BS66,IF(AC$8=$BU$9,$BU66,IF(AC$8=$BV$9,$BV66,IF(AC$8=$BW$9,$BW66,IF(AC$8=$BX$9,$BX66,IF(AC$8=$BY$9,$BY66,IF(AC$8=$BZ$9,$BZ66,IF(AC$8=$CA$9,$CA66,IF(AC$8=$CC$9,$CC66,IF(AC$8=$CD$9,$CD66,IF(AC$8=$CE$9,$CE66,IF(AC$8=$CF$9,$CF66,IF(AC$8=$CG$9,$CG66,IF(AC$8=$CH$9,$CH66,IF(AC$8=$CI$9,$CI66,IF(AC$8=$CJ$9,$CJ66,IF(AC$8=$CK$9,$CK66,IF(AC$8=$CL$9,$CL66,IF(AC$8=$CM$9,$CM66,IF(AC$8=$CN$9,$CN66,IF(AC$8=$CO$9,$CO66,IF(AC$8=$CP$9,$CP66,IF(AC$8=$CQ$9,$CQ66,"НЕТ"))))))))))))))))))))))))</f>
        <v>НЕТ</v>
      </c>
      <c r="AD66" s="37" t="str">
        <f>IF(AC66="НЕТ","Не требуется",$CR66)</f>
        <v>Не требуется</v>
      </c>
      <c r="AE66" s="37"/>
      <c r="AF66" s="37" t="str">
        <f t="shared" si="69"/>
        <v>ДА</v>
      </c>
      <c r="AG66" s="37" t="str">
        <f t="shared" si="69"/>
        <v>НЕТ</v>
      </c>
      <c r="AH66" s="37" t="str">
        <f t="shared" si="69"/>
        <v>НЕТ</v>
      </c>
      <c r="AI66" s="37" t="str">
        <f t="shared" si="69"/>
        <v>НЕТ</v>
      </c>
      <c r="AJ66" s="37" t="str">
        <f t="shared" si="69"/>
        <v>НЕТ</v>
      </c>
      <c r="AK66" s="37" t="str">
        <f t="shared" si="69"/>
        <v>НЕТ</v>
      </c>
      <c r="AL66" s="37" t="str">
        <f t="shared" si="69"/>
        <v>НЕТ</v>
      </c>
      <c r="AM66" s="37" t="str">
        <f>IF(AL66="НЕТ","Не требуется",$CR66)</f>
        <v>Не требуется</v>
      </c>
      <c r="AN66" s="37"/>
      <c r="AQ66" s="200"/>
      <c r="AR66" s="230"/>
      <c r="AS66" s="144" t="str">
        <f t="shared" si="70"/>
        <v/>
      </c>
      <c r="AT66" s="144" t="str">
        <f t="shared" si="71"/>
        <v/>
      </c>
      <c r="AU66" s="144" t="str">
        <f t="shared" si="72"/>
        <v/>
      </c>
      <c r="AV66" s="144" t="str">
        <f t="shared" si="73"/>
        <v/>
      </c>
      <c r="AW66" s="144" t="str">
        <f t="shared" si="74"/>
        <v/>
      </c>
      <c r="AX66" s="144" t="str">
        <f t="shared" si="74"/>
        <v/>
      </c>
      <c r="AY66" s="144">
        <f t="shared" si="74"/>
        <v>5</v>
      </c>
      <c r="AZ66" s="201">
        <f t="shared" si="74"/>
        <v>5</v>
      </c>
      <c r="BA66" s="235"/>
      <c r="BB66" s="144" t="str">
        <f t="shared" si="75"/>
        <v/>
      </c>
      <c r="BC66" s="144">
        <f t="shared" si="75"/>
        <v>5</v>
      </c>
      <c r="BD66" s="144" t="str">
        <f t="shared" si="75"/>
        <v/>
      </c>
      <c r="BE66" s="144">
        <f t="shared" si="75"/>
        <v>5</v>
      </c>
      <c r="BF66" s="201">
        <f t="shared" si="75"/>
        <v>5</v>
      </c>
      <c r="BG66" s="144" t="str">
        <f t="shared" si="75"/>
        <v/>
      </c>
      <c r="BH66" s="144">
        <f t="shared" si="75"/>
        <v>5</v>
      </c>
      <c r="BI66" s="144" t="str">
        <f t="shared" si="75"/>
        <v/>
      </c>
      <c r="BJ66" s="144" t="str">
        <f t="shared" si="75"/>
        <v/>
      </c>
      <c r="BK66" s="201" t="str">
        <f t="shared" si="75"/>
        <v/>
      </c>
      <c r="BL66" s="144" t="str">
        <f t="shared" si="75"/>
        <v/>
      </c>
      <c r="BM66" s="144" t="str">
        <f t="shared" si="75"/>
        <v/>
      </c>
      <c r="BN66" s="144" t="str">
        <f t="shared" si="75"/>
        <v/>
      </c>
      <c r="BO66" s="144" t="str">
        <f t="shared" si="75"/>
        <v/>
      </c>
      <c r="BP66" s="201" t="str">
        <f t="shared" si="75"/>
        <v/>
      </c>
      <c r="BQ66" s="209"/>
      <c r="BR66" s="388"/>
      <c r="BS66" s="37" t="s">
        <v>255</v>
      </c>
      <c r="BT66" s="37" t="s">
        <v>255</v>
      </c>
      <c r="BU66" s="37" t="s">
        <v>255</v>
      </c>
      <c r="BV66" s="37" t="s">
        <v>255</v>
      </c>
      <c r="BW66" s="37" t="s">
        <v>255</v>
      </c>
      <c r="BX66" s="37" t="s">
        <v>255</v>
      </c>
      <c r="BY66" s="37" t="s">
        <v>255</v>
      </c>
      <c r="BZ66" s="37" t="s">
        <v>246</v>
      </c>
      <c r="CA66" s="123" t="s">
        <v>246</v>
      </c>
      <c r="CB66" s="223"/>
      <c r="CC66" s="37" t="s">
        <v>255</v>
      </c>
      <c r="CD66" s="37" t="s">
        <v>246</v>
      </c>
      <c r="CE66" s="37" t="s">
        <v>255</v>
      </c>
      <c r="CF66" s="37" t="s">
        <v>246</v>
      </c>
      <c r="CG66" s="37" t="s">
        <v>246</v>
      </c>
      <c r="CH66" s="37" t="s">
        <v>255</v>
      </c>
      <c r="CI66" s="37" t="s">
        <v>246</v>
      </c>
      <c r="CJ66" s="37" t="s">
        <v>255</v>
      </c>
      <c r="CK66" s="37" t="s">
        <v>255</v>
      </c>
      <c r="CL66" s="37" t="s">
        <v>255</v>
      </c>
      <c r="CM66" s="37" t="s">
        <v>255</v>
      </c>
      <c r="CN66" s="37" t="s">
        <v>255</v>
      </c>
      <c r="CO66" s="37" t="s">
        <v>255</v>
      </c>
      <c r="CP66" s="37" t="s">
        <v>255</v>
      </c>
      <c r="CQ66" s="37" t="s">
        <v>255</v>
      </c>
      <c r="CR66" s="123" t="s">
        <v>302</v>
      </c>
    </row>
    <row r="67" spans="1:96" ht="31.5" x14ac:dyDescent="0.25">
      <c r="A67" s="54" t="s">
        <v>414</v>
      </c>
      <c r="B67" s="119" t="s">
        <v>59</v>
      </c>
      <c r="C67" s="119"/>
      <c r="D67" s="119"/>
      <c r="E67" s="493"/>
      <c r="F67" s="49" t="s">
        <v>221</v>
      </c>
      <c r="G67" s="49" t="s">
        <v>221</v>
      </c>
      <c r="H67" s="49" t="s">
        <v>221</v>
      </c>
      <c r="I67" s="49" t="s">
        <v>221</v>
      </c>
      <c r="J67" s="49" t="s">
        <v>221</v>
      </c>
      <c r="K67" s="49" t="s">
        <v>221</v>
      </c>
      <c r="L67" s="49" t="s">
        <v>221</v>
      </c>
      <c r="M67" s="81">
        <f>SUM(M68,M75,M79,M83,M88,M93,M97,M99)</f>
        <v>24</v>
      </c>
      <c r="N67" s="81">
        <f>SUM(N68,N75,N79,N83,N88,N93,N97,N99)</f>
        <v>19</v>
      </c>
      <c r="O67" s="81">
        <f t="shared" ref="O67:Z67" si="76">SUM(O68,O75,O79,O83,O88,O93,O97,O99)</f>
        <v>3</v>
      </c>
      <c r="P67" s="81">
        <f t="shared" si="76"/>
        <v>0</v>
      </c>
      <c r="Q67" s="81">
        <f t="shared" si="76"/>
        <v>2</v>
      </c>
      <c r="R67" s="81">
        <f t="shared" si="76"/>
        <v>14</v>
      </c>
      <c r="S67" s="81">
        <f t="shared" si="76"/>
        <v>0</v>
      </c>
      <c r="T67" s="81">
        <f t="shared" si="76"/>
        <v>7</v>
      </c>
      <c r="U67" s="81">
        <f t="shared" si="76"/>
        <v>2</v>
      </c>
      <c r="V67" s="81">
        <f t="shared" si="76"/>
        <v>0</v>
      </c>
      <c r="W67" s="81">
        <f t="shared" si="76"/>
        <v>1</v>
      </c>
      <c r="X67" s="81">
        <f t="shared" si="76"/>
        <v>0</v>
      </c>
      <c r="Y67" s="81">
        <f t="shared" si="76"/>
        <v>0</v>
      </c>
      <c r="Z67" s="81">
        <f t="shared" si="76"/>
        <v>0</v>
      </c>
      <c r="AA67" s="387" t="str">
        <f>IF(N67&gt;0,"ДА","НЕТ")</f>
        <v>ДА</v>
      </c>
      <c r="AB67" s="387"/>
      <c r="AC67" s="140" t="str">
        <f>IF(O67&gt;0,"ДА","НЕТ")</f>
        <v>ДА</v>
      </c>
      <c r="AD67" s="118"/>
      <c r="AE67" s="140"/>
      <c r="AF67" s="140" t="str">
        <f>IF(R67&gt;0,"ДА","НЕТ")</f>
        <v>ДА</v>
      </c>
      <c r="AG67" s="118"/>
      <c r="AH67" s="140"/>
      <c r="AI67" s="140" t="str">
        <f>IF(U67&gt;0,"ДА","НЕТ")</f>
        <v>ДА</v>
      </c>
      <c r="AJ67" s="118"/>
      <c r="AK67" s="140"/>
      <c r="AL67" s="140" t="str">
        <f>IF(X67&gt;0,"ДА","НЕТ")</f>
        <v>НЕТ</v>
      </c>
      <c r="AM67" s="118"/>
      <c r="AN67" s="140"/>
      <c r="AQ67" s="199"/>
      <c r="AR67" s="229"/>
      <c r="AS67" s="49">
        <f t="shared" ref="AS67:AY67" si="77">SUM(AS68,AS75,AS79,AS88,AS93,AS97,AS99)</f>
        <v>6</v>
      </c>
      <c r="AT67" s="49">
        <f t="shared" si="77"/>
        <v>5</v>
      </c>
      <c r="AU67" s="49">
        <f t="shared" si="77"/>
        <v>3</v>
      </c>
      <c r="AV67" s="49">
        <f t="shared" si="77"/>
        <v>2</v>
      </c>
      <c r="AW67" s="49">
        <f t="shared" si="77"/>
        <v>13</v>
      </c>
      <c r="AX67" s="49">
        <f t="shared" si="77"/>
        <v>13</v>
      </c>
      <c r="AY67" s="49">
        <f t="shared" si="77"/>
        <v>13</v>
      </c>
      <c r="AZ67" s="52">
        <f t="shared" ref="AZ67:BE67" si="78">SUM(AZ68,AZ75,AZ79,AZ88,AZ93,AZ97,AZ99)</f>
        <v>13</v>
      </c>
      <c r="BA67" s="81"/>
      <c r="BB67" s="49">
        <f t="shared" si="78"/>
        <v>9</v>
      </c>
      <c r="BC67" s="49">
        <f t="shared" si="78"/>
        <v>13</v>
      </c>
      <c r="BD67" s="49">
        <f t="shared" si="78"/>
        <v>9</v>
      </c>
      <c r="BE67" s="49">
        <f t="shared" si="78"/>
        <v>13</v>
      </c>
      <c r="BF67" s="52">
        <f t="shared" ref="BF67:BJ67" si="79">SUM(BF68,BF75,BF79,BF88,BF93,BF97,BF99)</f>
        <v>9</v>
      </c>
      <c r="BG67" s="49">
        <f t="shared" si="79"/>
        <v>13</v>
      </c>
      <c r="BH67" s="49">
        <f t="shared" si="79"/>
        <v>9</v>
      </c>
      <c r="BI67" s="49">
        <f t="shared" si="79"/>
        <v>5</v>
      </c>
      <c r="BJ67" s="49">
        <f t="shared" si="79"/>
        <v>23</v>
      </c>
      <c r="BK67" s="52">
        <f t="shared" ref="BK67:BO67" si="80">SUM(BK68,BK75,BK79,BK88,BK93,BK97,BK99)</f>
        <v>3</v>
      </c>
      <c r="BL67" s="49">
        <f t="shared" si="80"/>
        <v>3</v>
      </c>
      <c r="BM67" s="49">
        <f t="shared" si="80"/>
        <v>0</v>
      </c>
      <c r="BN67" s="49">
        <f t="shared" si="80"/>
        <v>0</v>
      </c>
      <c r="BO67" s="49">
        <f t="shared" si="80"/>
        <v>0</v>
      </c>
      <c r="BP67" s="52">
        <f t="shared" ref="BP67" si="81">SUM(BP68,BP75,BP79,BP88,BP93,BP97,BP99)</f>
        <v>0</v>
      </c>
      <c r="BQ67" s="209"/>
      <c r="BR67" s="388"/>
      <c r="BS67" s="140" t="str">
        <f t="shared" ref="BS67:BV67" si="82">IF(AS67&gt;0,"ДА","НЕТ")</f>
        <v>ДА</v>
      </c>
      <c r="BT67" s="140" t="str">
        <f t="shared" si="82"/>
        <v>ДА</v>
      </c>
      <c r="BU67" s="140" t="str">
        <f t="shared" si="82"/>
        <v>ДА</v>
      </c>
      <c r="BV67" s="140" t="str">
        <f t="shared" si="82"/>
        <v>ДА</v>
      </c>
      <c r="BW67" s="140" t="str">
        <f>IF(AS67&gt;0,"ДА","НЕТ")</f>
        <v>ДА</v>
      </c>
      <c r="BX67" s="140" t="str">
        <f>IF(AW67&gt;0,"ДА","НЕТ")</f>
        <v>ДА</v>
      </c>
      <c r="BY67" s="140" t="str">
        <f>IF(AX67&gt;0,"ДА","НЕТ")</f>
        <v>ДА</v>
      </c>
      <c r="BZ67" s="140" t="str">
        <f>IF(AY67&gt;0,"ДА","НЕТ")</f>
        <v>ДА</v>
      </c>
      <c r="CA67" s="208" t="str">
        <f>IF(AZ67&gt;0,"ДА","НЕТ")</f>
        <v>ДА</v>
      </c>
      <c r="CB67" s="222"/>
      <c r="CC67" s="140" t="str">
        <f t="shared" ref="CC67:CQ67" si="83">IF(BB67&gt;0,"ДА","НЕТ")</f>
        <v>ДА</v>
      </c>
      <c r="CD67" s="140" t="str">
        <f t="shared" si="83"/>
        <v>ДА</v>
      </c>
      <c r="CE67" s="140" t="str">
        <f t="shared" si="83"/>
        <v>ДА</v>
      </c>
      <c r="CF67" s="140" t="str">
        <f t="shared" si="83"/>
        <v>ДА</v>
      </c>
      <c r="CG67" s="140" t="str">
        <f t="shared" si="83"/>
        <v>ДА</v>
      </c>
      <c r="CH67" s="140" t="str">
        <f t="shared" si="83"/>
        <v>ДА</v>
      </c>
      <c r="CI67" s="140" t="str">
        <f t="shared" si="83"/>
        <v>ДА</v>
      </c>
      <c r="CJ67" s="140" t="str">
        <f t="shared" si="83"/>
        <v>ДА</v>
      </c>
      <c r="CK67" s="140" t="str">
        <f t="shared" si="83"/>
        <v>ДА</v>
      </c>
      <c r="CL67" s="140" t="str">
        <f t="shared" si="83"/>
        <v>ДА</v>
      </c>
      <c r="CM67" s="140" t="str">
        <f t="shared" si="83"/>
        <v>ДА</v>
      </c>
      <c r="CN67" s="140" t="str">
        <f t="shared" si="83"/>
        <v>НЕТ</v>
      </c>
      <c r="CO67" s="140" t="str">
        <f t="shared" si="83"/>
        <v>НЕТ</v>
      </c>
      <c r="CP67" s="140" t="str">
        <f t="shared" si="83"/>
        <v>НЕТ</v>
      </c>
      <c r="CQ67" s="140" t="str">
        <f t="shared" si="83"/>
        <v>НЕТ</v>
      </c>
      <c r="CR67" s="122"/>
    </row>
    <row r="68" spans="1:96" ht="31.5" outlineLevel="1" collapsed="1" x14ac:dyDescent="0.25">
      <c r="A68" s="131" t="s">
        <v>415</v>
      </c>
      <c r="B68" s="113" t="s">
        <v>60</v>
      </c>
      <c r="C68" s="113"/>
      <c r="D68" s="113"/>
      <c r="E68" s="490"/>
      <c r="F68" s="108" t="s">
        <v>222</v>
      </c>
      <c r="G68" s="111" t="s">
        <v>563</v>
      </c>
      <c r="H68" s="111" t="s">
        <v>242</v>
      </c>
      <c r="I68" s="111" t="s">
        <v>242</v>
      </c>
      <c r="J68" s="111" t="s">
        <v>242</v>
      </c>
      <c r="K68" s="111" t="s">
        <v>242</v>
      </c>
      <c r="L68" s="111" t="s">
        <v>1692</v>
      </c>
      <c r="M68" s="108">
        <v>2</v>
      </c>
      <c r="N68" s="235">
        <f t="shared" ref="N68:N99" si="84">SUM(O68,R68,U68,X68)</f>
        <v>4</v>
      </c>
      <c r="O68" s="200">
        <f t="shared" ref="O68" si="85">IF(AC68="ДА",$M68,"")</f>
        <v>2</v>
      </c>
      <c r="P68" s="144"/>
      <c r="Q68" s="357">
        <f>IF(AC68="ДА",ROUNDUP(O68/5,0),0)</f>
        <v>1</v>
      </c>
      <c r="R68" s="356">
        <f>IF(AF68="ДА",$M68,"")</f>
        <v>2</v>
      </c>
      <c r="S68" s="144"/>
      <c r="T68" s="357">
        <f>IF(AF68="ДА",ROUNDUP(R68/5,0),0)</f>
        <v>1</v>
      </c>
      <c r="U68" s="356" t="str">
        <f>IF(AI68="ДА",$M68,"")</f>
        <v/>
      </c>
      <c r="V68" s="144"/>
      <c r="W68" s="357">
        <f>IF(AI68="ДА",ROUNDUP(U68/5,0),0)</f>
        <v>0</v>
      </c>
      <c r="X68" s="356" t="str">
        <f>IF(AL68="ДА",$M68,"")</f>
        <v/>
      </c>
      <c r="Y68" s="144"/>
      <c r="Z68" s="201">
        <f>IF(AL68="ДА",ROUNDUP(X68/5,0),0)</f>
        <v>0</v>
      </c>
      <c r="AA68" s="388" t="str">
        <f>IF(OR(AC68="ДА",AF68="ДА",AI68="ДА",AL68="ДА"),"ДА","НЕТ")</f>
        <v>ДА</v>
      </c>
      <c r="AB68" s="388"/>
      <c r="AC68" s="37" t="str">
        <f>IF(AC$8=$BT$9,$BT68,IF(AC$8=$BS$9,$BS68,IF(AC$8=$BU$9,$BU68,IF(AC$8=$BV$9,$BV68,IF(AC$8=$BW$9,$BW68,IF(AC$8=$BX$9,$BX68,IF(AC$8=$BY$9,$BY68,IF(AC$8=$BZ$9,$BZ68,IF(AC$8=$CA$9,$CA68,IF(AC$8=$CC$9,$CC68,IF(AC$8=$CD$9,$CD68,IF(AC$8=$CE$9,$CE68,IF(AC$8=$CF$9,$CF68,IF(AC$8=$CG$9,$CG68,IF(AC$8=$CH$9,$CH68,IF(AC$8=$CI$9,$CI68,IF(AC$8=$CJ$9,$CJ68,IF(AC$8=$CK$9,$CK68,IF(AC$8=$CL$9,$CL68,IF(AC$8=$CM$9,$CM68,IF(AC$8=$CN$9,$CN68,IF(AC$8=$CO$9,$CO68,IF(AC$8=$CP$9,$CP68,IF(AC$8=$CQ$9,$CQ68,"НЕТ"))))))))))))))))))))))))</f>
        <v>ДА</v>
      </c>
      <c r="AD68" s="37" t="str">
        <f>IF(AC68="НЕТ","Не требуется",$CR68)</f>
        <v>Не требуется</v>
      </c>
      <c r="AE68" s="37"/>
      <c r="AF68" s="37" t="str">
        <f t="shared" ref="AF68:AL68" si="86">IF(AF$8=$BT$9,$BT68,IF(AF$8=$BS$9,$BS68,IF(AF$8=$BU$9,$BU68,IF(AF$8=$BV$9,$BV68,IF(AF$8=$BW$9,$BW68,IF(AF$8=$BX$9,$BX68,IF(AF$8=$BY$9,$BY68,IF(AF$8=$BZ$9,$BZ68,IF(AF$8=$CA$9,$CA68,IF(AF$8=$CC$9,$CC68,IF(AF$8=$CD$9,$CD68,IF(AF$8=$CE$9,$CE68,IF(AF$8=$CF$9,$CF68,IF(AF$8=$CG$9,$CG68,IF(AF$8=$CH$9,$CH68,IF(AF$8=$CI$9,$CI68,IF(AF$8=$CJ$9,$CJ68,IF(AF$8=$CK$9,$CK68,IF(AF$8=$CL$9,$CL68,IF(AF$8=$CM$9,$CM68,IF(AF$8=$CN$9,$CN68,IF(AF$8=$CO$9,$CO68,IF(AF$8=$CP$9,$CP68,IF(AF$8=$CQ$9,$CQ68,"НЕТ"))))))))))))))))))))))))</f>
        <v>ДА</v>
      </c>
      <c r="AG68" s="37" t="str">
        <f t="shared" si="86"/>
        <v>НЕТ</v>
      </c>
      <c r="AH68" s="37" t="str">
        <f t="shared" si="86"/>
        <v>НЕТ</v>
      </c>
      <c r="AI68" s="37" t="str">
        <f t="shared" si="86"/>
        <v>НЕТ</v>
      </c>
      <c r="AJ68" s="37" t="str">
        <f t="shared" si="86"/>
        <v>НЕТ</v>
      </c>
      <c r="AK68" s="37" t="str">
        <f t="shared" si="86"/>
        <v>НЕТ</v>
      </c>
      <c r="AL68" s="37" t="str">
        <f t="shared" si="86"/>
        <v>НЕТ</v>
      </c>
      <c r="AM68" s="37" t="str">
        <f>IF(AL68="НЕТ","Не требуется",$CR68)</f>
        <v>Не требуется</v>
      </c>
      <c r="AN68" s="37"/>
      <c r="AQ68" s="200"/>
      <c r="AR68" s="230"/>
      <c r="AS68" s="144">
        <f>IF(BS68="ДА",$M68,"")</f>
        <v>2</v>
      </c>
      <c r="AT68" s="144">
        <f t="shared" ref="AT68:AV68" si="87">IF(BT68="ДА",$M68,"")</f>
        <v>2</v>
      </c>
      <c r="AU68" s="144">
        <f t="shared" si="87"/>
        <v>2</v>
      </c>
      <c r="AV68" s="144" t="str">
        <f t="shared" si="87"/>
        <v/>
      </c>
      <c r="AW68" s="144">
        <f>IF(BX68="ДА",$M68,"")</f>
        <v>2</v>
      </c>
      <c r="AX68" s="144">
        <f>IF(BY68="ДА",$M68,"")</f>
        <v>2</v>
      </c>
      <c r="AY68" s="144">
        <f>IF(BZ68="ДА",$M68,"")</f>
        <v>2</v>
      </c>
      <c r="AZ68" s="201">
        <f>IF(CA68="ДА",$M68,"")</f>
        <v>2</v>
      </c>
      <c r="BA68" s="235"/>
      <c r="BB68" s="144">
        <f t="shared" ref="BB68:BP68" si="88">IF(CC68="ДА",$M68,"")</f>
        <v>2</v>
      </c>
      <c r="BC68" s="144">
        <f t="shared" si="88"/>
        <v>2</v>
      </c>
      <c r="BD68" s="144">
        <f t="shared" si="88"/>
        <v>2</v>
      </c>
      <c r="BE68" s="144">
        <f t="shared" si="88"/>
        <v>2</v>
      </c>
      <c r="BF68" s="201">
        <f t="shared" si="88"/>
        <v>2</v>
      </c>
      <c r="BG68" s="144">
        <f t="shared" si="88"/>
        <v>2</v>
      </c>
      <c r="BH68" s="144">
        <f t="shared" si="88"/>
        <v>2</v>
      </c>
      <c r="BI68" s="144">
        <f t="shared" si="88"/>
        <v>2</v>
      </c>
      <c r="BJ68" s="144">
        <f t="shared" si="88"/>
        <v>2</v>
      </c>
      <c r="BK68" s="201">
        <f t="shared" si="88"/>
        <v>2</v>
      </c>
      <c r="BL68" s="144">
        <f t="shared" si="88"/>
        <v>2</v>
      </c>
      <c r="BM68" s="144" t="str">
        <f t="shared" si="88"/>
        <v/>
      </c>
      <c r="BN68" s="144" t="str">
        <f t="shared" si="88"/>
        <v/>
      </c>
      <c r="BO68" s="144" t="str">
        <f t="shared" si="88"/>
        <v/>
      </c>
      <c r="BP68" s="201" t="str">
        <f t="shared" si="88"/>
        <v/>
      </c>
      <c r="BQ68" s="209"/>
      <c r="BR68" s="388"/>
      <c r="BS68" s="37" t="s">
        <v>246</v>
      </c>
      <c r="BT68" s="37" t="s">
        <v>246</v>
      </c>
      <c r="BU68" s="37" t="s">
        <v>246</v>
      </c>
      <c r="BV68" s="37" t="s">
        <v>255</v>
      </c>
      <c r="BW68" s="37" t="s">
        <v>246</v>
      </c>
      <c r="BX68" s="37" t="s">
        <v>246</v>
      </c>
      <c r="BY68" s="37" t="s">
        <v>246</v>
      </c>
      <c r="BZ68" s="37" t="s">
        <v>246</v>
      </c>
      <c r="CA68" s="123" t="s">
        <v>246</v>
      </c>
      <c r="CB68" s="223"/>
      <c r="CC68" s="37" t="s">
        <v>246</v>
      </c>
      <c r="CD68" s="37" t="s">
        <v>246</v>
      </c>
      <c r="CE68" s="37" t="s">
        <v>246</v>
      </c>
      <c r="CF68" s="37" t="s">
        <v>246</v>
      </c>
      <c r="CG68" s="37" t="s">
        <v>246</v>
      </c>
      <c r="CH68" s="37" t="s">
        <v>246</v>
      </c>
      <c r="CI68" s="37" t="s">
        <v>246</v>
      </c>
      <c r="CJ68" s="37" t="s">
        <v>246</v>
      </c>
      <c r="CK68" s="37" t="s">
        <v>246</v>
      </c>
      <c r="CL68" s="37" t="s">
        <v>246</v>
      </c>
      <c r="CM68" s="37" t="s">
        <v>246</v>
      </c>
      <c r="CN68" s="37" t="s">
        <v>255</v>
      </c>
      <c r="CO68" s="37" t="s">
        <v>255</v>
      </c>
      <c r="CP68" s="37" t="s">
        <v>255</v>
      </c>
      <c r="CQ68" s="37" t="s">
        <v>255</v>
      </c>
      <c r="CR68" s="123" t="s">
        <v>300</v>
      </c>
    </row>
    <row r="69" spans="1:96" ht="30" hidden="1" outlineLevel="2" x14ac:dyDescent="0.25">
      <c r="A69" s="132"/>
      <c r="B69" s="250" t="s">
        <v>61</v>
      </c>
      <c r="C69" s="250" t="s">
        <v>61</v>
      </c>
      <c r="D69" s="251"/>
      <c r="E69" s="251"/>
      <c r="F69" s="251"/>
      <c r="G69" s="251"/>
      <c r="H69" s="251"/>
      <c r="I69" s="251"/>
      <c r="J69" s="251"/>
      <c r="K69" s="251"/>
      <c r="L69" s="251"/>
      <c r="M69" s="251"/>
      <c r="N69" s="235">
        <f t="shared" si="84"/>
        <v>0</v>
      </c>
      <c r="O69" s="327"/>
      <c r="P69" s="251"/>
      <c r="Q69" s="359"/>
      <c r="R69" s="358"/>
      <c r="S69" s="251"/>
      <c r="T69" s="359"/>
      <c r="U69" s="358"/>
      <c r="V69" s="251"/>
      <c r="W69" s="359"/>
      <c r="X69" s="358"/>
      <c r="Y69" s="251"/>
      <c r="Z69" s="328"/>
      <c r="AA69" s="251"/>
      <c r="AB69" s="796"/>
      <c r="AD69" s="252"/>
      <c r="AE69" s="251"/>
      <c r="AF69" s="251"/>
      <c r="AG69" s="252"/>
      <c r="AH69" s="251"/>
      <c r="AI69" s="251"/>
      <c r="AJ69" s="252"/>
      <c r="AK69" s="251"/>
      <c r="AL69" s="251"/>
      <c r="AM69" s="252"/>
      <c r="AN69" s="251"/>
      <c r="AQ69" s="202"/>
      <c r="AZ69" s="203"/>
      <c r="BF69" s="203"/>
      <c r="BK69" s="203"/>
      <c r="BP69" s="203"/>
      <c r="BQ69" s="202"/>
      <c r="BT69" s="37" t="s">
        <v>246</v>
      </c>
      <c r="CA69" s="203"/>
      <c r="CR69" s="125"/>
    </row>
    <row r="70" spans="1:96" ht="45" hidden="1" outlineLevel="2" x14ac:dyDescent="0.25">
      <c r="A70" s="132"/>
      <c r="B70" s="250" t="s">
        <v>62</v>
      </c>
      <c r="C70" s="250" t="s">
        <v>62</v>
      </c>
      <c r="D70" s="251"/>
      <c r="E70" s="251"/>
      <c r="F70" s="251"/>
      <c r="G70" s="251"/>
      <c r="H70" s="251"/>
      <c r="I70" s="251"/>
      <c r="J70" s="251"/>
      <c r="K70" s="251"/>
      <c r="L70" s="251"/>
      <c r="M70" s="251"/>
      <c r="N70" s="235">
        <f t="shared" si="84"/>
        <v>0</v>
      </c>
      <c r="O70" s="327"/>
      <c r="P70" s="251"/>
      <c r="Q70" s="359"/>
      <c r="R70" s="358"/>
      <c r="S70" s="251"/>
      <c r="T70" s="359"/>
      <c r="U70" s="358"/>
      <c r="V70" s="251"/>
      <c r="W70" s="359"/>
      <c r="X70" s="358"/>
      <c r="Y70" s="251"/>
      <c r="Z70" s="328"/>
      <c r="AA70" s="251"/>
      <c r="AB70" s="796"/>
      <c r="AD70" s="252"/>
      <c r="AE70" s="251"/>
      <c r="AF70" s="251"/>
      <c r="AG70" s="252"/>
      <c r="AH70" s="251"/>
      <c r="AI70" s="251"/>
      <c r="AJ70" s="252"/>
      <c r="AK70" s="251"/>
      <c r="AL70" s="251"/>
      <c r="AM70" s="252"/>
      <c r="AN70" s="251"/>
      <c r="AQ70" s="202"/>
      <c r="AZ70" s="203"/>
      <c r="BF70" s="203"/>
      <c r="BK70" s="203"/>
      <c r="BP70" s="203"/>
      <c r="BQ70" s="202"/>
      <c r="BT70" s="37" t="s">
        <v>255</v>
      </c>
      <c r="CA70" s="203"/>
      <c r="CR70" s="125"/>
    </row>
    <row r="71" spans="1:96" ht="30" hidden="1" outlineLevel="2" x14ac:dyDescent="0.25">
      <c r="A71" s="133"/>
      <c r="B71" s="253" t="s">
        <v>63</v>
      </c>
      <c r="C71" s="253" t="s">
        <v>63</v>
      </c>
      <c r="D71" s="254"/>
      <c r="E71" s="254"/>
      <c r="F71" s="254"/>
      <c r="G71" s="254"/>
      <c r="H71" s="254"/>
      <c r="I71" s="254"/>
      <c r="J71" s="254"/>
      <c r="K71" s="254"/>
      <c r="L71" s="254"/>
      <c r="M71" s="254"/>
      <c r="N71" s="235">
        <f t="shared" si="84"/>
        <v>0</v>
      </c>
      <c r="O71" s="329"/>
      <c r="P71" s="254"/>
      <c r="Q71" s="361"/>
      <c r="R71" s="360"/>
      <c r="S71" s="254"/>
      <c r="T71" s="361"/>
      <c r="U71" s="360"/>
      <c r="V71" s="254"/>
      <c r="W71" s="361"/>
      <c r="X71" s="360"/>
      <c r="Y71" s="254"/>
      <c r="Z71" s="330"/>
      <c r="AA71" s="254"/>
      <c r="AB71" s="793"/>
      <c r="AD71" s="255"/>
      <c r="AE71" s="254"/>
      <c r="AF71" s="254"/>
      <c r="AG71" s="255"/>
      <c r="AH71" s="254"/>
      <c r="AI71" s="254"/>
      <c r="AJ71" s="255"/>
      <c r="AK71" s="254"/>
      <c r="AL71" s="254"/>
      <c r="AM71" s="255"/>
      <c r="AN71" s="254"/>
      <c r="AQ71" s="202"/>
      <c r="AZ71" s="203"/>
      <c r="BF71" s="203"/>
      <c r="BK71" s="203"/>
      <c r="BP71" s="203"/>
      <c r="BQ71" s="202"/>
      <c r="BT71" s="37" t="s">
        <v>255</v>
      </c>
      <c r="CA71" s="203"/>
      <c r="CR71" s="125"/>
    </row>
    <row r="72" spans="1:96" ht="45" hidden="1" outlineLevel="2" x14ac:dyDescent="0.25">
      <c r="A72" s="133"/>
      <c r="B72" s="253" t="s">
        <v>64</v>
      </c>
      <c r="C72" s="254" t="s">
        <v>2273</v>
      </c>
      <c r="D72" s="254"/>
      <c r="E72" s="254"/>
      <c r="F72" s="254"/>
      <c r="G72" s="254"/>
      <c r="H72" s="254"/>
      <c r="I72" s="254"/>
      <c r="J72" s="254"/>
      <c r="K72" s="254"/>
      <c r="L72" s="254"/>
      <c r="M72" s="254"/>
      <c r="N72" s="235">
        <f t="shared" si="84"/>
        <v>0</v>
      </c>
      <c r="O72" s="329"/>
      <c r="P72" s="254"/>
      <c r="Q72" s="361"/>
      <c r="R72" s="360"/>
      <c r="S72" s="254"/>
      <c r="T72" s="361"/>
      <c r="U72" s="360"/>
      <c r="V72" s="254"/>
      <c r="W72" s="361"/>
      <c r="X72" s="360"/>
      <c r="Y72" s="254"/>
      <c r="Z72" s="330"/>
      <c r="AA72" s="254"/>
      <c r="AB72" s="793"/>
      <c r="AD72" s="255"/>
      <c r="AE72" s="254"/>
      <c r="AF72" s="254"/>
      <c r="AG72" s="255"/>
      <c r="AH72" s="254"/>
      <c r="AI72" s="254"/>
      <c r="AJ72" s="255"/>
      <c r="AK72" s="254"/>
      <c r="AL72" s="254"/>
      <c r="AM72" s="255"/>
      <c r="AN72" s="254"/>
      <c r="AQ72" s="202"/>
      <c r="AZ72" s="203"/>
      <c r="BF72" s="203"/>
      <c r="BK72" s="203"/>
      <c r="BP72" s="203"/>
      <c r="BQ72" s="202"/>
      <c r="BT72" s="37" t="s">
        <v>255</v>
      </c>
      <c r="CA72" s="203"/>
      <c r="CR72" s="125"/>
    </row>
    <row r="73" spans="1:96" ht="45" hidden="1" outlineLevel="2" x14ac:dyDescent="0.25">
      <c r="A73" s="133"/>
      <c r="B73" s="253" t="s">
        <v>65</v>
      </c>
      <c r="C73" s="254" t="s">
        <v>2273</v>
      </c>
      <c r="D73" s="254"/>
      <c r="E73" s="254"/>
      <c r="F73" s="254"/>
      <c r="G73" s="254"/>
      <c r="H73" s="254"/>
      <c r="I73" s="254"/>
      <c r="J73" s="254"/>
      <c r="K73" s="254"/>
      <c r="L73" s="254"/>
      <c r="M73" s="254"/>
      <c r="N73" s="235">
        <f t="shared" si="84"/>
        <v>0</v>
      </c>
      <c r="O73" s="329"/>
      <c r="P73" s="254"/>
      <c r="Q73" s="361"/>
      <c r="R73" s="360"/>
      <c r="S73" s="254"/>
      <c r="T73" s="361"/>
      <c r="U73" s="360"/>
      <c r="V73" s="254"/>
      <c r="W73" s="361"/>
      <c r="X73" s="360"/>
      <c r="Y73" s="254"/>
      <c r="Z73" s="330"/>
      <c r="AA73" s="254"/>
      <c r="AB73" s="793"/>
      <c r="AD73" s="255"/>
      <c r="AE73" s="254"/>
      <c r="AF73" s="254"/>
      <c r="AG73" s="255"/>
      <c r="AH73" s="254"/>
      <c r="AI73" s="254"/>
      <c r="AJ73" s="255"/>
      <c r="AK73" s="254"/>
      <c r="AL73" s="254"/>
      <c r="AM73" s="255"/>
      <c r="AN73" s="254"/>
      <c r="AQ73" s="202"/>
      <c r="AZ73" s="203"/>
      <c r="BF73" s="203"/>
      <c r="BK73" s="203"/>
      <c r="BP73" s="203"/>
      <c r="BQ73" s="202"/>
      <c r="BT73" s="37" t="s">
        <v>255</v>
      </c>
      <c r="CA73" s="203"/>
      <c r="CR73" s="125"/>
    </row>
    <row r="74" spans="1:96" ht="45" hidden="1" outlineLevel="2" x14ac:dyDescent="0.25">
      <c r="A74" s="132"/>
      <c r="B74" s="253" t="s">
        <v>66</v>
      </c>
      <c r="C74" s="260" t="s">
        <v>1095</v>
      </c>
      <c r="D74" s="254"/>
      <c r="E74" s="254"/>
      <c r="F74" s="254"/>
      <c r="G74" s="254"/>
      <c r="H74" s="254"/>
      <c r="I74" s="254"/>
      <c r="J74" s="254"/>
      <c r="K74" s="254"/>
      <c r="L74" s="254"/>
      <c r="M74" s="254"/>
      <c r="N74" s="235">
        <f t="shared" si="84"/>
        <v>0</v>
      </c>
      <c r="O74" s="329"/>
      <c r="P74" s="254"/>
      <c r="Q74" s="361"/>
      <c r="R74" s="360"/>
      <c r="S74" s="254"/>
      <c r="T74" s="361"/>
      <c r="U74" s="360"/>
      <c r="V74" s="254"/>
      <c r="W74" s="361"/>
      <c r="X74" s="360"/>
      <c r="Y74" s="254"/>
      <c r="Z74" s="330"/>
      <c r="AA74" s="254"/>
      <c r="AB74" s="793"/>
      <c r="AD74" s="255"/>
      <c r="AE74" s="254"/>
      <c r="AF74" s="254"/>
      <c r="AG74" s="255"/>
      <c r="AH74" s="254"/>
      <c r="AI74" s="254"/>
      <c r="AJ74" s="255"/>
      <c r="AK74" s="254"/>
      <c r="AL74" s="254"/>
      <c r="AM74" s="255"/>
      <c r="AN74" s="254"/>
      <c r="AQ74" s="202"/>
      <c r="AZ74" s="203"/>
      <c r="BF74" s="203"/>
      <c r="BK74" s="203"/>
      <c r="BP74" s="203"/>
      <c r="BQ74" s="202"/>
      <c r="BT74" s="37" t="s">
        <v>255</v>
      </c>
      <c r="CA74" s="203"/>
      <c r="CR74" s="125"/>
    </row>
    <row r="75" spans="1:96" ht="31.5" outlineLevel="1" collapsed="1" x14ac:dyDescent="0.25">
      <c r="A75" s="131" t="s">
        <v>416</v>
      </c>
      <c r="B75" s="113" t="s">
        <v>67</v>
      </c>
      <c r="C75" s="113"/>
      <c r="D75" s="113"/>
      <c r="E75" s="490"/>
      <c r="F75" s="108" t="s">
        <v>222</v>
      </c>
      <c r="G75" s="111" t="s">
        <v>563</v>
      </c>
      <c r="H75" s="111" t="s">
        <v>242</v>
      </c>
      <c r="I75" s="111" t="s">
        <v>242</v>
      </c>
      <c r="J75" s="111" t="s">
        <v>242</v>
      </c>
      <c r="K75" s="111" t="s">
        <v>242</v>
      </c>
      <c r="L75" s="111" t="s">
        <v>1692</v>
      </c>
      <c r="M75" s="108">
        <v>1</v>
      </c>
      <c r="N75" s="235">
        <f t="shared" si="84"/>
        <v>1</v>
      </c>
      <c r="O75" s="200" t="str">
        <f t="shared" ref="O75" si="89">IF(AC75="ДА",$M75,"")</f>
        <v/>
      </c>
      <c r="P75" s="144"/>
      <c r="Q75" s="357">
        <f>IF(AC75="ДА",ROUNDUP(O75/5,0),0)</f>
        <v>0</v>
      </c>
      <c r="R75" s="356">
        <f>IF(AF75="ДА",$M75,"")</f>
        <v>1</v>
      </c>
      <c r="S75" s="144"/>
      <c r="T75" s="357">
        <f>IF(AF75="ДА",ROUNDUP(R75/5,0),0)</f>
        <v>1</v>
      </c>
      <c r="U75" s="356" t="str">
        <f>IF(AI75="ДА",$M75,"")</f>
        <v/>
      </c>
      <c r="V75" s="144"/>
      <c r="W75" s="357">
        <f>IF(AI75="ДА",ROUNDUP(U75/5,0),0)</f>
        <v>0</v>
      </c>
      <c r="X75" s="356" t="str">
        <f>IF(AL75="ДА",$M75,"")</f>
        <v/>
      </c>
      <c r="Y75" s="144"/>
      <c r="Z75" s="201">
        <f>IF(AL75="ДА",ROUNDUP(X75/5,0),0)</f>
        <v>0</v>
      </c>
      <c r="AA75" s="388" t="str">
        <f>IF(OR(AC75="ДА",AF75="ДА",AI75="ДА",AL75="ДА"),"ДА","НЕТ")</f>
        <v>ДА</v>
      </c>
      <c r="AB75" s="388"/>
      <c r="AC75" s="37" t="str">
        <f>IF(AC$8=$BT$9,$BT75,IF(AC$8=$BS$9,$BS75,IF(AC$8=$BU$9,$BU75,IF(AC$8=$BV$9,$BV75,IF(AC$8=$BW$9,$BW75,IF(AC$8=$BX$9,$BX75,IF(AC$8=$BY$9,$BY75,IF(AC$8=$BZ$9,$BZ75,IF(AC$8=$CA$9,$CA75,IF(AC$8=$CC$9,$CC75,IF(AC$8=$CD$9,$CD75,IF(AC$8=$CE$9,$CE75,IF(AC$8=$CF$9,$CF75,IF(AC$8=$CG$9,$CG75,IF(AC$8=$CH$9,$CH75,IF(AC$8=$CI$9,$CI75,IF(AC$8=$CJ$9,$CJ75,IF(AC$8=$CK$9,$CK75,IF(AC$8=$CL$9,$CL75,IF(AC$8=$CM$9,$CM75,IF(AC$8=$CN$9,$CN75,IF(AC$8=$CO$9,$CO75,IF(AC$8=$CP$9,$CP75,IF(AC$8=$CQ$9,$CQ75,"НЕТ"))))))))))))))))))))))))</f>
        <v>НЕТ</v>
      </c>
      <c r="AD75" s="37" t="str">
        <f>IF(AC75="НЕТ","Не требуется",$CR75)</f>
        <v>Не требуется</v>
      </c>
      <c r="AE75" s="37"/>
      <c r="AF75" s="37" t="str">
        <f t="shared" ref="AF75:AL75" si="90">IF(AF$8=$BT$9,$BT75,IF(AF$8=$BS$9,$BS75,IF(AF$8=$BU$9,$BU75,IF(AF$8=$BV$9,$BV75,IF(AF$8=$BW$9,$BW75,IF(AF$8=$BX$9,$BX75,IF(AF$8=$BY$9,$BY75,IF(AF$8=$BZ$9,$BZ75,IF(AF$8=$CA$9,$CA75,IF(AF$8=$CC$9,$CC75,IF(AF$8=$CD$9,$CD75,IF(AF$8=$CE$9,$CE75,IF(AF$8=$CF$9,$CF75,IF(AF$8=$CG$9,$CG75,IF(AF$8=$CH$9,$CH75,IF(AF$8=$CI$9,$CI75,IF(AF$8=$CJ$9,$CJ75,IF(AF$8=$CK$9,$CK75,IF(AF$8=$CL$9,$CL75,IF(AF$8=$CM$9,$CM75,IF(AF$8=$CN$9,$CN75,IF(AF$8=$CO$9,$CO75,IF(AF$8=$CP$9,$CP75,IF(AF$8=$CQ$9,$CQ75,"НЕТ"))))))))))))))))))))))))</f>
        <v>ДА</v>
      </c>
      <c r="AG75" s="37" t="str">
        <f t="shared" si="90"/>
        <v>НЕТ</v>
      </c>
      <c r="AH75" s="37" t="str">
        <f t="shared" si="90"/>
        <v>НЕТ</v>
      </c>
      <c r="AI75" s="37" t="str">
        <f t="shared" si="90"/>
        <v>НЕТ</v>
      </c>
      <c r="AJ75" s="37" t="str">
        <f t="shared" si="90"/>
        <v>НЕТ</v>
      </c>
      <c r="AK75" s="37" t="str">
        <f t="shared" si="90"/>
        <v>НЕТ</v>
      </c>
      <c r="AL75" s="37" t="str">
        <f t="shared" si="90"/>
        <v>НЕТ</v>
      </c>
      <c r="AM75" s="37" t="str">
        <f>IF(AL75="НЕТ","Не требуется",$CR75)</f>
        <v>Не требуется</v>
      </c>
      <c r="AN75" s="37"/>
      <c r="AQ75" s="200"/>
      <c r="AR75" s="230"/>
      <c r="AS75" s="144">
        <f>IF(BS75="ДА",$M75,"")</f>
        <v>1</v>
      </c>
      <c r="AT75" s="144">
        <f t="shared" ref="AT75:AV75" si="91">IF(BT75="ДА",$M75,"")</f>
        <v>1</v>
      </c>
      <c r="AU75" s="144" t="str">
        <f t="shared" si="91"/>
        <v/>
      </c>
      <c r="AV75" s="144" t="str">
        <f t="shared" si="91"/>
        <v/>
      </c>
      <c r="AW75" s="144">
        <f>IF(BX75="ДА",$M75,"")</f>
        <v>1</v>
      </c>
      <c r="AX75" s="144">
        <f>IF(BY75="ДА",$M75,"")</f>
        <v>1</v>
      </c>
      <c r="AY75" s="144">
        <f>IF(BZ75="ДА",$M75,"")</f>
        <v>1</v>
      </c>
      <c r="AZ75" s="201">
        <f>IF(CA75="ДА",$M75,"")</f>
        <v>1</v>
      </c>
      <c r="BA75" s="235"/>
      <c r="BB75" s="144">
        <f t="shared" ref="BB75:BP75" si="92">IF(CC75="ДА",$M75,"")</f>
        <v>1</v>
      </c>
      <c r="BC75" s="144">
        <f t="shared" si="92"/>
        <v>1</v>
      </c>
      <c r="BD75" s="144">
        <f t="shared" si="92"/>
        <v>1</v>
      </c>
      <c r="BE75" s="144">
        <f t="shared" si="92"/>
        <v>1</v>
      </c>
      <c r="BF75" s="201">
        <f t="shared" si="92"/>
        <v>1</v>
      </c>
      <c r="BG75" s="144">
        <f t="shared" si="92"/>
        <v>1</v>
      </c>
      <c r="BH75" s="144">
        <f t="shared" si="92"/>
        <v>1</v>
      </c>
      <c r="BI75" s="144" t="str">
        <f t="shared" si="92"/>
        <v/>
      </c>
      <c r="BJ75" s="144">
        <f t="shared" si="92"/>
        <v>1</v>
      </c>
      <c r="BK75" s="201" t="str">
        <f t="shared" si="92"/>
        <v/>
      </c>
      <c r="BL75" s="144">
        <f t="shared" si="92"/>
        <v>1</v>
      </c>
      <c r="BM75" s="144" t="str">
        <f t="shared" si="92"/>
        <v/>
      </c>
      <c r="BN75" s="144" t="str">
        <f t="shared" si="92"/>
        <v/>
      </c>
      <c r="BO75" s="144" t="str">
        <f t="shared" si="92"/>
        <v/>
      </c>
      <c r="BP75" s="201" t="str">
        <f t="shared" si="92"/>
        <v/>
      </c>
      <c r="BQ75" s="209"/>
      <c r="BR75" s="388"/>
      <c r="BS75" s="37" t="s">
        <v>246</v>
      </c>
      <c r="BT75" s="37" t="s">
        <v>246</v>
      </c>
      <c r="BU75" s="37" t="s">
        <v>255</v>
      </c>
      <c r="BV75" s="37" t="s">
        <v>255</v>
      </c>
      <c r="BW75" s="37" t="s">
        <v>246</v>
      </c>
      <c r="BX75" s="37" t="s">
        <v>246</v>
      </c>
      <c r="BY75" s="37" t="s">
        <v>246</v>
      </c>
      <c r="BZ75" s="37" t="s">
        <v>246</v>
      </c>
      <c r="CA75" s="123" t="s">
        <v>246</v>
      </c>
      <c r="CB75" s="223"/>
      <c r="CC75" s="37" t="s">
        <v>246</v>
      </c>
      <c r="CD75" s="37" t="s">
        <v>246</v>
      </c>
      <c r="CE75" s="37" t="s">
        <v>246</v>
      </c>
      <c r="CF75" s="37" t="s">
        <v>246</v>
      </c>
      <c r="CG75" s="37" t="s">
        <v>246</v>
      </c>
      <c r="CH75" s="37" t="s">
        <v>246</v>
      </c>
      <c r="CI75" s="37" t="s">
        <v>246</v>
      </c>
      <c r="CJ75" s="37" t="s">
        <v>255</v>
      </c>
      <c r="CK75" s="37" t="s">
        <v>246</v>
      </c>
      <c r="CL75" s="37" t="s">
        <v>255</v>
      </c>
      <c r="CM75" s="37" t="s">
        <v>246</v>
      </c>
      <c r="CN75" s="37" t="s">
        <v>255</v>
      </c>
      <c r="CO75" s="37" t="s">
        <v>255</v>
      </c>
      <c r="CP75" s="37" t="s">
        <v>255</v>
      </c>
      <c r="CQ75" s="37" t="s">
        <v>255</v>
      </c>
      <c r="CR75" s="123" t="s">
        <v>300</v>
      </c>
    </row>
    <row r="76" spans="1:96" ht="30" hidden="1" outlineLevel="2" x14ac:dyDescent="0.25">
      <c r="A76" s="136"/>
      <c r="B76" s="268" t="s">
        <v>68</v>
      </c>
      <c r="C76" s="1025" t="s">
        <v>2274</v>
      </c>
      <c r="D76" s="269"/>
      <c r="E76" s="269"/>
      <c r="F76" s="269"/>
      <c r="G76" s="269"/>
      <c r="H76" s="269"/>
      <c r="I76" s="269"/>
      <c r="J76" s="269"/>
      <c r="K76" s="269"/>
      <c r="L76" s="269"/>
      <c r="M76" s="269"/>
      <c r="N76" s="235">
        <f t="shared" si="84"/>
        <v>0</v>
      </c>
      <c r="O76" s="340"/>
      <c r="P76" s="269"/>
      <c r="Q76" s="372"/>
      <c r="R76" s="371"/>
      <c r="S76" s="269"/>
      <c r="T76" s="372"/>
      <c r="U76" s="371"/>
      <c r="V76" s="269"/>
      <c r="W76" s="372"/>
      <c r="X76" s="371"/>
      <c r="Y76" s="269"/>
      <c r="Z76" s="341"/>
      <c r="AA76" s="269"/>
      <c r="AB76" s="797"/>
      <c r="AD76" s="270"/>
      <c r="AE76" s="269"/>
      <c r="AF76" s="269"/>
      <c r="AG76" s="270"/>
      <c r="AH76" s="269"/>
      <c r="AI76" s="269"/>
      <c r="AJ76" s="270"/>
      <c r="AK76" s="269"/>
      <c r="AL76" s="269"/>
      <c r="AM76" s="270"/>
      <c r="AN76" s="269"/>
      <c r="AQ76" s="202"/>
      <c r="AZ76" s="203"/>
      <c r="BF76" s="203"/>
      <c r="BK76" s="203"/>
      <c r="BP76" s="203"/>
      <c r="BQ76" s="202"/>
      <c r="CA76" s="203"/>
      <c r="CR76" s="125"/>
    </row>
    <row r="77" spans="1:96" hidden="1" outlineLevel="2" x14ac:dyDescent="0.25">
      <c r="A77" s="136"/>
      <c r="B77" s="268" t="s">
        <v>69</v>
      </c>
      <c r="C77" s="1025" t="s">
        <v>1095</v>
      </c>
      <c r="D77" s="269"/>
      <c r="E77" s="269"/>
      <c r="F77" s="269"/>
      <c r="G77" s="269"/>
      <c r="H77" s="269"/>
      <c r="I77" s="269"/>
      <c r="J77" s="269"/>
      <c r="K77" s="269"/>
      <c r="L77" s="269"/>
      <c r="M77" s="269"/>
      <c r="N77" s="235">
        <f t="shared" si="84"/>
        <v>0</v>
      </c>
      <c r="O77" s="340"/>
      <c r="P77" s="269"/>
      <c r="Q77" s="372"/>
      <c r="R77" s="371"/>
      <c r="S77" s="269"/>
      <c r="T77" s="372"/>
      <c r="U77" s="371"/>
      <c r="V77" s="269"/>
      <c r="W77" s="372"/>
      <c r="X77" s="371"/>
      <c r="Y77" s="269"/>
      <c r="Z77" s="341"/>
      <c r="AA77" s="269"/>
      <c r="AB77" s="797"/>
      <c r="AD77" s="270"/>
      <c r="AE77" s="269"/>
      <c r="AF77" s="269"/>
      <c r="AG77" s="270"/>
      <c r="AH77" s="269"/>
      <c r="AI77" s="269"/>
      <c r="AJ77" s="270"/>
      <c r="AK77" s="269"/>
      <c r="AL77" s="269"/>
      <c r="AM77" s="270"/>
      <c r="AN77" s="269"/>
      <c r="AQ77" s="202"/>
      <c r="AZ77" s="203"/>
      <c r="BF77" s="203"/>
      <c r="BK77" s="203"/>
      <c r="BP77" s="203"/>
      <c r="BQ77" s="202"/>
      <c r="BT77" s="37" t="s">
        <v>255</v>
      </c>
      <c r="CA77" s="203"/>
      <c r="CR77" s="125"/>
    </row>
    <row r="78" spans="1:96" hidden="1" outlineLevel="2" x14ac:dyDescent="0.25">
      <c r="A78" s="136"/>
      <c r="B78" s="268" t="s">
        <v>70</v>
      </c>
      <c r="C78" s="1025" t="s">
        <v>1095</v>
      </c>
      <c r="D78" s="269"/>
      <c r="E78" s="269"/>
      <c r="F78" s="269"/>
      <c r="G78" s="269"/>
      <c r="H78" s="269"/>
      <c r="I78" s="269"/>
      <c r="J78" s="269"/>
      <c r="K78" s="269"/>
      <c r="L78" s="269"/>
      <c r="M78" s="269"/>
      <c r="N78" s="235">
        <f t="shared" si="84"/>
        <v>0</v>
      </c>
      <c r="O78" s="340"/>
      <c r="P78" s="269"/>
      <c r="Q78" s="372"/>
      <c r="R78" s="371"/>
      <c r="S78" s="269"/>
      <c r="T78" s="372"/>
      <c r="U78" s="371"/>
      <c r="V78" s="269"/>
      <c r="W78" s="372"/>
      <c r="X78" s="371"/>
      <c r="Y78" s="269"/>
      <c r="Z78" s="341"/>
      <c r="AA78" s="269"/>
      <c r="AB78" s="797"/>
      <c r="AD78" s="270"/>
      <c r="AE78" s="269"/>
      <c r="AF78" s="269"/>
      <c r="AG78" s="270"/>
      <c r="AH78" s="269"/>
      <c r="AI78" s="269"/>
      <c r="AJ78" s="270"/>
      <c r="AK78" s="269"/>
      <c r="AL78" s="269"/>
      <c r="AM78" s="270"/>
      <c r="AN78" s="269"/>
      <c r="AQ78" s="202"/>
      <c r="AZ78" s="203"/>
      <c r="BF78" s="203"/>
      <c r="BK78" s="203"/>
      <c r="BP78" s="203"/>
      <c r="BQ78" s="202"/>
      <c r="CA78" s="203"/>
      <c r="CR78" s="125"/>
    </row>
    <row r="79" spans="1:96" ht="31.5" outlineLevel="1" collapsed="1" x14ac:dyDescent="0.25">
      <c r="A79" s="131" t="s">
        <v>417</v>
      </c>
      <c r="B79" s="113" t="s">
        <v>71</v>
      </c>
      <c r="C79" s="113"/>
      <c r="D79" s="113"/>
      <c r="E79" s="490"/>
      <c r="F79" s="108" t="s">
        <v>222</v>
      </c>
      <c r="G79" s="111" t="s">
        <v>563</v>
      </c>
      <c r="H79" s="111" t="s">
        <v>242</v>
      </c>
      <c r="I79" s="111" t="s">
        <v>242</v>
      </c>
      <c r="J79" s="111" t="s">
        <v>242</v>
      </c>
      <c r="K79" s="111" t="s">
        <v>242</v>
      </c>
      <c r="L79" s="111" t="s">
        <v>1692</v>
      </c>
      <c r="M79" s="108">
        <v>1</v>
      </c>
      <c r="N79" s="235">
        <f t="shared" si="84"/>
        <v>2</v>
      </c>
      <c r="O79" s="200">
        <f t="shared" ref="O79" si="93">IF(AC79="ДА",$M79,"")</f>
        <v>1</v>
      </c>
      <c r="P79" s="144"/>
      <c r="Q79" s="357">
        <f>IF(AC79="ДА",ROUNDUP(O79/5,0),0)</f>
        <v>1</v>
      </c>
      <c r="R79" s="356">
        <f>IF(AF79="ДА",$M79,"")</f>
        <v>1</v>
      </c>
      <c r="S79" s="144"/>
      <c r="T79" s="357">
        <f>IF(AF79="ДА",ROUNDUP(R79/5,0),0)</f>
        <v>1</v>
      </c>
      <c r="U79" s="356" t="str">
        <f>IF(AI79="ДА",$M79,"")</f>
        <v/>
      </c>
      <c r="V79" s="144"/>
      <c r="W79" s="357">
        <f>IF(AI79="ДА",ROUNDUP(U79/5,0),0)</f>
        <v>0</v>
      </c>
      <c r="X79" s="356" t="str">
        <f>IF(AL79="ДА",$M79,"")</f>
        <v/>
      </c>
      <c r="Y79" s="144"/>
      <c r="Z79" s="201">
        <f>IF(AL79="ДА",ROUNDUP(X79/5,0),0)</f>
        <v>0</v>
      </c>
      <c r="AA79" s="388" t="str">
        <f>IF(OR(AC79="ДА",AF79="ДА",AI79="ДА",AL79="ДА"),"ДА","НЕТ")</f>
        <v>ДА</v>
      </c>
      <c r="AB79" s="388"/>
      <c r="AC79" s="37" t="str">
        <f>IF(AC$8=$BT$9,$BT79,IF(AC$8=$BS$9,$BS79,IF(AC$8=$BU$9,$BU79,IF(AC$8=$BV$9,$BV79,IF(AC$8=$BW$9,$BW79,IF(AC$8=$BX$9,$BX79,IF(AC$8=$BY$9,$BY79,IF(AC$8=$BZ$9,$BZ79,IF(AC$8=$CA$9,$CA79,IF(AC$8=$CC$9,$CC79,IF(AC$8=$CD$9,$CD79,IF(AC$8=$CE$9,$CE79,IF(AC$8=$CF$9,$CF79,IF(AC$8=$CG$9,$CG79,IF(AC$8=$CH$9,$CH79,IF(AC$8=$CI$9,$CI79,IF(AC$8=$CJ$9,$CJ79,IF(AC$8=$CK$9,$CK79,IF(AC$8=$CL$9,$CL79,IF(AC$8=$CM$9,$CM79,IF(AC$8=$CN$9,$CN79,IF(AC$8=$CO$9,$CO79,IF(AC$8=$CP$9,$CP79,IF(AC$8=$CQ$9,$CQ79,"НЕТ"))))))))))))))))))))))))</f>
        <v>ДА</v>
      </c>
      <c r="AD79" s="37" t="str">
        <f>IF(AC79="НЕТ","Не требуется",$CR79)</f>
        <v>Не требуется</v>
      </c>
      <c r="AE79" s="37"/>
      <c r="AF79" s="37" t="str">
        <f t="shared" ref="AF79:AL79" si="94">IF(AF$8=$BT$9,$BT79,IF(AF$8=$BS$9,$BS79,IF(AF$8=$BU$9,$BU79,IF(AF$8=$BV$9,$BV79,IF(AF$8=$BW$9,$BW79,IF(AF$8=$BX$9,$BX79,IF(AF$8=$BY$9,$BY79,IF(AF$8=$BZ$9,$BZ79,IF(AF$8=$CA$9,$CA79,IF(AF$8=$CC$9,$CC79,IF(AF$8=$CD$9,$CD79,IF(AF$8=$CE$9,$CE79,IF(AF$8=$CF$9,$CF79,IF(AF$8=$CG$9,$CG79,IF(AF$8=$CH$9,$CH79,IF(AF$8=$CI$9,$CI79,IF(AF$8=$CJ$9,$CJ79,IF(AF$8=$CK$9,$CK79,IF(AF$8=$CL$9,$CL79,IF(AF$8=$CM$9,$CM79,IF(AF$8=$CN$9,$CN79,IF(AF$8=$CO$9,$CO79,IF(AF$8=$CP$9,$CP79,IF(AF$8=$CQ$9,$CQ79,"НЕТ"))))))))))))))))))))))))</f>
        <v>ДА</v>
      </c>
      <c r="AG79" s="37" t="str">
        <f t="shared" si="94"/>
        <v>НЕТ</v>
      </c>
      <c r="AH79" s="37" t="str">
        <f t="shared" si="94"/>
        <v>НЕТ</v>
      </c>
      <c r="AI79" s="37" t="str">
        <f t="shared" si="94"/>
        <v>НЕТ</v>
      </c>
      <c r="AJ79" s="37" t="str">
        <f t="shared" si="94"/>
        <v>НЕТ</v>
      </c>
      <c r="AK79" s="37" t="str">
        <f t="shared" si="94"/>
        <v>НЕТ</v>
      </c>
      <c r="AL79" s="37" t="str">
        <f t="shared" si="94"/>
        <v>НЕТ</v>
      </c>
      <c r="AM79" s="37" t="str">
        <f>IF(AL79="НЕТ","Не требуется",$CR79)</f>
        <v>Не требуется</v>
      </c>
      <c r="AN79" s="37"/>
      <c r="AQ79" s="200"/>
      <c r="AR79" s="230"/>
      <c r="AS79" s="144">
        <f>IF(BS79="ДА",$M79,"")</f>
        <v>1</v>
      </c>
      <c r="AT79" s="144" t="str">
        <f t="shared" ref="AT79:AV79" si="95">IF(BT79="ДА",$M79,"")</f>
        <v/>
      </c>
      <c r="AU79" s="144">
        <f t="shared" si="95"/>
        <v>1</v>
      </c>
      <c r="AV79" s="144" t="str">
        <f t="shared" si="95"/>
        <v/>
      </c>
      <c r="AW79" s="144">
        <f>IF(BX79="ДА",$M79,"")</f>
        <v>1</v>
      </c>
      <c r="AX79" s="144">
        <f>IF(BY79="ДА",$M79,"")</f>
        <v>1</v>
      </c>
      <c r="AY79" s="144">
        <f>IF(BZ79="ДА",$M79,"")</f>
        <v>1</v>
      </c>
      <c r="AZ79" s="201">
        <f>IF(CA79="ДА",$M79,"")</f>
        <v>1</v>
      </c>
      <c r="BA79" s="235"/>
      <c r="BB79" s="144">
        <f t="shared" ref="BB79:BP79" si="96">IF(CC79="ДА",$M79,"")</f>
        <v>1</v>
      </c>
      <c r="BC79" s="144">
        <f t="shared" si="96"/>
        <v>1</v>
      </c>
      <c r="BD79" s="144">
        <f t="shared" si="96"/>
        <v>1</v>
      </c>
      <c r="BE79" s="144">
        <f t="shared" si="96"/>
        <v>1</v>
      </c>
      <c r="BF79" s="201">
        <f t="shared" si="96"/>
        <v>1</v>
      </c>
      <c r="BG79" s="144">
        <f t="shared" si="96"/>
        <v>1</v>
      </c>
      <c r="BH79" s="144">
        <f t="shared" si="96"/>
        <v>1</v>
      </c>
      <c r="BI79" s="144">
        <f t="shared" si="96"/>
        <v>1</v>
      </c>
      <c r="BJ79" s="144">
        <f t="shared" si="96"/>
        <v>1</v>
      </c>
      <c r="BK79" s="201">
        <f t="shared" si="96"/>
        <v>1</v>
      </c>
      <c r="BL79" s="144" t="str">
        <f t="shared" si="96"/>
        <v/>
      </c>
      <c r="BM79" s="144" t="str">
        <f t="shared" si="96"/>
        <v/>
      </c>
      <c r="BN79" s="144" t="str">
        <f t="shared" si="96"/>
        <v/>
      </c>
      <c r="BO79" s="144" t="str">
        <f t="shared" si="96"/>
        <v/>
      </c>
      <c r="BP79" s="201" t="str">
        <f t="shared" si="96"/>
        <v/>
      </c>
      <c r="BQ79" s="209"/>
      <c r="BR79" s="388"/>
      <c r="BS79" s="37" t="s">
        <v>246</v>
      </c>
      <c r="BT79" s="37" t="s">
        <v>255</v>
      </c>
      <c r="BU79" s="37" t="s">
        <v>246</v>
      </c>
      <c r="BV79" s="37" t="s">
        <v>255</v>
      </c>
      <c r="BW79" s="37" t="s">
        <v>246</v>
      </c>
      <c r="BX79" s="37" t="s">
        <v>246</v>
      </c>
      <c r="BY79" s="37" t="s">
        <v>246</v>
      </c>
      <c r="BZ79" s="37" t="s">
        <v>246</v>
      </c>
      <c r="CA79" s="123" t="s">
        <v>246</v>
      </c>
      <c r="CB79" s="223"/>
      <c r="CC79" s="37" t="s">
        <v>246</v>
      </c>
      <c r="CD79" s="37" t="s">
        <v>246</v>
      </c>
      <c r="CE79" s="37" t="s">
        <v>246</v>
      </c>
      <c r="CF79" s="37" t="s">
        <v>246</v>
      </c>
      <c r="CG79" s="37" t="s">
        <v>246</v>
      </c>
      <c r="CH79" s="37" t="s">
        <v>246</v>
      </c>
      <c r="CI79" s="37" t="s">
        <v>246</v>
      </c>
      <c r="CJ79" s="37" t="s">
        <v>246</v>
      </c>
      <c r="CK79" s="37" t="s">
        <v>246</v>
      </c>
      <c r="CL79" s="37" t="s">
        <v>246</v>
      </c>
      <c r="CM79" s="37" t="s">
        <v>255</v>
      </c>
      <c r="CN79" s="37" t="s">
        <v>255</v>
      </c>
      <c r="CO79" s="37" t="s">
        <v>255</v>
      </c>
      <c r="CP79" s="37" t="s">
        <v>255</v>
      </c>
      <c r="CQ79" s="37" t="s">
        <v>255</v>
      </c>
      <c r="CR79" s="123" t="s">
        <v>300</v>
      </c>
    </row>
    <row r="80" spans="1:96" ht="45" hidden="1" outlineLevel="2" x14ac:dyDescent="0.25">
      <c r="A80" s="133"/>
      <c r="B80" s="253" t="s">
        <v>72</v>
      </c>
      <c r="C80" s="260" t="s">
        <v>2275</v>
      </c>
      <c r="D80" s="254"/>
      <c r="E80" s="254"/>
      <c r="F80" s="254"/>
      <c r="G80" s="254"/>
      <c r="H80" s="254"/>
      <c r="I80" s="254"/>
      <c r="J80" s="254"/>
      <c r="K80" s="254"/>
      <c r="L80" s="254"/>
      <c r="M80" s="254"/>
      <c r="N80" s="235">
        <f t="shared" si="84"/>
        <v>0</v>
      </c>
      <c r="O80" s="329"/>
      <c r="P80" s="254"/>
      <c r="Q80" s="361"/>
      <c r="R80" s="360"/>
      <c r="S80" s="254"/>
      <c r="T80" s="361"/>
      <c r="U80" s="360"/>
      <c r="V80" s="254"/>
      <c r="W80" s="361"/>
      <c r="X80" s="360"/>
      <c r="Y80" s="254"/>
      <c r="Z80" s="330"/>
      <c r="AA80" s="254"/>
      <c r="AB80" s="793"/>
      <c r="AD80" s="255"/>
      <c r="AE80" s="254"/>
      <c r="AF80" s="254"/>
      <c r="AG80" s="255"/>
      <c r="AH80" s="254"/>
      <c r="AI80" s="254"/>
      <c r="AJ80" s="255"/>
      <c r="AK80" s="254"/>
      <c r="AL80" s="254"/>
      <c r="AM80" s="255"/>
      <c r="AN80" s="254"/>
      <c r="AQ80" s="202"/>
      <c r="AZ80" s="203"/>
      <c r="BF80" s="203"/>
      <c r="BK80" s="203"/>
      <c r="BP80" s="203"/>
      <c r="BQ80" s="202"/>
      <c r="CA80" s="203"/>
      <c r="CR80" s="125"/>
    </row>
    <row r="81" spans="1:96" hidden="1" outlineLevel="2" x14ac:dyDescent="0.25">
      <c r="A81" s="133"/>
      <c r="B81" s="253" t="s">
        <v>73</v>
      </c>
      <c r="C81" s="254" t="s">
        <v>2276</v>
      </c>
      <c r="D81" s="254"/>
      <c r="E81" s="254"/>
      <c r="F81" s="254"/>
      <c r="G81" s="254"/>
      <c r="H81" s="254"/>
      <c r="I81" s="254"/>
      <c r="J81" s="254"/>
      <c r="K81" s="254"/>
      <c r="L81" s="254"/>
      <c r="M81" s="254"/>
      <c r="N81" s="235">
        <f t="shared" si="84"/>
        <v>0</v>
      </c>
      <c r="O81" s="329"/>
      <c r="P81" s="254"/>
      <c r="Q81" s="361"/>
      <c r="R81" s="360"/>
      <c r="S81" s="254"/>
      <c r="T81" s="361"/>
      <c r="U81" s="360"/>
      <c r="V81" s="254"/>
      <c r="W81" s="361"/>
      <c r="X81" s="360"/>
      <c r="Y81" s="254"/>
      <c r="Z81" s="330"/>
      <c r="AA81" s="254"/>
      <c r="AB81" s="793"/>
      <c r="AD81" s="255"/>
      <c r="AE81" s="254"/>
      <c r="AF81" s="254"/>
      <c r="AG81" s="255"/>
      <c r="AH81" s="254"/>
      <c r="AI81" s="254"/>
      <c r="AJ81" s="255"/>
      <c r="AK81" s="254"/>
      <c r="AL81" s="254"/>
      <c r="AM81" s="255"/>
      <c r="AN81" s="254"/>
      <c r="AQ81" s="202"/>
      <c r="AZ81" s="203"/>
      <c r="BF81" s="203"/>
      <c r="BK81" s="203"/>
      <c r="BP81" s="203"/>
      <c r="BQ81" s="202"/>
      <c r="CA81" s="203"/>
      <c r="CR81" s="125"/>
    </row>
    <row r="82" spans="1:96" hidden="1" outlineLevel="2" x14ac:dyDescent="0.25">
      <c r="A82" s="133"/>
      <c r="B82" s="253" t="s">
        <v>74</v>
      </c>
      <c r="C82" s="254" t="s">
        <v>2276</v>
      </c>
      <c r="D82" s="254"/>
      <c r="E82" s="254"/>
      <c r="F82" s="254"/>
      <c r="G82" s="254"/>
      <c r="H82" s="254"/>
      <c r="I82" s="254"/>
      <c r="J82" s="254"/>
      <c r="K82" s="254"/>
      <c r="L82" s="254"/>
      <c r="M82" s="254"/>
      <c r="N82" s="235">
        <f t="shared" si="84"/>
        <v>0</v>
      </c>
      <c r="O82" s="329"/>
      <c r="P82" s="254"/>
      <c r="Q82" s="361"/>
      <c r="R82" s="360"/>
      <c r="S82" s="254"/>
      <c r="T82" s="361"/>
      <c r="U82" s="360"/>
      <c r="V82" s="254"/>
      <c r="W82" s="361"/>
      <c r="X82" s="360"/>
      <c r="Y82" s="254"/>
      <c r="Z82" s="330"/>
      <c r="AA82" s="254"/>
      <c r="AB82" s="793"/>
      <c r="AD82" s="255"/>
      <c r="AE82" s="254"/>
      <c r="AF82" s="254"/>
      <c r="AG82" s="255"/>
      <c r="AH82" s="254"/>
      <c r="AI82" s="254"/>
      <c r="AJ82" s="255"/>
      <c r="AK82" s="254"/>
      <c r="AL82" s="254"/>
      <c r="AM82" s="255"/>
      <c r="AN82" s="254"/>
      <c r="AQ82" s="202"/>
      <c r="AZ82" s="203"/>
      <c r="BF82" s="203"/>
      <c r="BK82" s="203"/>
      <c r="BP82" s="203"/>
      <c r="BQ82" s="202"/>
      <c r="CA82" s="203"/>
      <c r="CR82" s="125"/>
    </row>
    <row r="83" spans="1:96" ht="31.5" outlineLevel="1" collapsed="1" x14ac:dyDescent="0.25">
      <c r="A83" s="131" t="s">
        <v>418</v>
      </c>
      <c r="B83" s="113" t="s">
        <v>75</v>
      </c>
      <c r="C83" s="113"/>
      <c r="D83" s="113"/>
      <c r="E83" s="490"/>
      <c r="F83" s="108" t="s">
        <v>222</v>
      </c>
      <c r="G83" s="111" t="s">
        <v>563</v>
      </c>
      <c r="H83" s="111" t="s">
        <v>242</v>
      </c>
      <c r="I83" s="111" t="s">
        <v>242</v>
      </c>
      <c r="J83" s="111" t="s">
        <v>242</v>
      </c>
      <c r="K83" s="111" t="s">
        <v>242</v>
      </c>
      <c r="L83" s="111" t="s">
        <v>1692</v>
      </c>
      <c r="M83" s="108">
        <v>1</v>
      </c>
      <c r="N83" s="235">
        <f t="shared" ref="N83:N87" si="97">SUM(O83,R83,U83,X83)</f>
        <v>1</v>
      </c>
      <c r="O83" s="200" t="str">
        <f t="shared" ref="O83" si="98">IF(AC83="ДА",$M83,"")</f>
        <v/>
      </c>
      <c r="P83" s="144"/>
      <c r="Q83" s="357">
        <f>IF(AC83="ДА",ROUNDUP(O83/5,0),0)</f>
        <v>0</v>
      </c>
      <c r="R83" s="356">
        <f>IF(AF83="ДА",$M83,"")</f>
        <v>1</v>
      </c>
      <c r="S83" s="144"/>
      <c r="T83" s="357">
        <f>IF(AF83="ДА",ROUNDUP(R83/5,0),0)</f>
        <v>1</v>
      </c>
      <c r="U83" s="356" t="str">
        <f>IF(AI83="ДА",$M83,"")</f>
        <v/>
      </c>
      <c r="V83" s="144"/>
      <c r="W83" s="357">
        <f>IF(AI83="ДА",ROUNDUP(U83/5,0),0)</f>
        <v>0</v>
      </c>
      <c r="X83" s="356" t="str">
        <f>IF(AL83="ДА",$M83,"")</f>
        <v/>
      </c>
      <c r="Y83" s="144"/>
      <c r="Z83" s="201">
        <f>IF(AL83="ДА",ROUNDUP(X83/5,0),0)</f>
        <v>0</v>
      </c>
      <c r="AA83" s="388" t="str">
        <f>IF(OR(AC83="ДА",AF83="ДА",AI83="ДА",AL83="ДА"),"ДА","НЕТ")</f>
        <v>ДА</v>
      </c>
      <c r="AB83" s="388"/>
      <c r="AC83" s="37" t="str">
        <f>IF(AC$8=$BT$9,$BT83,IF(AC$8=$BS$9,$BS83,IF(AC$8=$BU$9,$BU83,IF(AC$8=$BV$9,$BV83,IF(AC$8=$BW$9,$BW83,IF(AC$8=$BX$9,$BX83,IF(AC$8=$BY$9,$BY83,IF(AC$8=$BZ$9,$BZ83,IF(AC$8=$CA$9,$CA83,IF(AC$8=$CC$9,$CC83,IF(AC$8=$CD$9,$CD83,IF(AC$8=$CE$9,$CE83,IF(AC$8=$CF$9,$CF83,IF(AC$8=$CG$9,$CG83,IF(AC$8=$CH$9,$CH83,IF(AC$8=$CI$9,$CI83,IF(AC$8=$CJ$9,$CJ83,IF(AC$8=$CK$9,$CK83,IF(AC$8=$CL$9,$CL83,IF(AC$8=$CM$9,$CM83,IF(AC$8=$CN$9,$CN83,IF(AC$8=$CO$9,$CO83,IF(AC$8=$CP$9,$CP83,IF(AC$8=$CQ$9,$CQ83,"НЕТ"))))))))))))))))))))))))</f>
        <v>НЕТ</v>
      </c>
      <c r="AD83" s="37" t="str">
        <f>IF(AC83="НЕТ","Не требуется",$CR83)</f>
        <v>Не требуется</v>
      </c>
      <c r="AE83" s="37"/>
      <c r="AF83" s="37" t="str">
        <f t="shared" ref="AF83:AL83" si="99">IF(AF$8=$BT$9,$BT83,IF(AF$8=$BS$9,$BS83,IF(AF$8=$BU$9,$BU83,IF(AF$8=$BV$9,$BV83,IF(AF$8=$BW$9,$BW83,IF(AF$8=$BX$9,$BX83,IF(AF$8=$BY$9,$BY83,IF(AF$8=$BZ$9,$BZ83,IF(AF$8=$CA$9,$CA83,IF(AF$8=$CC$9,$CC83,IF(AF$8=$CD$9,$CD83,IF(AF$8=$CE$9,$CE83,IF(AF$8=$CF$9,$CF83,IF(AF$8=$CG$9,$CG83,IF(AF$8=$CH$9,$CH83,IF(AF$8=$CI$9,$CI83,IF(AF$8=$CJ$9,$CJ83,IF(AF$8=$CK$9,$CK83,IF(AF$8=$CL$9,$CL83,IF(AF$8=$CM$9,$CM83,IF(AF$8=$CN$9,$CN83,IF(AF$8=$CO$9,$CO83,IF(AF$8=$CP$9,$CP83,IF(AF$8=$CQ$9,$CQ83,"НЕТ"))))))))))))))))))))))))</f>
        <v>ДА</v>
      </c>
      <c r="AG83" s="37" t="str">
        <f t="shared" si="99"/>
        <v>НЕТ</v>
      </c>
      <c r="AH83" s="37" t="str">
        <f t="shared" si="99"/>
        <v>НЕТ</v>
      </c>
      <c r="AI83" s="37" t="str">
        <f t="shared" si="99"/>
        <v>НЕТ</v>
      </c>
      <c r="AJ83" s="37" t="str">
        <f t="shared" si="99"/>
        <v>НЕТ</v>
      </c>
      <c r="AK83" s="37" t="str">
        <f t="shared" si="99"/>
        <v>НЕТ</v>
      </c>
      <c r="AL83" s="37" t="str">
        <f t="shared" si="99"/>
        <v>НЕТ</v>
      </c>
      <c r="AM83" s="37" t="str">
        <f>IF(AL83="НЕТ","Не требуется",$CR83)</f>
        <v>Не требуется</v>
      </c>
      <c r="AN83" s="37"/>
      <c r="AQ83" s="200"/>
      <c r="AR83" s="230"/>
      <c r="AS83" s="144">
        <f>IF(BS83="ДА",$M83,"")</f>
        <v>1</v>
      </c>
      <c r="AT83" s="144">
        <f t="shared" ref="AT83:AV83" si="100">IF(BT83="ДА",$M83,"")</f>
        <v>1</v>
      </c>
      <c r="AU83" s="144" t="str">
        <f t="shared" si="100"/>
        <v/>
      </c>
      <c r="AV83" s="144" t="str">
        <f t="shared" si="100"/>
        <v/>
      </c>
      <c r="AW83" s="144">
        <f>IF(BX83="ДА",$M83,"")</f>
        <v>1</v>
      </c>
      <c r="AX83" s="144">
        <f>IF(BY83="ДА",$M83,"")</f>
        <v>1</v>
      </c>
      <c r="AY83" s="144">
        <f>IF(BZ83="ДА",$M83,"")</f>
        <v>1</v>
      </c>
      <c r="AZ83" s="201">
        <f>IF(CA83="ДА",$M83,"")</f>
        <v>1</v>
      </c>
      <c r="BA83" s="235"/>
      <c r="BB83" s="144">
        <f t="shared" ref="BB83" si="101">IF(CC83="ДА",$M83,"")</f>
        <v>1</v>
      </c>
      <c r="BC83" s="144">
        <f t="shared" ref="BC83" si="102">IF(CD83="ДА",$M83,"")</f>
        <v>1</v>
      </c>
      <c r="BD83" s="144">
        <f t="shared" ref="BD83" si="103">IF(CE83="ДА",$M83,"")</f>
        <v>1</v>
      </c>
      <c r="BE83" s="144">
        <f t="shared" ref="BE83" si="104">IF(CF83="ДА",$M83,"")</f>
        <v>1</v>
      </c>
      <c r="BF83" s="201">
        <f t="shared" ref="BF83" si="105">IF(CG83="ДА",$M83,"")</f>
        <v>1</v>
      </c>
      <c r="BG83" s="144">
        <f t="shared" ref="BG83" si="106">IF(CH83="ДА",$M83,"")</f>
        <v>1</v>
      </c>
      <c r="BH83" s="144">
        <f t="shared" ref="BH83" si="107">IF(CI83="ДА",$M83,"")</f>
        <v>1</v>
      </c>
      <c r="BI83" s="144" t="str">
        <f t="shared" ref="BI83" si="108">IF(CJ83="ДА",$M83,"")</f>
        <v/>
      </c>
      <c r="BJ83" s="144">
        <f t="shared" ref="BJ83" si="109">IF(CK83="ДА",$M83,"")</f>
        <v>1</v>
      </c>
      <c r="BK83" s="201" t="str">
        <f t="shared" ref="BK83" si="110">IF(CL83="ДА",$M83,"")</f>
        <v/>
      </c>
      <c r="BL83" s="144" t="str">
        <f t="shared" ref="BL83" si="111">IF(CM83="ДА",$M83,"")</f>
        <v/>
      </c>
      <c r="BM83" s="144" t="str">
        <f t="shared" ref="BM83" si="112">IF(CN83="ДА",$M83,"")</f>
        <v/>
      </c>
      <c r="BN83" s="144" t="str">
        <f t="shared" ref="BN83" si="113">IF(CO83="ДА",$M83,"")</f>
        <v/>
      </c>
      <c r="BO83" s="144" t="str">
        <f t="shared" ref="BO83" si="114">IF(CP83="ДА",$M83,"")</f>
        <v/>
      </c>
      <c r="BP83" s="201" t="str">
        <f t="shared" ref="BP83" si="115">IF(CQ83="ДА",$M83,"")</f>
        <v/>
      </c>
      <c r="BQ83" s="209"/>
      <c r="BR83" s="388"/>
      <c r="BS83" s="37" t="s">
        <v>246</v>
      </c>
      <c r="BT83" s="37" t="s">
        <v>246</v>
      </c>
      <c r="BU83" s="37" t="s">
        <v>255</v>
      </c>
      <c r="BV83" s="37" t="s">
        <v>255</v>
      </c>
      <c r="BW83" s="37" t="s">
        <v>246</v>
      </c>
      <c r="BX83" s="37" t="s">
        <v>246</v>
      </c>
      <c r="BY83" s="37" t="s">
        <v>246</v>
      </c>
      <c r="BZ83" s="37" t="s">
        <v>246</v>
      </c>
      <c r="CA83" s="123" t="s">
        <v>246</v>
      </c>
      <c r="CB83" s="223"/>
      <c r="CC83" s="37" t="s">
        <v>246</v>
      </c>
      <c r="CD83" s="37" t="s">
        <v>246</v>
      </c>
      <c r="CE83" s="37" t="s">
        <v>246</v>
      </c>
      <c r="CF83" s="37" t="s">
        <v>246</v>
      </c>
      <c r="CG83" s="37" t="s">
        <v>246</v>
      </c>
      <c r="CH83" s="37" t="s">
        <v>246</v>
      </c>
      <c r="CI83" s="37" t="s">
        <v>246</v>
      </c>
      <c r="CJ83" s="37" t="s">
        <v>255</v>
      </c>
      <c r="CK83" s="37" t="s">
        <v>246</v>
      </c>
      <c r="CL83" s="37" t="s">
        <v>255</v>
      </c>
      <c r="CM83" s="37" t="s">
        <v>255</v>
      </c>
      <c r="CN83" s="37" t="s">
        <v>255</v>
      </c>
      <c r="CO83" s="37" t="s">
        <v>255</v>
      </c>
      <c r="CP83" s="37" t="s">
        <v>255</v>
      </c>
      <c r="CQ83" s="37" t="s">
        <v>255</v>
      </c>
      <c r="CR83" s="123" t="s">
        <v>300</v>
      </c>
    </row>
    <row r="84" spans="1:96" ht="30" hidden="1" outlineLevel="2" x14ac:dyDescent="0.25">
      <c r="A84" s="136"/>
      <c r="B84" s="268" t="s">
        <v>76</v>
      </c>
      <c r="C84" s="1025" t="s">
        <v>2277</v>
      </c>
      <c r="D84" s="269"/>
      <c r="E84" s="269"/>
      <c r="F84" s="269"/>
      <c r="G84" s="269"/>
      <c r="H84" s="269"/>
      <c r="I84" s="269"/>
      <c r="J84" s="269"/>
      <c r="K84" s="269"/>
      <c r="L84" s="269"/>
      <c r="M84" s="269"/>
      <c r="N84" s="235">
        <f t="shared" si="97"/>
        <v>0</v>
      </c>
      <c r="O84" s="340"/>
      <c r="P84" s="269"/>
      <c r="Q84" s="372"/>
      <c r="R84" s="371"/>
      <c r="S84" s="269"/>
      <c r="T84" s="372"/>
      <c r="U84" s="371"/>
      <c r="V84" s="269"/>
      <c r="W84" s="372"/>
      <c r="X84" s="371"/>
      <c r="Y84" s="269"/>
      <c r="Z84" s="341"/>
      <c r="AA84" s="269"/>
      <c r="AB84" s="797"/>
      <c r="AD84" s="270"/>
      <c r="AE84" s="269"/>
      <c r="AF84" s="269"/>
      <c r="AG84" s="270"/>
      <c r="AH84" s="269"/>
      <c r="AI84" s="269"/>
      <c r="AJ84" s="270"/>
      <c r="AK84" s="269"/>
      <c r="AL84" s="269"/>
      <c r="AM84" s="270"/>
      <c r="AN84" s="269"/>
      <c r="AQ84" s="202"/>
      <c r="AZ84" s="203"/>
      <c r="BF84" s="203"/>
      <c r="BK84" s="203"/>
      <c r="BP84" s="203"/>
      <c r="BQ84" s="202"/>
      <c r="CA84" s="203"/>
      <c r="CR84" s="122"/>
    </row>
    <row r="85" spans="1:96" ht="30" hidden="1" outlineLevel="2" x14ac:dyDescent="0.25">
      <c r="A85" s="136"/>
      <c r="B85" s="268" t="s">
        <v>77</v>
      </c>
      <c r="C85" s="1025" t="s">
        <v>2277</v>
      </c>
      <c r="D85" s="269"/>
      <c r="E85" s="269"/>
      <c r="F85" s="269"/>
      <c r="G85" s="269"/>
      <c r="H85" s="269"/>
      <c r="I85" s="269"/>
      <c r="J85" s="269"/>
      <c r="K85" s="269"/>
      <c r="L85" s="269"/>
      <c r="M85" s="269"/>
      <c r="N85" s="235">
        <f t="shared" si="97"/>
        <v>0</v>
      </c>
      <c r="O85" s="340"/>
      <c r="P85" s="269"/>
      <c r="Q85" s="372"/>
      <c r="R85" s="371"/>
      <c r="S85" s="269"/>
      <c r="T85" s="372"/>
      <c r="U85" s="371"/>
      <c r="V85" s="269"/>
      <c r="W85" s="372"/>
      <c r="X85" s="371"/>
      <c r="Y85" s="269"/>
      <c r="Z85" s="341"/>
      <c r="AA85" s="269"/>
      <c r="AB85" s="797"/>
      <c r="AD85" s="270"/>
      <c r="AE85" s="269"/>
      <c r="AF85" s="269"/>
      <c r="AG85" s="270"/>
      <c r="AH85" s="269"/>
      <c r="AI85" s="269"/>
      <c r="AJ85" s="270"/>
      <c r="AK85" s="269"/>
      <c r="AL85" s="269"/>
      <c r="AM85" s="270"/>
      <c r="AN85" s="269"/>
      <c r="AQ85" s="202"/>
      <c r="AZ85" s="203"/>
      <c r="BF85" s="203"/>
      <c r="BK85" s="203"/>
      <c r="BP85" s="203"/>
      <c r="BQ85" s="202"/>
      <c r="CA85" s="203"/>
      <c r="CR85" s="122"/>
    </row>
    <row r="86" spans="1:96" ht="30" hidden="1" outlineLevel="2" x14ac:dyDescent="0.25">
      <c r="A86" s="136"/>
      <c r="B86" s="268" t="s">
        <v>78</v>
      </c>
      <c r="C86" s="268" t="s">
        <v>2278</v>
      </c>
      <c r="D86" s="269"/>
      <c r="E86" s="269"/>
      <c r="F86" s="269"/>
      <c r="G86" s="269"/>
      <c r="H86" s="269"/>
      <c r="I86" s="269"/>
      <c r="J86" s="269"/>
      <c r="K86" s="269"/>
      <c r="L86" s="269"/>
      <c r="M86" s="269"/>
      <c r="N86" s="235">
        <f t="shared" si="97"/>
        <v>0</v>
      </c>
      <c r="O86" s="340"/>
      <c r="P86" s="269"/>
      <c r="Q86" s="372"/>
      <c r="R86" s="371"/>
      <c r="S86" s="269"/>
      <c r="T86" s="372"/>
      <c r="U86" s="371"/>
      <c r="V86" s="269"/>
      <c r="W86" s="372"/>
      <c r="X86" s="371"/>
      <c r="Y86" s="269"/>
      <c r="Z86" s="341"/>
      <c r="AA86" s="269"/>
      <c r="AB86" s="797"/>
      <c r="AD86" s="270"/>
      <c r="AE86" s="269"/>
      <c r="AF86" s="269"/>
      <c r="AG86" s="270"/>
      <c r="AH86" s="269"/>
      <c r="AI86" s="269"/>
      <c r="AJ86" s="270"/>
      <c r="AK86" s="269"/>
      <c r="AL86" s="269"/>
      <c r="AM86" s="270"/>
      <c r="AN86" s="269"/>
      <c r="AQ86" s="202"/>
      <c r="AZ86" s="203"/>
      <c r="BF86" s="203"/>
      <c r="BK86" s="203"/>
      <c r="BP86" s="203"/>
      <c r="BQ86" s="202"/>
      <c r="CA86" s="203"/>
      <c r="CR86" s="122"/>
    </row>
    <row r="87" spans="1:96" ht="30" hidden="1" outlineLevel="2" x14ac:dyDescent="0.25">
      <c r="A87" s="136"/>
      <c r="B87" s="268" t="s">
        <v>79</v>
      </c>
      <c r="C87" s="268" t="s">
        <v>2278</v>
      </c>
      <c r="D87" s="269"/>
      <c r="E87" s="269"/>
      <c r="F87" s="269"/>
      <c r="G87" s="269"/>
      <c r="H87" s="269"/>
      <c r="I87" s="269"/>
      <c r="J87" s="269"/>
      <c r="K87" s="269"/>
      <c r="L87" s="269"/>
      <c r="M87" s="269"/>
      <c r="N87" s="235">
        <f t="shared" si="97"/>
        <v>0</v>
      </c>
      <c r="O87" s="340"/>
      <c r="P87" s="269"/>
      <c r="Q87" s="372"/>
      <c r="R87" s="371"/>
      <c r="S87" s="269"/>
      <c r="T87" s="372"/>
      <c r="U87" s="371"/>
      <c r="V87" s="269"/>
      <c r="W87" s="372"/>
      <c r="X87" s="371"/>
      <c r="Y87" s="269"/>
      <c r="Z87" s="341"/>
      <c r="AA87" s="269"/>
      <c r="AB87" s="797"/>
      <c r="AD87" s="270"/>
      <c r="AE87" s="269"/>
      <c r="AF87" s="269"/>
      <c r="AG87" s="270"/>
      <c r="AH87" s="269"/>
      <c r="AI87" s="269"/>
      <c r="AJ87" s="270"/>
      <c r="AK87" s="269"/>
      <c r="AL87" s="269"/>
      <c r="AM87" s="270"/>
      <c r="AN87" s="269"/>
      <c r="AQ87" s="202"/>
      <c r="AZ87" s="203"/>
      <c r="BF87" s="203"/>
      <c r="BK87" s="203"/>
      <c r="BP87" s="203"/>
      <c r="BQ87" s="202"/>
      <c r="CA87" s="203"/>
      <c r="CR87" s="122"/>
    </row>
    <row r="88" spans="1:96" ht="126" outlineLevel="1" collapsed="1" x14ac:dyDescent="0.25">
      <c r="A88" s="137" t="s">
        <v>419</v>
      </c>
      <c r="B88" s="117" t="s">
        <v>1809</v>
      </c>
      <c r="C88" s="1026" t="s">
        <v>243</v>
      </c>
      <c r="D88" s="117"/>
      <c r="E88" s="494"/>
      <c r="F88" s="843" t="s">
        <v>1683</v>
      </c>
      <c r="G88" s="808" t="s">
        <v>1754</v>
      </c>
      <c r="H88" s="111" t="s">
        <v>1693</v>
      </c>
      <c r="I88" s="111" t="s">
        <v>1693</v>
      </c>
      <c r="J88" s="111" t="s">
        <v>1693</v>
      </c>
      <c r="K88" s="111" t="s">
        <v>1693</v>
      </c>
      <c r="L88" s="111" t="s">
        <v>1693</v>
      </c>
      <c r="M88" s="109">
        <v>5</v>
      </c>
      <c r="N88" s="235">
        <f t="shared" si="84"/>
        <v>5</v>
      </c>
      <c r="O88" s="200" t="str">
        <f t="shared" ref="O88" si="116">IF(AC88="ДА",$M88,"")</f>
        <v/>
      </c>
      <c r="P88" s="144"/>
      <c r="Q88" s="357">
        <f>IF(AC88="ДА",ROUNDUP(O88/5,0),0)</f>
        <v>0</v>
      </c>
      <c r="R88" s="356">
        <f>IF(AF88="ДА",$M88,"")</f>
        <v>5</v>
      </c>
      <c r="S88" s="144"/>
      <c r="T88" s="357">
        <f>IF(AF88="ДА",ROUNDUP(R88/5,0),0)</f>
        <v>1</v>
      </c>
      <c r="U88" s="356" t="str">
        <f>IF(AI88="ДА",$M88,"")</f>
        <v/>
      </c>
      <c r="V88" s="144"/>
      <c r="W88" s="357">
        <f>IF(AI88="ДА",ROUNDUP(U88/5,0),0)</f>
        <v>0</v>
      </c>
      <c r="X88" s="356" t="str">
        <f>IF(AL88="ДА",$M88,"")</f>
        <v/>
      </c>
      <c r="Y88" s="144"/>
      <c r="Z88" s="201">
        <f>IF(AL88="ДА",ROUNDUP(X88/5,0),0)</f>
        <v>0</v>
      </c>
      <c r="AA88" s="388" t="str">
        <f>IF(OR(AC88="ДА",AF88="ДА",AI88="ДА",AL88="ДА"),"ДА","НЕТ")</f>
        <v>ДА</v>
      </c>
      <c r="AB88" s="388"/>
      <c r="AC88" s="37" t="str">
        <f>IF(AC$8=$BT$9,$BT88,IF(AC$8=$BS$9,$BS88,IF(AC$8=$BU$9,$BU88,IF(AC$8=$BV$9,$BV88,IF(AC$8=$BW$9,$BW88,IF(AC$8=$BX$9,$BX88,IF(AC$8=$BY$9,$BY88,IF(AC$8=$BZ$9,$BZ88,IF(AC$8=$CA$9,$CA88,IF(AC$8=$CC$9,$CC88,IF(AC$8=$CD$9,$CD88,IF(AC$8=$CE$9,$CE88,IF(AC$8=$CF$9,$CF88,IF(AC$8=$CG$9,$CG88,IF(AC$8=$CH$9,$CH88,IF(AC$8=$CI$9,$CI88,IF(AC$8=$CJ$9,$CJ88,IF(AC$8=$CK$9,$CK88,IF(AC$8=$CL$9,$CL88,IF(AC$8=$CM$9,$CM88,IF(AC$8=$CN$9,$CN88,IF(AC$8=$CO$9,$CO88,IF(AC$8=$CP$9,$CP88,IF(AC$8=$CQ$9,$CQ88,"НЕТ"))))))))))))))))))))))))</f>
        <v>НЕТ</v>
      </c>
      <c r="AD88" s="37" t="str">
        <f>IF(AC88="НЕТ","Не требуется",$CR88)</f>
        <v>Не требуется</v>
      </c>
      <c r="AE88" s="37"/>
      <c r="AF88" s="37" t="str">
        <f t="shared" ref="AF88:AL88" si="117">IF(AF$8=$BT$9,$BT88,IF(AF$8=$BS$9,$BS88,IF(AF$8=$BU$9,$BU88,IF(AF$8=$BV$9,$BV88,IF(AF$8=$BW$9,$BW88,IF(AF$8=$BX$9,$BX88,IF(AF$8=$BY$9,$BY88,IF(AF$8=$BZ$9,$BZ88,IF(AF$8=$CA$9,$CA88,IF(AF$8=$CC$9,$CC88,IF(AF$8=$CD$9,$CD88,IF(AF$8=$CE$9,$CE88,IF(AF$8=$CF$9,$CF88,IF(AF$8=$CG$9,$CG88,IF(AF$8=$CH$9,$CH88,IF(AF$8=$CI$9,$CI88,IF(AF$8=$CJ$9,$CJ88,IF(AF$8=$CK$9,$CK88,IF(AF$8=$CL$9,$CL88,IF(AF$8=$CM$9,$CM88,IF(AF$8=$CN$9,$CN88,IF(AF$8=$CO$9,$CO88,IF(AF$8=$CP$9,$CP88,IF(AF$8=$CQ$9,$CQ88,"НЕТ"))))))))))))))))))))))))</f>
        <v>ДА</v>
      </c>
      <c r="AG88" s="37" t="str">
        <f t="shared" si="117"/>
        <v>НЕТ</v>
      </c>
      <c r="AH88" s="37" t="str">
        <f t="shared" si="117"/>
        <v>НЕТ</v>
      </c>
      <c r="AI88" s="37" t="str">
        <f t="shared" si="117"/>
        <v>НЕТ</v>
      </c>
      <c r="AJ88" s="37" t="str">
        <f t="shared" si="117"/>
        <v>НЕТ</v>
      </c>
      <c r="AK88" s="37" t="str">
        <f t="shared" si="117"/>
        <v>НЕТ</v>
      </c>
      <c r="AL88" s="37" t="str">
        <f t="shared" si="117"/>
        <v>НЕТ</v>
      </c>
      <c r="AM88" s="37" t="str">
        <f>IF(AL88="НЕТ","Не требуется",$CR88)</f>
        <v>Не требуется</v>
      </c>
      <c r="AN88" s="37"/>
      <c r="AQ88" s="200"/>
      <c r="AR88" s="230"/>
      <c r="AS88" s="144" t="str">
        <f>IF(BS88="ДА",$M88,"")</f>
        <v/>
      </c>
      <c r="AT88" s="144" t="str">
        <f t="shared" ref="AT88:AV88" si="118">IF(BT88="ДА",$M88,"")</f>
        <v/>
      </c>
      <c r="AU88" s="144" t="str">
        <f t="shared" si="118"/>
        <v/>
      </c>
      <c r="AV88" s="144" t="str">
        <f t="shared" si="118"/>
        <v/>
      </c>
      <c r="AW88" s="144">
        <f>IF(BX88="ДА",$M88,"")</f>
        <v>5</v>
      </c>
      <c r="AX88" s="144">
        <f>IF(BY88="ДА",$M88,"")</f>
        <v>5</v>
      </c>
      <c r="AY88" s="144">
        <f>IF(BZ88="ДА",$M88,"")</f>
        <v>5</v>
      </c>
      <c r="AZ88" s="201">
        <f>IF(CA88="ДА",$M88,"")</f>
        <v>5</v>
      </c>
      <c r="BA88" s="235"/>
      <c r="BB88" s="144">
        <f t="shared" ref="BB88:BP88" si="119">IF(CC88="ДА",$M88,"")</f>
        <v>5</v>
      </c>
      <c r="BC88" s="144">
        <f t="shared" si="119"/>
        <v>5</v>
      </c>
      <c r="BD88" s="144">
        <f t="shared" si="119"/>
        <v>5</v>
      </c>
      <c r="BE88" s="144">
        <f t="shared" si="119"/>
        <v>5</v>
      </c>
      <c r="BF88" s="201">
        <f t="shared" si="119"/>
        <v>5</v>
      </c>
      <c r="BG88" s="144">
        <f t="shared" si="119"/>
        <v>5</v>
      </c>
      <c r="BH88" s="144">
        <f t="shared" si="119"/>
        <v>5</v>
      </c>
      <c r="BI88" s="144" t="str">
        <f t="shared" si="119"/>
        <v/>
      </c>
      <c r="BJ88" s="144">
        <f t="shared" si="119"/>
        <v>5</v>
      </c>
      <c r="BK88" s="201" t="str">
        <f t="shared" si="119"/>
        <v/>
      </c>
      <c r="BL88" s="144" t="str">
        <f t="shared" si="119"/>
        <v/>
      </c>
      <c r="BM88" s="144" t="str">
        <f t="shared" si="119"/>
        <v/>
      </c>
      <c r="BN88" s="144" t="str">
        <f t="shared" si="119"/>
        <v/>
      </c>
      <c r="BO88" s="144" t="str">
        <f t="shared" si="119"/>
        <v/>
      </c>
      <c r="BP88" s="201" t="str">
        <f t="shared" si="119"/>
        <v/>
      </c>
      <c r="BQ88" s="209"/>
      <c r="BR88" s="388"/>
      <c r="BS88" s="37" t="s">
        <v>255</v>
      </c>
      <c r="BT88" s="37" t="s">
        <v>255</v>
      </c>
      <c r="BU88" s="37" t="s">
        <v>255</v>
      </c>
      <c r="BV88" s="37" t="s">
        <v>255</v>
      </c>
      <c r="BW88" s="37" t="s">
        <v>246</v>
      </c>
      <c r="BX88" s="37" t="s">
        <v>246</v>
      </c>
      <c r="BY88" s="37" t="s">
        <v>246</v>
      </c>
      <c r="BZ88" s="37" t="s">
        <v>246</v>
      </c>
      <c r="CA88" s="123" t="s">
        <v>246</v>
      </c>
      <c r="CB88" s="223"/>
      <c r="CC88" s="37" t="s">
        <v>246</v>
      </c>
      <c r="CD88" s="37" t="s">
        <v>246</v>
      </c>
      <c r="CE88" s="37" t="s">
        <v>246</v>
      </c>
      <c r="CF88" s="37" t="s">
        <v>246</v>
      </c>
      <c r="CG88" s="37" t="s">
        <v>246</v>
      </c>
      <c r="CH88" s="37" t="s">
        <v>246</v>
      </c>
      <c r="CI88" s="37" t="s">
        <v>246</v>
      </c>
      <c r="CJ88" s="37" t="s">
        <v>255</v>
      </c>
      <c r="CK88" s="37" t="s">
        <v>246</v>
      </c>
      <c r="CL88" s="37" t="s">
        <v>255</v>
      </c>
      <c r="CM88" s="37" t="s">
        <v>255</v>
      </c>
      <c r="CN88" s="37" t="s">
        <v>255</v>
      </c>
      <c r="CO88" s="37" t="s">
        <v>255</v>
      </c>
      <c r="CP88" s="37" t="s">
        <v>255</v>
      </c>
      <c r="CQ88" s="37" t="s">
        <v>255</v>
      </c>
      <c r="CR88" s="123" t="s">
        <v>300</v>
      </c>
    </row>
    <row r="89" spans="1:96" ht="60" hidden="1" outlineLevel="2" x14ac:dyDescent="0.25">
      <c r="A89" s="136"/>
      <c r="B89" s="268" t="s">
        <v>1715</v>
      </c>
      <c r="C89" s="269"/>
      <c r="D89" s="269"/>
      <c r="E89" s="269"/>
      <c r="F89" s="269"/>
      <c r="G89" s="269"/>
      <c r="H89" s="269"/>
      <c r="I89" s="269"/>
      <c r="J89" s="269"/>
      <c r="K89" s="269"/>
      <c r="L89" s="269"/>
      <c r="M89" s="269"/>
      <c r="N89" s="235">
        <f t="shared" si="84"/>
        <v>0</v>
      </c>
      <c r="O89" s="340"/>
      <c r="P89" s="269"/>
      <c r="Q89" s="372"/>
      <c r="R89" s="371"/>
      <c r="S89" s="269"/>
      <c r="T89" s="372"/>
      <c r="U89" s="371"/>
      <c r="V89" s="269"/>
      <c r="W89" s="372"/>
      <c r="X89" s="371"/>
      <c r="Y89" s="269"/>
      <c r="Z89" s="341"/>
      <c r="AA89" s="269"/>
      <c r="AB89" s="797"/>
      <c r="AD89" s="270"/>
      <c r="AE89" s="269"/>
      <c r="AF89" s="269"/>
      <c r="AG89" s="270"/>
      <c r="AH89" s="269"/>
      <c r="AI89" s="269"/>
      <c r="AJ89" s="270"/>
      <c r="AK89" s="269"/>
      <c r="AL89" s="269"/>
      <c r="AM89" s="270"/>
      <c r="AN89" s="269"/>
      <c r="AQ89" s="202"/>
      <c r="AZ89" s="203"/>
      <c r="BF89" s="203"/>
      <c r="BK89" s="203"/>
      <c r="BP89" s="203"/>
      <c r="BQ89" s="202"/>
      <c r="CA89" s="203"/>
      <c r="CR89" s="122"/>
    </row>
    <row r="90" spans="1:96" ht="45" hidden="1" outlineLevel="2" x14ac:dyDescent="0.25">
      <c r="A90" s="136"/>
      <c r="B90" s="268" t="s">
        <v>1678</v>
      </c>
      <c r="C90" s="269"/>
      <c r="D90" s="269"/>
      <c r="E90" s="269"/>
      <c r="F90" s="269"/>
      <c r="G90" s="269"/>
      <c r="H90" s="269"/>
      <c r="I90" s="269"/>
      <c r="J90" s="269"/>
      <c r="K90" s="269"/>
      <c r="L90" s="269"/>
      <c r="M90" s="269"/>
      <c r="N90" s="235">
        <f t="shared" si="84"/>
        <v>0</v>
      </c>
      <c r="O90" s="340"/>
      <c r="P90" s="269"/>
      <c r="Q90" s="372"/>
      <c r="R90" s="371"/>
      <c r="S90" s="269"/>
      <c r="T90" s="372"/>
      <c r="U90" s="371"/>
      <c r="V90" s="269"/>
      <c r="W90" s="372"/>
      <c r="X90" s="371"/>
      <c r="Y90" s="269"/>
      <c r="Z90" s="341"/>
      <c r="AA90" s="269"/>
      <c r="AB90" s="797"/>
      <c r="AD90" s="270"/>
      <c r="AE90" s="269"/>
      <c r="AF90" s="269"/>
      <c r="AG90" s="270"/>
      <c r="AH90" s="269"/>
      <c r="AI90" s="269"/>
      <c r="AJ90" s="270"/>
      <c r="AK90" s="269"/>
      <c r="AL90" s="269"/>
      <c r="AM90" s="270"/>
      <c r="AN90" s="269"/>
      <c r="AQ90" s="202"/>
      <c r="AZ90" s="203"/>
      <c r="BF90" s="203"/>
      <c r="BK90" s="203"/>
      <c r="BP90" s="203"/>
      <c r="BQ90" s="202"/>
      <c r="CA90" s="203"/>
      <c r="CR90" s="122"/>
    </row>
    <row r="91" spans="1:96" ht="30" hidden="1" outlineLevel="2" x14ac:dyDescent="0.25">
      <c r="A91" s="136"/>
      <c r="B91" s="268" t="s">
        <v>1677</v>
      </c>
      <c r="C91" s="269"/>
      <c r="D91" s="269"/>
      <c r="E91" s="269"/>
      <c r="F91" s="269"/>
      <c r="G91" s="269"/>
      <c r="H91" s="269"/>
      <c r="I91" s="269"/>
      <c r="J91" s="269"/>
      <c r="K91" s="269"/>
      <c r="L91" s="269"/>
      <c r="M91" s="269"/>
      <c r="N91" s="235">
        <f t="shared" si="84"/>
        <v>0</v>
      </c>
      <c r="O91" s="340"/>
      <c r="P91" s="269"/>
      <c r="Q91" s="372"/>
      <c r="R91" s="371"/>
      <c r="S91" s="269"/>
      <c r="T91" s="372"/>
      <c r="U91" s="371"/>
      <c r="V91" s="269"/>
      <c r="W91" s="372"/>
      <c r="X91" s="371"/>
      <c r="Y91" s="269"/>
      <c r="Z91" s="341"/>
      <c r="AA91" s="269"/>
      <c r="AB91" s="797"/>
      <c r="AD91" s="270"/>
      <c r="AE91" s="269"/>
      <c r="AF91" s="269"/>
      <c r="AG91" s="270"/>
      <c r="AH91" s="269"/>
      <c r="AI91" s="269"/>
      <c r="AJ91" s="270"/>
      <c r="AK91" s="269"/>
      <c r="AL91" s="269"/>
      <c r="AM91" s="270"/>
      <c r="AN91" s="269"/>
      <c r="AQ91" s="202"/>
      <c r="AZ91" s="203"/>
      <c r="BF91" s="203"/>
      <c r="BK91" s="203"/>
      <c r="BP91" s="203"/>
      <c r="BQ91" s="202"/>
      <c r="CA91" s="203"/>
      <c r="CR91" s="122"/>
    </row>
    <row r="92" spans="1:96" ht="45" hidden="1" outlineLevel="2" x14ac:dyDescent="0.25">
      <c r="A92" s="136"/>
      <c r="B92" s="268" t="s">
        <v>1716</v>
      </c>
      <c r="C92" s="269"/>
      <c r="D92" s="269"/>
      <c r="E92" s="269"/>
      <c r="F92" s="269"/>
      <c r="G92" s="269"/>
      <c r="H92" s="269"/>
      <c r="I92" s="269"/>
      <c r="J92" s="269"/>
      <c r="K92" s="269"/>
      <c r="L92" s="269"/>
      <c r="M92" s="269"/>
      <c r="N92" s="235">
        <f t="shared" si="84"/>
        <v>0</v>
      </c>
      <c r="O92" s="340"/>
      <c r="P92" s="269"/>
      <c r="Q92" s="372"/>
      <c r="R92" s="371"/>
      <c r="S92" s="269"/>
      <c r="T92" s="372"/>
      <c r="U92" s="371"/>
      <c r="V92" s="269"/>
      <c r="W92" s="372"/>
      <c r="X92" s="371"/>
      <c r="Y92" s="269"/>
      <c r="Z92" s="341"/>
      <c r="AA92" s="269"/>
      <c r="AB92" s="797"/>
      <c r="AD92" s="270"/>
      <c r="AE92" s="269"/>
      <c r="AF92" s="269"/>
      <c r="AG92" s="270"/>
      <c r="AH92" s="269"/>
      <c r="AI92" s="269"/>
      <c r="AJ92" s="270"/>
      <c r="AK92" s="269"/>
      <c r="AL92" s="269"/>
      <c r="AM92" s="270"/>
      <c r="AN92" s="269"/>
      <c r="AQ92" s="202"/>
      <c r="AZ92" s="203"/>
      <c r="BF92" s="203"/>
      <c r="BK92" s="203"/>
      <c r="BP92" s="203"/>
      <c r="BQ92" s="202"/>
      <c r="CA92" s="203"/>
      <c r="CR92" s="122"/>
    </row>
    <row r="93" spans="1:96" ht="15.75" outlineLevel="1" collapsed="1" x14ac:dyDescent="0.25">
      <c r="A93" s="131" t="s">
        <v>420</v>
      </c>
      <c r="B93" s="113" t="s">
        <v>80</v>
      </c>
      <c r="C93" s="113"/>
      <c r="D93" s="113"/>
      <c r="E93" s="490"/>
      <c r="F93" s="108" t="s">
        <v>222</v>
      </c>
      <c r="G93" s="111" t="s">
        <v>563</v>
      </c>
      <c r="H93" s="111" t="s">
        <v>242</v>
      </c>
      <c r="I93" s="111" t="s">
        <v>242</v>
      </c>
      <c r="J93" s="111" t="s">
        <v>242</v>
      </c>
      <c r="K93" s="111" t="s">
        <v>242</v>
      </c>
      <c r="L93" s="111" t="s">
        <v>242</v>
      </c>
      <c r="M93" s="108">
        <v>2</v>
      </c>
      <c r="N93" s="235">
        <f t="shared" si="84"/>
        <v>4</v>
      </c>
      <c r="O93" s="200" t="str">
        <f t="shared" ref="O93" si="120">IF(AC93="ДА",$M93,"")</f>
        <v/>
      </c>
      <c r="P93" s="144"/>
      <c r="Q93" s="357">
        <f>IF(AC93="ДА",ROUNDUP(O93/5,0),0)</f>
        <v>0</v>
      </c>
      <c r="R93" s="356">
        <f>IF(AF93="ДА",$M93,"")</f>
        <v>2</v>
      </c>
      <c r="S93" s="144"/>
      <c r="T93" s="357">
        <f>IF(AF93="ДА",ROUNDUP(R93/5,0),0)</f>
        <v>1</v>
      </c>
      <c r="U93" s="356">
        <f>IF(AI93="ДА",$M93,"")</f>
        <v>2</v>
      </c>
      <c r="V93" s="144"/>
      <c r="W93" s="357">
        <f>IF(AI93="ДА",ROUNDUP(U93/5,0),0)</f>
        <v>1</v>
      </c>
      <c r="X93" s="356" t="str">
        <f>IF(AL93="ДА",$M93,"")</f>
        <v/>
      </c>
      <c r="Y93" s="144"/>
      <c r="Z93" s="201">
        <f>IF(AL93="ДА",ROUNDUP(X93/5,0),0)</f>
        <v>0</v>
      </c>
      <c r="AA93" s="388" t="str">
        <f>IF(OR(AC93="ДА",AF93="ДА",AI93="ДА",AL93="ДА"),"ДА","НЕТ")</f>
        <v>ДА</v>
      </c>
      <c r="AB93" s="388"/>
      <c r="AC93" s="37" t="str">
        <f>IF(AC$8=$BT$9,$BT93,IF(AC$8=$BS$9,$BS93,IF(AC$8=$BU$9,$BU93,IF(AC$8=$BV$9,$BV93,IF(AC$8=$BW$9,$BW93,IF(AC$8=$BX$9,$BX93,IF(AC$8=$BY$9,$BY93,IF(AC$8=$BZ$9,$BZ93,IF(AC$8=$CA$9,$CA93,IF(AC$8=$CC$9,$CC93,IF(AC$8=$CD$9,$CD93,IF(AC$8=$CE$9,$CE93,IF(AC$8=$CF$9,$CF93,IF(AC$8=$CG$9,$CG93,IF(AC$8=$CH$9,$CH93,IF(AC$8=$CI$9,$CI93,IF(AC$8=$CJ$9,$CJ93,IF(AC$8=$CK$9,$CK93,IF(AC$8=$CL$9,$CL93,IF(AC$8=$CM$9,$CM93,IF(AC$8=$CN$9,$CN93,IF(AC$8=$CO$9,$CO93,IF(AC$8=$CP$9,$CP93,IF(AC$8=$CQ$9,$CQ93,"НЕТ"))))))))))))))))))))))))</f>
        <v>НЕТ</v>
      </c>
      <c r="AD93" s="37" t="str">
        <f>IF(AC93="НЕТ","Не требуется",$CR93)</f>
        <v>Не требуется</v>
      </c>
      <c r="AE93" s="37"/>
      <c r="AF93" s="37" t="str">
        <f t="shared" ref="AF93:AL93" si="121">IF(AF$8=$BT$9,$BT93,IF(AF$8=$BS$9,$BS93,IF(AF$8=$BU$9,$BU93,IF(AF$8=$BV$9,$BV93,IF(AF$8=$BW$9,$BW93,IF(AF$8=$BX$9,$BX93,IF(AF$8=$BY$9,$BY93,IF(AF$8=$BZ$9,$BZ93,IF(AF$8=$CA$9,$CA93,IF(AF$8=$CC$9,$CC93,IF(AF$8=$CD$9,$CD93,IF(AF$8=$CE$9,$CE93,IF(AF$8=$CF$9,$CF93,IF(AF$8=$CG$9,$CG93,IF(AF$8=$CH$9,$CH93,IF(AF$8=$CI$9,$CI93,IF(AF$8=$CJ$9,$CJ93,IF(AF$8=$CK$9,$CK93,IF(AF$8=$CL$9,$CL93,IF(AF$8=$CM$9,$CM93,IF(AF$8=$CN$9,$CN93,IF(AF$8=$CO$9,$CO93,IF(AF$8=$CP$9,$CP93,IF(AF$8=$CQ$9,$CQ93,"НЕТ"))))))))))))))))))))))))</f>
        <v>ДА</v>
      </c>
      <c r="AG93" s="37" t="str">
        <f t="shared" si="121"/>
        <v>НЕТ</v>
      </c>
      <c r="AH93" s="37" t="str">
        <f t="shared" si="121"/>
        <v>НЕТ</v>
      </c>
      <c r="AI93" s="37" t="str">
        <f t="shared" si="121"/>
        <v>ДА</v>
      </c>
      <c r="AJ93" s="37" t="str">
        <f t="shared" si="121"/>
        <v>НЕТ</v>
      </c>
      <c r="AK93" s="37" t="str">
        <f t="shared" si="121"/>
        <v>НЕТ</v>
      </c>
      <c r="AL93" s="37" t="str">
        <f t="shared" si="121"/>
        <v>НЕТ</v>
      </c>
      <c r="AM93" s="37" t="str">
        <f>IF(AL93="НЕТ","Не требуется",$CR93)</f>
        <v>Не требуется</v>
      </c>
      <c r="AN93" s="37"/>
      <c r="AQ93" s="200"/>
      <c r="AR93" s="230"/>
      <c r="AS93" s="144">
        <f>IF(BS93="ДА",$M93,"")</f>
        <v>2</v>
      </c>
      <c r="AT93" s="144">
        <f t="shared" ref="AT93:AV93" si="122">IF(BT93="ДА",$M93,"")</f>
        <v>2</v>
      </c>
      <c r="AU93" s="144" t="str">
        <f t="shared" si="122"/>
        <v/>
      </c>
      <c r="AV93" s="144">
        <f t="shared" si="122"/>
        <v>2</v>
      </c>
      <c r="AW93" s="144">
        <f>IF(BX93="ДА",$M93,"")</f>
        <v>2</v>
      </c>
      <c r="AX93" s="144">
        <f>IF(BY93="ДА",$M93,"")</f>
        <v>2</v>
      </c>
      <c r="AY93" s="144">
        <f>IF(BZ93="ДА",$M93,"")</f>
        <v>2</v>
      </c>
      <c r="AZ93" s="201">
        <f>IF(CA93="ДА",$M93,"")</f>
        <v>2</v>
      </c>
      <c r="BA93" s="235"/>
      <c r="BB93" s="144" t="str">
        <f t="shared" ref="BB93:BP93" si="123">IF(CC93="ДА",$M93,"")</f>
        <v/>
      </c>
      <c r="BC93" s="144">
        <f t="shared" si="123"/>
        <v>2</v>
      </c>
      <c r="BD93" s="144" t="str">
        <f t="shared" si="123"/>
        <v/>
      </c>
      <c r="BE93" s="144">
        <f t="shared" si="123"/>
        <v>2</v>
      </c>
      <c r="BF93" s="201" t="str">
        <f t="shared" si="123"/>
        <v/>
      </c>
      <c r="BG93" s="144">
        <f t="shared" si="123"/>
        <v>2</v>
      </c>
      <c r="BH93" s="144" t="str">
        <f t="shared" si="123"/>
        <v/>
      </c>
      <c r="BI93" s="144" t="str">
        <f t="shared" si="123"/>
        <v/>
      </c>
      <c r="BJ93" s="144">
        <f t="shared" si="123"/>
        <v>2</v>
      </c>
      <c r="BK93" s="201" t="str">
        <f t="shared" si="123"/>
        <v/>
      </c>
      <c r="BL93" s="144" t="str">
        <f t="shared" si="123"/>
        <v/>
      </c>
      <c r="BM93" s="144" t="str">
        <f t="shared" si="123"/>
        <v/>
      </c>
      <c r="BN93" s="144" t="str">
        <f t="shared" si="123"/>
        <v/>
      </c>
      <c r="BO93" s="144" t="str">
        <f t="shared" si="123"/>
        <v/>
      </c>
      <c r="BP93" s="201" t="str">
        <f t="shared" si="123"/>
        <v/>
      </c>
      <c r="BQ93" s="209"/>
      <c r="BR93" s="388"/>
      <c r="BS93" s="37" t="s">
        <v>246</v>
      </c>
      <c r="BT93" s="37" t="s">
        <v>246</v>
      </c>
      <c r="BU93" s="37" t="s">
        <v>255</v>
      </c>
      <c r="BV93" s="37" t="s">
        <v>246</v>
      </c>
      <c r="BW93" s="37" t="s">
        <v>246</v>
      </c>
      <c r="BX93" s="37" t="s">
        <v>246</v>
      </c>
      <c r="BY93" s="37" t="s">
        <v>246</v>
      </c>
      <c r="BZ93" s="37" t="s">
        <v>246</v>
      </c>
      <c r="CA93" s="123" t="s">
        <v>246</v>
      </c>
      <c r="CB93" s="223"/>
      <c r="CC93" s="37" t="s">
        <v>255</v>
      </c>
      <c r="CD93" s="37" t="s">
        <v>246</v>
      </c>
      <c r="CE93" s="37" t="s">
        <v>255</v>
      </c>
      <c r="CF93" s="37" t="s">
        <v>246</v>
      </c>
      <c r="CG93" s="37" t="s">
        <v>255</v>
      </c>
      <c r="CH93" s="37" t="s">
        <v>246</v>
      </c>
      <c r="CI93" s="37" t="s">
        <v>255</v>
      </c>
      <c r="CJ93" s="37" t="s">
        <v>255</v>
      </c>
      <c r="CK93" s="37" t="s">
        <v>246</v>
      </c>
      <c r="CL93" s="37" t="s">
        <v>255</v>
      </c>
      <c r="CM93" s="37" t="s">
        <v>255</v>
      </c>
      <c r="CN93" s="37" t="s">
        <v>255</v>
      </c>
      <c r="CO93" s="37" t="s">
        <v>255</v>
      </c>
      <c r="CP93" s="37" t="s">
        <v>255</v>
      </c>
      <c r="CQ93" s="37" t="s">
        <v>255</v>
      </c>
      <c r="CR93" s="123" t="s">
        <v>300</v>
      </c>
    </row>
    <row r="94" spans="1:96" ht="60" hidden="1" outlineLevel="2" x14ac:dyDescent="0.25">
      <c r="A94" s="136"/>
      <c r="B94" s="268" t="s">
        <v>81</v>
      </c>
      <c r="C94" s="269" t="s">
        <v>2279</v>
      </c>
      <c r="D94" s="269"/>
      <c r="E94" s="269"/>
      <c r="F94" s="269"/>
      <c r="G94" s="269"/>
      <c r="H94" s="269"/>
      <c r="I94" s="269"/>
      <c r="J94" s="269"/>
      <c r="K94" s="269"/>
      <c r="L94" s="269"/>
      <c r="M94" s="269"/>
      <c r="N94" s="235">
        <f t="shared" si="84"/>
        <v>0</v>
      </c>
      <c r="O94" s="340"/>
      <c r="P94" s="269"/>
      <c r="Q94" s="372"/>
      <c r="R94" s="371"/>
      <c r="S94" s="269"/>
      <c r="T94" s="372"/>
      <c r="U94" s="371"/>
      <c r="V94" s="269"/>
      <c r="W94" s="372"/>
      <c r="X94" s="371"/>
      <c r="Y94" s="269"/>
      <c r="Z94" s="341"/>
      <c r="AA94" s="269"/>
      <c r="AB94" s="797"/>
      <c r="AD94" s="270"/>
      <c r="AE94" s="269"/>
      <c r="AF94" s="269"/>
      <c r="AG94" s="270"/>
      <c r="AH94" s="269"/>
      <c r="AI94" s="269"/>
      <c r="AJ94" s="270"/>
      <c r="AK94" s="269"/>
      <c r="AL94" s="269"/>
      <c r="AM94" s="270"/>
      <c r="AN94" s="269"/>
      <c r="AQ94" s="202"/>
      <c r="AZ94" s="203"/>
      <c r="BF94" s="203"/>
      <c r="BK94" s="203"/>
      <c r="BP94" s="203"/>
      <c r="BQ94" s="202"/>
      <c r="CA94" s="203"/>
      <c r="CR94" s="125"/>
    </row>
    <row r="95" spans="1:96" ht="30" hidden="1" outlineLevel="2" x14ac:dyDescent="0.25">
      <c r="A95" s="136"/>
      <c r="B95" s="268" t="s">
        <v>82</v>
      </c>
      <c r="C95" s="269" t="s">
        <v>2279</v>
      </c>
      <c r="D95" s="269"/>
      <c r="E95" s="269"/>
      <c r="F95" s="269"/>
      <c r="G95" s="269"/>
      <c r="H95" s="269"/>
      <c r="I95" s="269"/>
      <c r="J95" s="269"/>
      <c r="K95" s="269"/>
      <c r="L95" s="269"/>
      <c r="M95" s="269"/>
      <c r="N95" s="235">
        <f t="shared" si="84"/>
        <v>0</v>
      </c>
      <c r="O95" s="340"/>
      <c r="P95" s="269"/>
      <c r="Q95" s="372"/>
      <c r="R95" s="371"/>
      <c r="S95" s="269"/>
      <c r="T95" s="372"/>
      <c r="U95" s="371"/>
      <c r="V95" s="269"/>
      <c r="W95" s="372"/>
      <c r="X95" s="371"/>
      <c r="Y95" s="269"/>
      <c r="Z95" s="341"/>
      <c r="AA95" s="269"/>
      <c r="AB95" s="797"/>
      <c r="AD95" s="270"/>
      <c r="AE95" s="269"/>
      <c r="AF95" s="269"/>
      <c r="AG95" s="270"/>
      <c r="AH95" s="269"/>
      <c r="AI95" s="269"/>
      <c r="AJ95" s="270"/>
      <c r="AK95" s="269"/>
      <c r="AL95" s="269"/>
      <c r="AM95" s="270"/>
      <c r="AN95" s="269"/>
      <c r="AQ95" s="202"/>
      <c r="AZ95" s="203"/>
      <c r="BF95" s="203"/>
      <c r="BK95" s="203"/>
      <c r="BP95" s="203"/>
      <c r="BQ95" s="202"/>
      <c r="CA95" s="203"/>
      <c r="CR95" s="125"/>
    </row>
    <row r="96" spans="1:96" ht="30" hidden="1" outlineLevel="2" x14ac:dyDescent="0.25">
      <c r="A96" s="136"/>
      <c r="B96" s="268" t="s">
        <v>83</v>
      </c>
      <c r="C96" s="269" t="s">
        <v>2279</v>
      </c>
      <c r="D96" s="269"/>
      <c r="E96" s="269"/>
      <c r="F96" s="269"/>
      <c r="G96" s="269"/>
      <c r="H96" s="269"/>
      <c r="I96" s="269"/>
      <c r="J96" s="269"/>
      <c r="K96" s="269"/>
      <c r="L96" s="269"/>
      <c r="M96" s="269"/>
      <c r="N96" s="235">
        <f t="shared" si="84"/>
        <v>0</v>
      </c>
      <c r="O96" s="340"/>
      <c r="P96" s="269"/>
      <c r="Q96" s="372"/>
      <c r="R96" s="371"/>
      <c r="S96" s="269"/>
      <c r="T96" s="372"/>
      <c r="U96" s="371"/>
      <c r="V96" s="269"/>
      <c r="W96" s="372"/>
      <c r="X96" s="371"/>
      <c r="Y96" s="269"/>
      <c r="Z96" s="341"/>
      <c r="AA96" s="269"/>
      <c r="AB96" s="797"/>
      <c r="AD96" s="270"/>
      <c r="AE96" s="269"/>
      <c r="AF96" s="269"/>
      <c r="AG96" s="270"/>
      <c r="AH96" s="269"/>
      <c r="AI96" s="269"/>
      <c r="AJ96" s="270"/>
      <c r="AK96" s="269"/>
      <c r="AL96" s="269"/>
      <c r="AM96" s="270"/>
      <c r="AN96" s="269"/>
      <c r="AQ96" s="202"/>
      <c r="AZ96" s="203"/>
      <c r="BF96" s="203"/>
      <c r="BK96" s="203"/>
      <c r="BP96" s="203"/>
      <c r="BQ96" s="202"/>
      <c r="CA96" s="203"/>
      <c r="CR96" s="125"/>
    </row>
    <row r="97" spans="1:96" ht="30" outlineLevel="1" collapsed="1" x14ac:dyDescent="0.25">
      <c r="A97" s="137" t="s">
        <v>420</v>
      </c>
      <c r="B97" s="117" t="s">
        <v>84</v>
      </c>
      <c r="C97" s="117"/>
      <c r="D97" s="117"/>
      <c r="E97" s="494"/>
      <c r="F97" s="109" t="s">
        <v>326</v>
      </c>
      <c r="G97" s="109" t="s">
        <v>953</v>
      </c>
      <c r="H97" s="111" t="s">
        <v>242</v>
      </c>
      <c r="I97" s="111" t="s">
        <v>242</v>
      </c>
      <c r="J97" s="111" t="s">
        <v>242</v>
      </c>
      <c r="K97" s="111" t="s">
        <v>242</v>
      </c>
      <c r="L97" s="111" t="s">
        <v>1692</v>
      </c>
      <c r="M97" s="109">
        <v>2</v>
      </c>
      <c r="N97" s="235">
        <f t="shared" si="84"/>
        <v>2</v>
      </c>
      <c r="O97" s="200" t="str">
        <f t="shared" ref="O97" si="124">IF(AC97="ДА",$M97,"")</f>
        <v/>
      </c>
      <c r="P97" s="144"/>
      <c r="Q97" s="357">
        <f>IF(AC97="ДА",ROUNDUP(O97/5,0),0)</f>
        <v>0</v>
      </c>
      <c r="R97" s="356">
        <f>IF(AF97="ДА",$M97,"")</f>
        <v>2</v>
      </c>
      <c r="S97" s="144"/>
      <c r="T97" s="357">
        <f>IF(AF97="ДА",ROUNDUP(R97/5,0),0)</f>
        <v>1</v>
      </c>
      <c r="U97" s="356" t="str">
        <f>IF(AI97="ДА",$M97,"")</f>
        <v/>
      </c>
      <c r="V97" s="144"/>
      <c r="W97" s="357">
        <f>IF(AI97="ДА",ROUNDUP(U97/5,0),0)</f>
        <v>0</v>
      </c>
      <c r="X97" s="356" t="str">
        <f>IF(AL97="ДА",$M97,"")</f>
        <v/>
      </c>
      <c r="Y97" s="144"/>
      <c r="Z97" s="201">
        <f>IF(AL97="ДА",ROUNDUP(X97/5,0),0)</f>
        <v>0</v>
      </c>
      <c r="AA97" s="388" t="str">
        <f>IF(OR(AC97="ДА",AF97="ДА",AI97="ДА",AL97="ДА"),"ДА","НЕТ")</f>
        <v>ДА</v>
      </c>
      <c r="AB97" s="388"/>
      <c r="AC97" s="37" t="str">
        <f>IF(AC$8=$BT$9,$BT97,IF(AC$8=$BS$9,$BS97,IF(AC$8=$BU$9,$BU97,IF(AC$8=$BV$9,$BV97,IF(AC$8=$BW$9,$BW97,IF(AC$8=$BX$9,$BX97,IF(AC$8=$BY$9,$BY97,IF(AC$8=$BZ$9,$BZ97,IF(AC$8=$CA$9,$CA97,IF(AC$8=$CC$9,$CC97,IF(AC$8=$CD$9,$CD97,IF(AC$8=$CE$9,$CE97,IF(AC$8=$CF$9,$CF97,IF(AC$8=$CG$9,$CG97,IF(AC$8=$CH$9,$CH97,IF(AC$8=$CI$9,$CI97,IF(AC$8=$CJ$9,$CJ97,IF(AC$8=$CK$9,$CK97,IF(AC$8=$CL$9,$CL97,IF(AC$8=$CM$9,$CM97,IF(AC$8=$CN$9,$CN97,IF(AC$8=$CO$9,$CO97,IF(AC$8=$CP$9,$CP97,IF(AC$8=$CQ$9,$CQ97,"НЕТ"))))))))))))))))))))))))</f>
        <v>НЕТ</v>
      </c>
      <c r="AD97" s="37" t="str">
        <f>IF(AC97="НЕТ","Не требуется",$CR97)</f>
        <v>Не требуется</v>
      </c>
      <c r="AE97" s="37"/>
      <c r="AF97" s="37" t="str">
        <f t="shared" ref="AF97:AL97" si="125">IF(AF$8=$BT$9,$BT97,IF(AF$8=$BS$9,$BS97,IF(AF$8=$BU$9,$BU97,IF(AF$8=$BV$9,$BV97,IF(AF$8=$BW$9,$BW97,IF(AF$8=$BX$9,$BX97,IF(AF$8=$BY$9,$BY97,IF(AF$8=$BZ$9,$BZ97,IF(AF$8=$CA$9,$CA97,IF(AF$8=$CC$9,$CC97,IF(AF$8=$CD$9,$CD97,IF(AF$8=$CE$9,$CE97,IF(AF$8=$CF$9,$CF97,IF(AF$8=$CG$9,$CG97,IF(AF$8=$CH$9,$CH97,IF(AF$8=$CI$9,$CI97,IF(AF$8=$CJ$9,$CJ97,IF(AF$8=$CK$9,$CK97,IF(AF$8=$CL$9,$CL97,IF(AF$8=$CM$9,$CM97,IF(AF$8=$CN$9,$CN97,IF(AF$8=$CO$9,$CO97,IF(AF$8=$CP$9,$CP97,IF(AF$8=$CQ$9,$CQ97,"НЕТ"))))))))))))))))))))))))</f>
        <v>ДА</v>
      </c>
      <c r="AG97" s="37" t="str">
        <f t="shared" si="125"/>
        <v>НЕТ</v>
      </c>
      <c r="AH97" s="37" t="str">
        <f t="shared" si="125"/>
        <v>НЕТ</v>
      </c>
      <c r="AI97" s="37" t="str">
        <f t="shared" si="125"/>
        <v>НЕТ</v>
      </c>
      <c r="AJ97" s="37" t="str">
        <f t="shared" si="125"/>
        <v>НЕТ</v>
      </c>
      <c r="AK97" s="37" t="str">
        <f t="shared" si="125"/>
        <v>НЕТ</v>
      </c>
      <c r="AL97" s="37" t="str">
        <f t="shared" si="125"/>
        <v>НЕТ</v>
      </c>
      <c r="AM97" s="37" t="str">
        <f>IF(AL97="НЕТ","Не требуется",$CR97)</f>
        <v>Не требуется</v>
      </c>
      <c r="AN97" s="37"/>
      <c r="AQ97" s="200"/>
      <c r="AR97" s="230"/>
      <c r="AS97" s="144" t="str">
        <f>IF(BS97="ДА",$M97,"")</f>
        <v/>
      </c>
      <c r="AT97" s="144" t="str">
        <f t="shared" ref="AT97:AV97" si="126">IF(BT97="ДА",$M97,"")</f>
        <v/>
      </c>
      <c r="AU97" s="144" t="str">
        <f t="shared" si="126"/>
        <v/>
      </c>
      <c r="AV97" s="144" t="str">
        <f t="shared" si="126"/>
        <v/>
      </c>
      <c r="AW97" s="144">
        <f>IF(BX97="ДА",$M97,"")</f>
        <v>2</v>
      </c>
      <c r="AX97" s="144">
        <f>IF(BY97="ДА",$M97,"")</f>
        <v>2</v>
      </c>
      <c r="AY97" s="144">
        <f>IF(BZ97="ДА",$M97,"")</f>
        <v>2</v>
      </c>
      <c r="AZ97" s="201">
        <f>IF(CA97="ДА",$M97,"")</f>
        <v>2</v>
      </c>
      <c r="BA97" s="235"/>
      <c r="BB97" s="144" t="str">
        <f t="shared" ref="BB97:BP97" si="127">IF(CC97="ДА",$M97,"")</f>
        <v/>
      </c>
      <c r="BC97" s="144">
        <f t="shared" si="127"/>
        <v>2</v>
      </c>
      <c r="BD97" s="144" t="str">
        <f t="shared" si="127"/>
        <v/>
      </c>
      <c r="BE97" s="144">
        <f t="shared" si="127"/>
        <v>2</v>
      </c>
      <c r="BF97" s="201" t="str">
        <f t="shared" si="127"/>
        <v/>
      </c>
      <c r="BG97" s="144">
        <f t="shared" si="127"/>
        <v>2</v>
      </c>
      <c r="BH97" s="144" t="str">
        <f t="shared" si="127"/>
        <v/>
      </c>
      <c r="BI97" s="144">
        <f t="shared" si="127"/>
        <v>2</v>
      </c>
      <c r="BJ97" s="144">
        <f t="shared" si="127"/>
        <v>2</v>
      </c>
      <c r="BK97" s="201" t="str">
        <f t="shared" si="127"/>
        <v/>
      </c>
      <c r="BL97" s="144" t="str">
        <f t="shared" si="127"/>
        <v/>
      </c>
      <c r="BM97" s="144" t="str">
        <f t="shared" si="127"/>
        <v/>
      </c>
      <c r="BN97" s="144" t="str">
        <f t="shared" si="127"/>
        <v/>
      </c>
      <c r="BO97" s="144" t="str">
        <f t="shared" si="127"/>
        <v/>
      </c>
      <c r="BP97" s="201" t="str">
        <f t="shared" si="127"/>
        <v/>
      </c>
      <c r="BQ97" s="209"/>
      <c r="BR97" s="388"/>
      <c r="BS97" s="37" t="s">
        <v>255</v>
      </c>
      <c r="BT97" s="37" t="s">
        <v>255</v>
      </c>
      <c r="BU97" s="37" t="s">
        <v>255</v>
      </c>
      <c r="BV97" s="37" t="s">
        <v>255</v>
      </c>
      <c r="BW97" s="37" t="s">
        <v>255</v>
      </c>
      <c r="BX97" s="37" t="s">
        <v>246</v>
      </c>
      <c r="BY97" s="37" t="s">
        <v>246</v>
      </c>
      <c r="BZ97" s="37" t="s">
        <v>246</v>
      </c>
      <c r="CA97" s="123" t="s">
        <v>246</v>
      </c>
      <c r="CB97" s="223"/>
      <c r="CC97" s="37" t="s">
        <v>255</v>
      </c>
      <c r="CD97" s="37" t="s">
        <v>246</v>
      </c>
      <c r="CE97" s="37" t="s">
        <v>255</v>
      </c>
      <c r="CF97" s="37" t="s">
        <v>246</v>
      </c>
      <c r="CG97" s="37" t="s">
        <v>255</v>
      </c>
      <c r="CH97" s="37" t="s">
        <v>246</v>
      </c>
      <c r="CI97" s="37" t="s">
        <v>255</v>
      </c>
      <c r="CJ97" s="37" t="s">
        <v>246</v>
      </c>
      <c r="CK97" s="37" t="s">
        <v>246</v>
      </c>
      <c r="CL97" s="37" t="s">
        <v>255</v>
      </c>
      <c r="CM97" s="37" t="s">
        <v>255</v>
      </c>
      <c r="CN97" s="37" t="s">
        <v>255</v>
      </c>
      <c r="CO97" s="37" t="s">
        <v>255</v>
      </c>
      <c r="CP97" s="37" t="s">
        <v>255</v>
      </c>
      <c r="CQ97" s="37" t="s">
        <v>255</v>
      </c>
      <c r="CR97" s="123" t="s">
        <v>302</v>
      </c>
    </row>
    <row r="98" spans="1:96" ht="110.25" hidden="1" outlineLevel="2" x14ac:dyDescent="0.25">
      <c r="A98" s="136"/>
      <c r="B98" s="271" t="s">
        <v>570</v>
      </c>
      <c r="C98" s="1027" t="s">
        <v>2280</v>
      </c>
      <c r="D98" s="272"/>
      <c r="E98" s="272"/>
      <c r="F98" s="272"/>
      <c r="G98" s="272"/>
      <c r="H98" s="272"/>
      <c r="I98" s="272"/>
      <c r="J98" s="272"/>
      <c r="K98" s="272"/>
      <c r="L98" s="272"/>
      <c r="M98" s="272"/>
      <c r="N98" s="235">
        <f t="shared" si="84"/>
        <v>0</v>
      </c>
      <c r="O98" s="342"/>
      <c r="P98" s="272"/>
      <c r="Q98" s="374"/>
      <c r="R98" s="373"/>
      <c r="S98" s="272"/>
      <c r="T98" s="374"/>
      <c r="U98" s="373"/>
      <c r="V98" s="272"/>
      <c r="W98" s="374"/>
      <c r="X98" s="373"/>
      <c r="Y98" s="272"/>
      <c r="Z98" s="343"/>
      <c r="AA98" s="272"/>
      <c r="AB98" s="798"/>
      <c r="AD98" s="273"/>
      <c r="AE98" s="272"/>
      <c r="AF98" s="272"/>
      <c r="AG98" s="273"/>
      <c r="AH98" s="272"/>
      <c r="AI98" s="272"/>
      <c r="AJ98" s="273"/>
      <c r="AK98" s="272"/>
      <c r="AL98" s="272"/>
      <c r="AM98" s="273"/>
      <c r="AN98" s="272"/>
      <c r="AQ98" s="202"/>
      <c r="AZ98" s="203"/>
      <c r="BF98" s="203"/>
      <c r="BK98" s="203"/>
      <c r="BP98" s="203"/>
      <c r="BQ98" s="202"/>
      <c r="CA98" s="203"/>
      <c r="CR98" s="122"/>
    </row>
    <row r="99" spans="1:96" ht="30" outlineLevel="1" x14ac:dyDescent="0.25">
      <c r="A99" s="112" t="s">
        <v>1676</v>
      </c>
      <c r="B99" s="120" t="s">
        <v>228</v>
      </c>
      <c r="C99" s="861" t="s">
        <v>243</v>
      </c>
      <c r="D99" s="120"/>
      <c r="E99" s="121"/>
      <c r="F99" s="35" t="s">
        <v>225</v>
      </c>
      <c r="G99" s="120" t="s">
        <v>579</v>
      </c>
      <c r="H99" s="111" t="s">
        <v>1693</v>
      </c>
      <c r="I99" s="111" t="s">
        <v>1693</v>
      </c>
      <c r="J99" s="111" t="s">
        <v>1693</v>
      </c>
      <c r="K99" s="111" t="s">
        <v>1693</v>
      </c>
      <c r="L99" s="111" t="s">
        <v>1693</v>
      </c>
      <c r="M99" s="34">
        <v>10</v>
      </c>
      <c r="N99" s="235">
        <f t="shared" si="84"/>
        <v>0</v>
      </c>
      <c r="O99" s="200" t="str">
        <f t="shared" ref="O99" si="128">IF(AC99="ДА",$M99,"")</f>
        <v/>
      </c>
      <c r="P99" s="144"/>
      <c r="Q99" s="357">
        <f>IF(AC99="ДА",ROUNDUP(O99/5,0),0)</f>
        <v>0</v>
      </c>
      <c r="R99" s="356" t="str">
        <f>IF(AF99="ДА",$M99,"")</f>
        <v/>
      </c>
      <c r="S99" s="144"/>
      <c r="T99" s="357">
        <f>IF(AF99="ДА",ROUNDUP(R99/5,0),0)</f>
        <v>0</v>
      </c>
      <c r="U99" s="356" t="str">
        <f>IF(AI99="ДА",$M99,"")</f>
        <v/>
      </c>
      <c r="V99" s="144"/>
      <c r="W99" s="357">
        <f>IF(AI99="ДА",ROUNDUP(U99/5,0),0)</f>
        <v>0</v>
      </c>
      <c r="X99" s="356" t="str">
        <f>IF(AL99="ДА",$M99,"")</f>
        <v/>
      </c>
      <c r="Y99" s="144"/>
      <c r="Z99" s="201">
        <f>IF(AL99="ДА",ROUNDUP(X99/5,0),0)</f>
        <v>0</v>
      </c>
      <c r="AA99" s="388" t="str">
        <f>IF(OR(AC99="ДА",AF99="ДА",AI99="ДА",AL99="ДА"),"ДА","НЕТ")</f>
        <v>НЕТ</v>
      </c>
      <c r="AB99" s="388"/>
      <c r="AC99" s="37" t="str">
        <f>IF(AC$8=$BT$9,$BT99,IF(AC$8=$BS$9,$BS99,IF(AC$8=$BU$9,$BU99,IF(AC$8=$BV$9,$BV99,IF(AC$8=$BW$9,$BW99,IF(AC$8=$BX$9,$BX99,IF(AC$8=$BY$9,$BY99,IF(AC$8=$BZ$9,$BZ99,IF(AC$8=$CA$9,$CA99,IF(AC$8=$CC$9,$CC99,IF(AC$8=$CD$9,$CD99,IF(AC$8=$CE$9,$CE99,IF(AC$8=$CF$9,$CF99,IF(AC$8=$CG$9,$CG99,IF(AC$8=$CH$9,$CH99,IF(AC$8=$CI$9,$CI99,IF(AC$8=$CJ$9,$CJ99,IF(AC$8=$CK$9,$CK99,IF(AC$8=$CL$9,$CL99,IF(AC$8=$CM$9,$CM99,IF(AC$8=$CN$9,$CN99,IF(AC$8=$CO$9,$CO99,IF(AC$8=$CP$9,$CP99,IF(AC$8=$CQ$9,$CQ99,"НЕТ"))))))))))))))))))))))))</f>
        <v>НЕТ</v>
      </c>
      <c r="AD99" s="37" t="str">
        <f>IF(AC99="НЕТ","Не требуется",$CR99)</f>
        <v>Не требуется</v>
      </c>
      <c r="AE99" s="37"/>
      <c r="AF99" s="37" t="str">
        <f t="shared" ref="AF99:AL99" si="129">IF(AF$8=$BT$9,$BT99,IF(AF$8=$BS$9,$BS99,IF(AF$8=$BU$9,$BU99,IF(AF$8=$BV$9,$BV99,IF(AF$8=$BW$9,$BW99,IF(AF$8=$BX$9,$BX99,IF(AF$8=$BY$9,$BY99,IF(AF$8=$BZ$9,$BZ99,IF(AF$8=$CA$9,$CA99,IF(AF$8=$CC$9,$CC99,IF(AF$8=$CD$9,$CD99,IF(AF$8=$CE$9,$CE99,IF(AF$8=$CF$9,$CF99,IF(AF$8=$CG$9,$CG99,IF(AF$8=$CH$9,$CH99,IF(AF$8=$CI$9,$CI99,IF(AF$8=$CJ$9,$CJ99,IF(AF$8=$CK$9,$CK99,IF(AF$8=$CL$9,$CL99,IF(AF$8=$CM$9,$CM99,IF(AF$8=$CN$9,$CN99,IF(AF$8=$CO$9,$CO99,IF(AF$8=$CP$9,$CP99,IF(AF$8=$CQ$9,$CQ99,"НЕТ"))))))))))))))))))))))))</f>
        <v>НЕТ</v>
      </c>
      <c r="AG99" s="37" t="str">
        <f t="shared" si="129"/>
        <v>НЕТ</v>
      </c>
      <c r="AH99" s="37" t="str">
        <f t="shared" si="129"/>
        <v>НЕТ</v>
      </c>
      <c r="AI99" s="37" t="str">
        <f t="shared" si="129"/>
        <v>НЕТ</v>
      </c>
      <c r="AJ99" s="37" t="str">
        <f t="shared" si="129"/>
        <v>НЕТ</v>
      </c>
      <c r="AK99" s="37" t="str">
        <f t="shared" si="129"/>
        <v>НЕТ</v>
      </c>
      <c r="AL99" s="37" t="str">
        <f t="shared" si="129"/>
        <v>НЕТ</v>
      </c>
      <c r="AM99" s="37" t="str">
        <f>IF(AL99="НЕТ","Не требуется",$CR99)</f>
        <v>Не требуется</v>
      </c>
      <c r="AN99" s="37"/>
      <c r="AQ99" s="200"/>
      <c r="AR99" s="230"/>
      <c r="AS99" s="144" t="str">
        <f>IF(BS99="ДА",$M99,"")</f>
        <v/>
      </c>
      <c r="AT99" s="144" t="str">
        <f t="shared" ref="AT99:AV99" si="130">IF(BT99="ДА",$M99,"")</f>
        <v/>
      </c>
      <c r="AU99" s="144" t="str">
        <f t="shared" si="130"/>
        <v/>
      </c>
      <c r="AV99" s="144" t="str">
        <f t="shared" si="130"/>
        <v/>
      </c>
      <c r="AW99" s="144" t="str">
        <f>IF(BX99="ДА",$M99,"")</f>
        <v/>
      </c>
      <c r="AX99" s="144" t="str">
        <f>IF(BY99="ДА",$M99,"")</f>
        <v/>
      </c>
      <c r="AY99" s="144" t="str">
        <f>IF(BZ99="ДА",$M99,"")</f>
        <v/>
      </c>
      <c r="AZ99" s="201" t="str">
        <f>IF(CA99="ДА",$M99,"")</f>
        <v/>
      </c>
      <c r="BA99" s="235"/>
      <c r="BB99" s="144" t="str">
        <f t="shared" ref="BB99:BP99" si="131">IF(CC99="ДА",$M99,"")</f>
        <v/>
      </c>
      <c r="BC99" s="144" t="str">
        <f t="shared" si="131"/>
        <v/>
      </c>
      <c r="BD99" s="144" t="str">
        <f t="shared" si="131"/>
        <v/>
      </c>
      <c r="BE99" s="144" t="str">
        <f t="shared" si="131"/>
        <v/>
      </c>
      <c r="BF99" s="201" t="str">
        <f t="shared" si="131"/>
        <v/>
      </c>
      <c r="BG99" s="144" t="str">
        <f t="shared" si="131"/>
        <v/>
      </c>
      <c r="BH99" s="144" t="str">
        <f t="shared" si="131"/>
        <v/>
      </c>
      <c r="BI99" s="144" t="str">
        <f t="shared" si="131"/>
        <v/>
      </c>
      <c r="BJ99" s="144">
        <f t="shared" si="131"/>
        <v>10</v>
      </c>
      <c r="BK99" s="201" t="str">
        <f t="shared" si="131"/>
        <v/>
      </c>
      <c r="BL99" s="144" t="str">
        <f t="shared" si="131"/>
        <v/>
      </c>
      <c r="BM99" s="144" t="str">
        <f t="shared" si="131"/>
        <v/>
      </c>
      <c r="BN99" s="144" t="str">
        <f t="shared" si="131"/>
        <v/>
      </c>
      <c r="BO99" s="144" t="str">
        <f t="shared" si="131"/>
        <v/>
      </c>
      <c r="BP99" s="201" t="str">
        <f t="shared" si="131"/>
        <v/>
      </c>
      <c r="BQ99" s="209"/>
      <c r="BR99" s="388"/>
      <c r="BS99" s="37" t="s">
        <v>255</v>
      </c>
      <c r="BT99" s="37" t="s">
        <v>255</v>
      </c>
      <c r="BU99" s="37" t="s">
        <v>255</v>
      </c>
      <c r="BV99" s="37" t="s">
        <v>255</v>
      </c>
      <c r="BW99" s="37" t="s">
        <v>255</v>
      </c>
      <c r="BX99" s="37" t="s">
        <v>255</v>
      </c>
      <c r="BY99" s="37" t="s">
        <v>255</v>
      </c>
      <c r="BZ99" s="37" t="s">
        <v>255</v>
      </c>
      <c r="CA99" s="123" t="s">
        <v>255</v>
      </c>
      <c r="CB99" s="223"/>
      <c r="CC99" s="37" t="s">
        <v>255</v>
      </c>
      <c r="CD99" s="37" t="s">
        <v>255</v>
      </c>
      <c r="CE99" s="37" t="s">
        <v>255</v>
      </c>
      <c r="CF99" s="37" t="s">
        <v>255</v>
      </c>
      <c r="CG99" s="37" t="s">
        <v>255</v>
      </c>
      <c r="CH99" s="37" t="s">
        <v>255</v>
      </c>
      <c r="CI99" s="37" t="s">
        <v>255</v>
      </c>
      <c r="CJ99" s="37" t="s">
        <v>255</v>
      </c>
      <c r="CK99" s="37" t="s">
        <v>246</v>
      </c>
      <c r="CL99" s="37" t="s">
        <v>255</v>
      </c>
      <c r="CM99" s="37" t="s">
        <v>255</v>
      </c>
      <c r="CN99" s="37" t="s">
        <v>255</v>
      </c>
      <c r="CO99" s="37" t="s">
        <v>255</v>
      </c>
      <c r="CP99" s="37" t="s">
        <v>255</v>
      </c>
      <c r="CQ99" s="37" t="s">
        <v>255</v>
      </c>
      <c r="CR99" s="123" t="s">
        <v>302</v>
      </c>
    </row>
    <row r="100" spans="1:96" ht="15.75" x14ac:dyDescent="0.25">
      <c r="A100" s="54" t="s">
        <v>421</v>
      </c>
      <c r="B100" s="119" t="s">
        <v>86</v>
      </c>
      <c r="C100" s="119"/>
      <c r="D100" s="119"/>
      <c r="E100" s="493"/>
      <c r="F100" s="49" t="s">
        <v>221</v>
      </c>
      <c r="G100" s="49" t="s">
        <v>221</v>
      </c>
      <c r="H100" s="49" t="s">
        <v>221</v>
      </c>
      <c r="I100" s="49" t="s">
        <v>221</v>
      </c>
      <c r="J100" s="49" t="s">
        <v>221</v>
      </c>
      <c r="K100" s="49" t="s">
        <v>221</v>
      </c>
      <c r="L100" s="49" t="s">
        <v>221</v>
      </c>
      <c r="M100" s="81">
        <f t="shared" ref="M100:Z100" si="132">SUM(M101,M107,M115,M120,M130,M134,M137,M141,M144,M146)</f>
        <v>26</v>
      </c>
      <c r="N100" s="81">
        <f t="shared" si="132"/>
        <v>27</v>
      </c>
      <c r="O100" s="81">
        <f t="shared" si="132"/>
        <v>0</v>
      </c>
      <c r="P100" s="81">
        <f t="shared" si="132"/>
        <v>0</v>
      </c>
      <c r="Q100" s="81">
        <f t="shared" si="132"/>
        <v>0</v>
      </c>
      <c r="R100" s="81">
        <f t="shared" si="132"/>
        <v>22</v>
      </c>
      <c r="S100" s="81">
        <f t="shared" si="132"/>
        <v>0</v>
      </c>
      <c r="T100" s="81">
        <f t="shared" si="132"/>
        <v>8</v>
      </c>
      <c r="U100" s="81">
        <f t="shared" si="132"/>
        <v>5</v>
      </c>
      <c r="V100" s="81">
        <f t="shared" si="132"/>
        <v>0</v>
      </c>
      <c r="W100" s="81">
        <f t="shared" si="132"/>
        <v>4</v>
      </c>
      <c r="X100" s="81">
        <f t="shared" si="132"/>
        <v>0</v>
      </c>
      <c r="Y100" s="81">
        <f t="shared" si="132"/>
        <v>0</v>
      </c>
      <c r="Z100" s="81">
        <f t="shared" si="132"/>
        <v>0</v>
      </c>
      <c r="AA100" s="387" t="str">
        <f>IF(N100&gt;0,"ДА","НЕТ")</f>
        <v>ДА</v>
      </c>
      <c r="AB100" s="387"/>
      <c r="AC100" s="140" t="str">
        <f>IF(O100&gt;0,"ДА","НЕТ")</f>
        <v>НЕТ</v>
      </c>
      <c r="AD100" s="118"/>
      <c r="AE100" s="140"/>
      <c r="AF100" s="140" t="str">
        <f>IF(R100&gt;0,"ДА","НЕТ")</f>
        <v>ДА</v>
      </c>
      <c r="AG100" s="118"/>
      <c r="AH100" s="140"/>
      <c r="AI100" s="140" t="str">
        <f>IF(U100&gt;0,"ДА","НЕТ")</f>
        <v>ДА</v>
      </c>
      <c r="AJ100" s="118"/>
      <c r="AK100" s="140"/>
      <c r="AL100" s="140" t="str">
        <f>IF(X100&gt;0,"ДА","НЕТ")</f>
        <v>НЕТ</v>
      </c>
      <c r="AM100" s="118"/>
      <c r="AN100" s="140"/>
      <c r="AQ100" s="199"/>
      <c r="AR100" s="229"/>
      <c r="AS100" s="49">
        <f>SUM(AS101,AS107,AS115,AS120,AS130,AS141,AS144,AS146)</f>
        <v>5</v>
      </c>
      <c r="AT100" s="49">
        <f t="shared" ref="AT100:AV100" si="133">SUM(AT101,AT107,AT115,AT120,AT130,AT141,AT144,AT146)</f>
        <v>2</v>
      </c>
      <c r="AU100" s="49">
        <f t="shared" si="133"/>
        <v>0</v>
      </c>
      <c r="AV100" s="49">
        <f t="shared" si="133"/>
        <v>5</v>
      </c>
      <c r="AW100" s="49">
        <f>SUM(AW101,AW107,AW115,AW120,AW130,AW141,AW144,AW146)</f>
        <v>9</v>
      </c>
      <c r="AX100" s="49">
        <f>SUM(AX101,AX107,AX115,AX120,AX130,AX141,AX144,AX146)</f>
        <v>12</v>
      </c>
      <c r="AY100" s="49">
        <f>SUM(AY101,AY107,AY115,AY120,AY130,AY141,AY144,AY146)</f>
        <v>12</v>
      </c>
      <c r="AZ100" s="52">
        <f>SUM(AZ101,AZ107,AZ115,AZ120,AZ130,AZ141,AZ144,AZ146)</f>
        <v>14</v>
      </c>
      <c r="BA100" s="81"/>
      <c r="BB100" s="49">
        <f t="shared" ref="BB100:BP100" si="134">SUM(BB101,BB107,BB115,BB120,BB130,BB141,BB144,BB146)</f>
        <v>9</v>
      </c>
      <c r="BC100" s="49">
        <f t="shared" si="134"/>
        <v>11</v>
      </c>
      <c r="BD100" s="49">
        <f t="shared" si="134"/>
        <v>12</v>
      </c>
      <c r="BE100" s="49">
        <f t="shared" si="134"/>
        <v>2</v>
      </c>
      <c r="BF100" s="52">
        <f t="shared" si="134"/>
        <v>0</v>
      </c>
      <c r="BG100" s="49">
        <f t="shared" si="134"/>
        <v>9</v>
      </c>
      <c r="BH100" s="49">
        <f t="shared" si="134"/>
        <v>5</v>
      </c>
      <c r="BI100" s="49">
        <f t="shared" si="134"/>
        <v>7</v>
      </c>
      <c r="BJ100" s="49">
        <f t="shared" si="134"/>
        <v>2</v>
      </c>
      <c r="BK100" s="52">
        <f t="shared" si="134"/>
        <v>5</v>
      </c>
      <c r="BL100" s="49">
        <f t="shared" si="134"/>
        <v>2</v>
      </c>
      <c r="BM100" s="49">
        <f t="shared" si="134"/>
        <v>0</v>
      </c>
      <c r="BN100" s="49">
        <f t="shared" si="134"/>
        <v>0</v>
      </c>
      <c r="BO100" s="49">
        <f t="shared" si="134"/>
        <v>0</v>
      </c>
      <c r="BP100" s="52">
        <f t="shared" si="134"/>
        <v>0</v>
      </c>
      <c r="BQ100" s="209"/>
      <c r="BR100" s="388"/>
      <c r="BS100" s="140" t="str">
        <f t="shared" ref="BS100:BV100" si="135">IF(AS100&gt;0,"ДА","НЕТ")</f>
        <v>ДА</v>
      </c>
      <c r="BT100" s="140" t="str">
        <f t="shared" si="135"/>
        <v>ДА</v>
      </c>
      <c r="BU100" s="140" t="str">
        <f t="shared" si="135"/>
        <v>НЕТ</v>
      </c>
      <c r="BV100" s="140" t="str">
        <f t="shared" si="135"/>
        <v>ДА</v>
      </c>
      <c r="BW100" s="140" t="str">
        <f>IF(AS100&gt;0,"ДА","НЕТ")</f>
        <v>ДА</v>
      </c>
      <c r="BX100" s="140" t="str">
        <f>IF(AW100&gt;0,"ДА","НЕТ")</f>
        <v>ДА</v>
      </c>
      <c r="BY100" s="140" t="str">
        <f>IF(AX100&gt;0,"ДА","НЕТ")</f>
        <v>ДА</v>
      </c>
      <c r="BZ100" s="140" t="str">
        <f>IF(AY100&gt;0,"ДА","НЕТ")</f>
        <v>ДА</v>
      </c>
      <c r="CA100" s="208" t="str">
        <f>IF(AZ100&gt;0,"ДА","НЕТ")</f>
        <v>ДА</v>
      </c>
      <c r="CB100" s="222"/>
      <c r="CC100" s="140" t="str">
        <f t="shared" ref="CC100:CQ100" si="136">IF(BB100&gt;0,"ДА","НЕТ")</f>
        <v>ДА</v>
      </c>
      <c r="CD100" s="140" t="str">
        <f t="shared" si="136"/>
        <v>ДА</v>
      </c>
      <c r="CE100" s="140" t="str">
        <f t="shared" si="136"/>
        <v>ДА</v>
      </c>
      <c r="CF100" s="140" t="str">
        <f t="shared" si="136"/>
        <v>ДА</v>
      </c>
      <c r="CG100" s="140" t="str">
        <f t="shared" si="136"/>
        <v>НЕТ</v>
      </c>
      <c r="CH100" s="140" t="str">
        <f t="shared" si="136"/>
        <v>ДА</v>
      </c>
      <c r="CI100" s="140" t="str">
        <f t="shared" si="136"/>
        <v>ДА</v>
      </c>
      <c r="CJ100" s="140" t="str">
        <f t="shared" si="136"/>
        <v>ДА</v>
      </c>
      <c r="CK100" s="140" t="str">
        <f t="shared" si="136"/>
        <v>ДА</v>
      </c>
      <c r="CL100" s="140" t="str">
        <f t="shared" si="136"/>
        <v>ДА</v>
      </c>
      <c r="CM100" s="140" t="str">
        <f t="shared" si="136"/>
        <v>ДА</v>
      </c>
      <c r="CN100" s="140" t="str">
        <f t="shared" si="136"/>
        <v>НЕТ</v>
      </c>
      <c r="CO100" s="140" t="str">
        <f t="shared" si="136"/>
        <v>НЕТ</v>
      </c>
      <c r="CP100" s="140" t="str">
        <f t="shared" si="136"/>
        <v>НЕТ</v>
      </c>
      <c r="CQ100" s="140" t="str">
        <f t="shared" si="136"/>
        <v>НЕТ</v>
      </c>
      <c r="CR100" s="122"/>
    </row>
    <row r="101" spans="1:96" ht="126" outlineLevel="1" collapsed="1" x14ac:dyDescent="0.25">
      <c r="A101" s="131" t="s">
        <v>422</v>
      </c>
      <c r="B101" s="113" t="s">
        <v>87</v>
      </c>
      <c r="C101" s="1028" t="s">
        <v>2281</v>
      </c>
      <c r="D101" s="113"/>
      <c r="E101" s="490"/>
      <c r="F101" s="110" t="s">
        <v>222</v>
      </c>
      <c r="G101" s="111" t="s">
        <v>563</v>
      </c>
      <c r="H101" s="111" t="s">
        <v>242</v>
      </c>
      <c r="I101" s="111" t="s">
        <v>242</v>
      </c>
      <c r="J101" s="111" t="s">
        <v>242</v>
      </c>
      <c r="K101" s="111" t="s">
        <v>242</v>
      </c>
      <c r="L101" s="111" t="s">
        <v>242</v>
      </c>
      <c r="M101" s="110">
        <v>1</v>
      </c>
      <c r="N101" s="235">
        <f t="shared" ref="N101:N146" si="137">SUM(O101,R101,U101,X101)</f>
        <v>2</v>
      </c>
      <c r="O101" s="200" t="str">
        <f t="shared" ref="O101" si="138">IF(AC101="ДА",$M101,"")</f>
        <v/>
      </c>
      <c r="P101" s="144"/>
      <c r="Q101" s="357">
        <f>IF(AC101="ДА",ROUNDUP(O101/5,0),0)</f>
        <v>0</v>
      </c>
      <c r="R101" s="356">
        <f>IF(AF101="ДА",$M101,"")</f>
        <v>1</v>
      </c>
      <c r="S101" s="144"/>
      <c r="T101" s="357">
        <f>IF(AF101="ДА",ROUNDUP(R101/5,0),0)</f>
        <v>1</v>
      </c>
      <c r="U101" s="356">
        <f>IF(AI101="ДА",$M101,"")</f>
        <v>1</v>
      </c>
      <c r="V101" s="144"/>
      <c r="W101" s="357">
        <f>IF(AI101="ДА",ROUNDUP(U101/5,0),0)</f>
        <v>1</v>
      </c>
      <c r="X101" s="356" t="str">
        <f>IF(AL101="ДА",$M101,"")</f>
        <v/>
      </c>
      <c r="Y101" s="144"/>
      <c r="Z101" s="201">
        <f>IF(AL101="ДА",ROUNDUP(X101/5,0),0)</f>
        <v>0</v>
      </c>
      <c r="AA101" s="388" t="str">
        <f>IF(OR(AC101="ДА",AF101="ДА",AI101="ДА",AL101="ДА"),"ДА","НЕТ")</f>
        <v>ДА</v>
      </c>
      <c r="AB101" s="388"/>
      <c r="AC101" s="37" t="str">
        <f>IF(AC$8=$BT$9,$BT101,IF(AC$8=$BS$9,$BS101,IF(AC$8=$BU$9,$BU101,IF(AC$8=$BV$9,$BV101,IF(AC$8=$BW$9,$BW101,IF(AC$8=$BX$9,$BX101,IF(AC$8=$BY$9,$BY101,IF(AC$8=$BZ$9,$BZ101,IF(AC$8=$CA$9,$CA101,IF(AC$8=$CC$9,$CC101,IF(AC$8=$CD$9,$CD101,IF(AC$8=$CE$9,$CE101,IF(AC$8=$CF$9,$CF101,IF(AC$8=$CG$9,$CG101,IF(AC$8=$CH$9,$CH101,IF(AC$8=$CI$9,$CI101,IF(AC$8=$CJ$9,$CJ101,IF(AC$8=$CK$9,$CK101,IF(AC$8=$CL$9,$CL101,IF(AC$8=$CM$9,$CM101,IF(AC$8=$CN$9,$CN101,IF(AC$8=$CO$9,$CO101,IF(AC$8=$CP$9,$CP101,IF(AC$8=$CQ$9,$CQ101,"НЕТ"))))))))))))))))))))))))</f>
        <v>НЕТ</v>
      </c>
      <c r="AD101" s="37" t="str">
        <f>IF(AC101="НЕТ","Не требуется",$CR101)</f>
        <v>Не требуется</v>
      </c>
      <c r="AE101" s="37"/>
      <c r="AF101" s="37" t="str">
        <f t="shared" ref="AF101:AL101" si="139">IF(AF$8=$BT$9,$BT101,IF(AF$8=$BS$9,$BS101,IF(AF$8=$BU$9,$BU101,IF(AF$8=$BV$9,$BV101,IF(AF$8=$BW$9,$BW101,IF(AF$8=$BX$9,$BX101,IF(AF$8=$BY$9,$BY101,IF(AF$8=$BZ$9,$BZ101,IF(AF$8=$CA$9,$CA101,IF(AF$8=$CC$9,$CC101,IF(AF$8=$CD$9,$CD101,IF(AF$8=$CE$9,$CE101,IF(AF$8=$CF$9,$CF101,IF(AF$8=$CG$9,$CG101,IF(AF$8=$CH$9,$CH101,IF(AF$8=$CI$9,$CI101,IF(AF$8=$CJ$9,$CJ101,IF(AF$8=$CK$9,$CK101,IF(AF$8=$CL$9,$CL101,IF(AF$8=$CM$9,$CM101,IF(AF$8=$CN$9,$CN101,IF(AF$8=$CO$9,$CO101,IF(AF$8=$CP$9,$CP101,IF(AF$8=$CQ$9,$CQ101,"НЕТ"))))))))))))))))))))))))</f>
        <v>ДА</v>
      </c>
      <c r="AG101" s="37" t="str">
        <f t="shared" si="139"/>
        <v>НЕТ</v>
      </c>
      <c r="AH101" s="37" t="str">
        <f t="shared" si="139"/>
        <v>НЕТ</v>
      </c>
      <c r="AI101" s="37" t="str">
        <f t="shared" si="139"/>
        <v>ДА</v>
      </c>
      <c r="AJ101" s="37" t="str">
        <f t="shared" si="139"/>
        <v>НЕТ</v>
      </c>
      <c r="AK101" s="37" t="str">
        <f t="shared" si="139"/>
        <v>НЕТ</v>
      </c>
      <c r="AL101" s="37" t="str">
        <f t="shared" si="139"/>
        <v>НЕТ</v>
      </c>
      <c r="AM101" s="37" t="str">
        <f>IF(AL101="НЕТ","Не требуется",$CR101)</f>
        <v>Не требуется</v>
      </c>
      <c r="AN101" s="37"/>
      <c r="AQ101" s="200"/>
      <c r="AR101" s="230"/>
      <c r="AS101" s="144">
        <f>IF(BS101="ДА",$M101,"")</f>
        <v>1</v>
      </c>
      <c r="AT101" s="144">
        <f t="shared" ref="AT101:AV101" si="140">IF(BT101="ДА",$M101,"")</f>
        <v>1</v>
      </c>
      <c r="AU101" s="144" t="str">
        <f t="shared" si="140"/>
        <v/>
      </c>
      <c r="AV101" s="144">
        <f t="shared" si="140"/>
        <v>1</v>
      </c>
      <c r="AW101" s="144">
        <f>IF(BX101="ДА",$M101,"")</f>
        <v>1</v>
      </c>
      <c r="AX101" s="144">
        <f>IF(BY101="ДА",$M101,"")</f>
        <v>1</v>
      </c>
      <c r="AY101" s="144">
        <f>IF(BZ101="ДА",$M101,"")</f>
        <v>1</v>
      </c>
      <c r="AZ101" s="201">
        <f>IF(CA101="ДА",$M101,"")</f>
        <v>1</v>
      </c>
      <c r="BA101" s="235"/>
      <c r="BB101" s="144">
        <f t="shared" ref="BB101:BP101" si="141">IF(CC101="ДА",$M101,"")</f>
        <v>1</v>
      </c>
      <c r="BC101" s="144">
        <f t="shared" si="141"/>
        <v>1</v>
      </c>
      <c r="BD101" s="144">
        <f t="shared" si="141"/>
        <v>1</v>
      </c>
      <c r="BE101" s="144">
        <f t="shared" si="141"/>
        <v>1</v>
      </c>
      <c r="BF101" s="201" t="str">
        <f t="shared" si="141"/>
        <v/>
      </c>
      <c r="BG101" s="144">
        <f t="shared" si="141"/>
        <v>1</v>
      </c>
      <c r="BH101" s="144" t="str">
        <f t="shared" si="141"/>
        <v/>
      </c>
      <c r="BI101" s="144">
        <f t="shared" si="141"/>
        <v>1</v>
      </c>
      <c r="BJ101" s="144" t="str">
        <f t="shared" si="141"/>
        <v/>
      </c>
      <c r="BK101" s="201">
        <f t="shared" si="141"/>
        <v>1</v>
      </c>
      <c r="BL101" s="144">
        <f t="shared" si="141"/>
        <v>1</v>
      </c>
      <c r="BM101" s="144" t="str">
        <f t="shared" si="141"/>
        <v/>
      </c>
      <c r="BN101" s="144" t="str">
        <f t="shared" si="141"/>
        <v/>
      </c>
      <c r="BO101" s="144" t="str">
        <f t="shared" si="141"/>
        <v/>
      </c>
      <c r="BP101" s="201" t="str">
        <f t="shared" si="141"/>
        <v/>
      </c>
      <c r="BQ101" s="209"/>
      <c r="BR101" s="388"/>
      <c r="BS101" s="37" t="s">
        <v>246</v>
      </c>
      <c r="BT101" s="37" t="s">
        <v>246</v>
      </c>
      <c r="BU101" s="37" t="s">
        <v>255</v>
      </c>
      <c r="BV101" s="37" t="s">
        <v>246</v>
      </c>
      <c r="BW101" s="37" t="s">
        <v>246</v>
      </c>
      <c r="BX101" s="37" t="s">
        <v>246</v>
      </c>
      <c r="BY101" s="37" t="s">
        <v>246</v>
      </c>
      <c r="BZ101" s="37" t="s">
        <v>246</v>
      </c>
      <c r="CA101" s="123" t="s">
        <v>246</v>
      </c>
      <c r="CB101" s="223"/>
      <c r="CC101" s="37" t="s">
        <v>246</v>
      </c>
      <c r="CD101" s="37" t="s">
        <v>246</v>
      </c>
      <c r="CE101" s="37" t="s">
        <v>246</v>
      </c>
      <c r="CF101" s="37" t="s">
        <v>246</v>
      </c>
      <c r="CG101" s="37" t="s">
        <v>255</v>
      </c>
      <c r="CH101" s="37" t="s">
        <v>246</v>
      </c>
      <c r="CI101" s="37" t="s">
        <v>255</v>
      </c>
      <c r="CJ101" s="37" t="s">
        <v>246</v>
      </c>
      <c r="CK101" s="37" t="s">
        <v>255</v>
      </c>
      <c r="CL101" s="37" t="s">
        <v>246</v>
      </c>
      <c r="CM101" s="37" t="s">
        <v>246</v>
      </c>
      <c r="CN101" s="37" t="s">
        <v>255</v>
      </c>
      <c r="CO101" s="37" t="s">
        <v>255</v>
      </c>
      <c r="CP101" s="37" t="s">
        <v>255</v>
      </c>
      <c r="CQ101" s="37" t="s">
        <v>255</v>
      </c>
      <c r="CR101" s="123" t="s">
        <v>300</v>
      </c>
    </row>
    <row r="102" spans="1:96" ht="60" hidden="1" outlineLevel="2" x14ac:dyDescent="0.25">
      <c r="A102" s="133"/>
      <c r="B102" s="250" t="s">
        <v>88</v>
      </c>
      <c r="C102" s="251" t="s">
        <v>2282</v>
      </c>
      <c r="D102" s="251"/>
      <c r="E102" s="251"/>
      <c r="F102" s="251"/>
      <c r="G102" s="251"/>
      <c r="H102" s="251"/>
      <c r="I102" s="251"/>
      <c r="J102" s="251"/>
      <c r="K102" s="251"/>
      <c r="L102" s="251"/>
      <c r="M102" s="251"/>
      <c r="N102" s="235">
        <f t="shared" si="137"/>
        <v>0</v>
      </c>
      <c r="O102" s="327"/>
      <c r="P102" s="251"/>
      <c r="Q102" s="359"/>
      <c r="R102" s="358"/>
      <c r="S102" s="251"/>
      <c r="T102" s="359"/>
      <c r="U102" s="358"/>
      <c r="V102" s="251"/>
      <c r="W102" s="359"/>
      <c r="X102" s="358"/>
      <c r="Y102" s="251"/>
      <c r="Z102" s="328"/>
      <c r="AA102" s="251"/>
      <c r="AB102" s="796"/>
      <c r="AD102" s="252"/>
      <c r="AE102" s="251"/>
      <c r="AF102" s="251"/>
      <c r="AG102" s="252"/>
      <c r="AH102" s="251"/>
      <c r="AI102" s="251"/>
      <c r="AJ102" s="252"/>
      <c r="AK102" s="251"/>
      <c r="AL102" s="251"/>
      <c r="AM102" s="252"/>
      <c r="AN102" s="251"/>
      <c r="AQ102" s="202"/>
      <c r="AZ102" s="203"/>
      <c r="BF102" s="203"/>
      <c r="BK102" s="203"/>
      <c r="BP102" s="203"/>
      <c r="BQ102" s="202"/>
      <c r="CA102" s="203"/>
      <c r="CR102" s="125"/>
    </row>
    <row r="103" spans="1:96" ht="45" hidden="1" outlineLevel="2" x14ac:dyDescent="0.25">
      <c r="A103" s="133"/>
      <c r="B103" s="250" t="s">
        <v>89</v>
      </c>
      <c r="C103" s="970" t="s">
        <v>2283</v>
      </c>
      <c r="D103" s="251"/>
      <c r="E103" s="251"/>
      <c r="F103" s="251"/>
      <c r="G103" s="251"/>
      <c r="H103" s="251"/>
      <c r="I103" s="251"/>
      <c r="J103" s="251"/>
      <c r="K103" s="251"/>
      <c r="L103" s="251"/>
      <c r="M103" s="251"/>
      <c r="N103" s="235">
        <f t="shared" si="137"/>
        <v>0</v>
      </c>
      <c r="O103" s="327"/>
      <c r="P103" s="251"/>
      <c r="Q103" s="359"/>
      <c r="R103" s="358"/>
      <c r="S103" s="251"/>
      <c r="T103" s="359"/>
      <c r="U103" s="358"/>
      <c r="V103" s="251"/>
      <c r="W103" s="359"/>
      <c r="X103" s="358"/>
      <c r="Y103" s="251"/>
      <c r="Z103" s="328"/>
      <c r="AA103" s="251"/>
      <c r="AB103" s="796"/>
      <c r="AD103" s="252"/>
      <c r="AE103" s="251"/>
      <c r="AF103" s="251"/>
      <c r="AG103" s="252"/>
      <c r="AH103" s="251"/>
      <c r="AI103" s="251"/>
      <c r="AJ103" s="252"/>
      <c r="AK103" s="251"/>
      <c r="AL103" s="251"/>
      <c r="AM103" s="252"/>
      <c r="AN103" s="251"/>
      <c r="AQ103" s="202"/>
      <c r="AZ103" s="203"/>
      <c r="BF103" s="203"/>
      <c r="BK103" s="203"/>
      <c r="BP103" s="203"/>
      <c r="BQ103" s="202"/>
      <c r="BT103" s="37" t="s">
        <v>246</v>
      </c>
      <c r="CA103" s="203"/>
      <c r="CR103" s="125"/>
    </row>
    <row r="104" spans="1:96" ht="60" hidden="1" outlineLevel="2" x14ac:dyDescent="0.25">
      <c r="A104" s="133"/>
      <c r="B104" s="265" t="s">
        <v>555</v>
      </c>
      <c r="C104" s="250" t="s">
        <v>2284</v>
      </c>
      <c r="D104" s="266"/>
      <c r="E104" s="266"/>
      <c r="F104" s="266"/>
      <c r="G104" s="266"/>
      <c r="H104" s="266"/>
      <c r="I104" s="266"/>
      <c r="J104" s="266"/>
      <c r="K104" s="266"/>
      <c r="L104" s="266"/>
      <c r="M104" s="266"/>
      <c r="N104" s="235">
        <f t="shared" si="137"/>
        <v>0</v>
      </c>
      <c r="O104" s="337"/>
      <c r="P104" s="266"/>
      <c r="Q104" s="369"/>
      <c r="R104" s="368"/>
      <c r="S104" s="266"/>
      <c r="T104" s="369"/>
      <c r="U104" s="368"/>
      <c r="V104" s="266"/>
      <c r="W104" s="369"/>
      <c r="X104" s="368"/>
      <c r="Y104" s="266"/>
      <c r="Z104" s="338"/>
      <c r="AA104" s="266"/>
      <c r="AB104" s="795"/>
      <c r="AD104" s="267"/>
      <c r="AE104" s="266"/>
      <c r="AF104" s="266"/>
      <c r="AG104" s="267"/>
      <c r="AH104" s="266"/>
      <c r="AI104" s="266"/>
      <c r="AJ104" s="267"/>
      <c r="AK104" s="266"/>
      <c r="AL104" s="266"/>
      <c r="AM104" s="267"/>
      <c r="AN104" s="266"/>
      <c r="AQ104" s="202"/>
      <c r="AZ104" s="203"/>
      <c r="BF104" s="203"/>
      <c r="BK104" s="203"/>
      <c r="BP104" s="203"/>
      <c r="BQ104" s="202"/>
      <c r="BT104" s="37" t="s">
        <v>255</v>
      </c>
      <c r="CA104" s="203"/>
      <c r="CR104" s="125"/>
    </row>
    <row r="105" spans="1:96" ht="45" hidden="1" outlineLevel="2" x14ac:dyDescent="0.25">
      <c r="A105" s="133"/>
      <c r="B105" s="250" t="s">
        <v>91</v>
      </c>
      <c r="C105" s="970" t="s">
        <v>2283</v>
      </c>
      <c r="D105" s="251"/>
      <c r="E105" s="251"/>
      <c r="F105" s="251"/>
      <c r="G105" s="251"/>
      <c r="H105" s="251"/>
      <c r="I105" s="251"/>
      <c r="J105" s="251"/>
      <c r="K105" s="251"/>
      <c r="L105" s="251"/>
      <c r="M105" s="251"/>
      <c r="N105" s="235">
        <f t="shared" si="137"/>
        <v>0</v>
      </c>
      <c r="O105" s="327"/>
      <c r="P105" s="251"/>
      <c r="Q105" s="359"/>
      <c r="R105" s="358"/>
      <c r="S105" s="251"/>
      <c r="T105" s="359"/>
      <c r="U105" s="358"/>
      <c r="V105" s="251"/>
      <c r="W105" s="359"/>
      <c r="X105" s="358"/>
      <c r="Y105" s="251"/>
      <c r="Z105" s="328"/>
      <c r="AA105" s="251"/>
      <c r="AB105" s="796"/>
      <c r="AD105" s="252"/>
      <c r="AE105" s="251"/>
      <c r="AF105" s="251"/>
      <c r="AG105" s="252"/>
      <c r="AH105" s="251"/>
      <c r="AI105" s="251"/>
      <c r="AJ105" s="252"/>
      <c r="AK105" s="251"/>
      <c r="AL105" s="251"/>
      <c r="AM105" s="252"/>
      <c r="AN105" s="251"/>
      <c r="AQ105" s="202"/>
      <c r="AZ105" s="203"/>
      <c r="BF105" s="203"/>
      <c r="BK105" s="203"/>
      <c r="BP105" s="203"/>
      <c r="BQ105" s="202"/>
      <c r="BT105" s="37" t="s">
        <v>255</v>
      </c>
      <c r="CA105" s="203"/>
      <c r="CR105" s="125"/>
    </row>
    <row r="106" spans="1:96" ht="45" hidden="1" outlineLevel="2" x14ac:dyDescent="0.25">
      <c r="A106" s="133"/>
      <c r="B106" s="250" t="s">
        <v>92</v>
      </c>
      <c r="C106" s="970" t="s">
        <v>2285</v>
      </c>
      <c r="D106" s="251"/>
      <c r="E106" s="251"/>
      <c r="F106" s="251"/>
      <c r="G106" s="251"/>
      <c r="H106" s="251"/>
      <c r="I106" s="251"/>
      <c r="J106" s="251"/>
      <c r="K106" s="251"/>
      <c r="L106" s="251"/>
      <c r="M106" s="251"/>
      <c r="N106" s="235">
        <f t="shared" si="137"/>
        <v>0</v>
      </c>
      <c r="O106" s="327"/>
      <c r="P106" s="251"/>
      <c r="Q106" s="359"/>
      <c r="R106" s="358"/>
      <c r="S106" s="251"/>
      <c r="T106" s="359"/>
      <c r="U106" s="358"/>
      <c r="V106" s="251"/>
      <c r="W106" s="359"/>
      <c r="X106" s="358"/>
      <c r="Y106" s="251"/>
      <c r="Z106" s="328"/>
      <c r="AA106" s="251"/>
      <c r="AB106" s="796"/>
      <c r="AD106" s="252"/>
      <c r="AE106" s="251"/>
      <c r="AF106" s="251"/>
      <c r="AG106" s="252"/>
      <c r="AH106" s="251"/>
      <c r="AI106" s="251"/>
      <c r="AJ106" s="252"/>
      <c r="AK106" s="251"/>
      <c r="AL106" s="251"/>
      <c r="AM106" s="252"/>
      <c r="AN106" s="251"/>
      <c r="AQ106" s="202"/>
      <c r="AZ106" s="203"/>
      <c r="BF106" s="203"/>
      <c r="BK106" s="203"/>
      <c r="BP106" s="203"/>
      <c r="BQ106" s="202"/>
      <c r="BT106" s="37" t="s">
        <v>255</v>
      </c>
      <c r="CA106" s="203"/>
      <c r="CR106" s="125"/>
    </row>
    <row r="107" spans="1:96" ht="31.5" outlineLevel="1" collapsed="1" x14ac:dyDescent="0.25">
      <c r="A107" s="131" t="s">
        <v>423</v>
      </c>
      <c r="B107" s="113" t="s">
        <v>93</v>
      </c>
      <c r="C107" s="1028" t="s">
        <v>243</v>
      </c>
      <c r="D107" s="113"/>
      <c r="E107" s="490"/>
      <c r="F107" s="110" t="s">
        <v>222</v>
      </c>
      <c r="G107" s="111" t="s">
        <v>563</v>
      </c>
      <c r="H107" s="111" t="s">
        <v>242</v>
      </c>
      <c r="I107" s="111" t="s">
        <v>242</v>
      </c>
      <c r="J107" s="111" t="s">
        <v>242</v>
      </c>
      <c r="K107" s="111" t="s">
        <v>242</v>
      </c>
      <c r="L107" s="111" t="s">
        <v>242</v>
      </c>
      <c r="M107" s="110">
        <v>1</v>
      </c>
      <c r="N107" s="235">
        <f t="shared" si="137"/>
        <v>2</v>
      </c>
      <c r="O107" s="200" t="str">
        <f t="shared" ref="O107" si="142">IF(AC107="ДА",$M107,"")</f>
        <v/>
      </c>
      <c r="P107" s="144"/>
      <c r="Q107" s="357">
        <f>IF(AC107="ДА",ROUNDUP(O107/5,0),0)</f>
        <v>0</v>
      </c>
      <c r="R107" s="356">
        <f>IF(AF107="ДА",$M107,"")</f>
        <v>1</v>
      </c>
      <c r="S107" s="144"/>
      <c r="T107" s="357">
        <f>IF(AF107="ДА",ROUNDUP(R107/5,0),0)</f>
        <v>1</v>
      </c>
      <c r="U107" s="356">
        <f>IF(AI107="ДА",$M107,"")</f>
        <v>1</v>
      </c>
      <c r="V107" s="144"/>
      <c r="W107" s="357">
        <f>IF(AI107="ДА",ROUNDUP(U107/5,0),0)</f>
        <v>1</v>
      </c>
      <c r="X107" s="356" t="str">
        <f>IF(AL107="ДА",$M107,"")</f>
        <v/>
      </c>
      <c r="Y107" s="144"/>
      <c r="Z107" s="201">
        <f>IF(AL107="ДА",ROUNDUP(X107/5,0),0)</f>
        <v>0</v>
      </c>
      <c r="AA107" s="388" t="str">
        <f>IF(OR(AC107="ДА",AF107="ДА",AI107="ДА",AL107="ДА"),"ДА","НЕТ")</f>
        <v>ДА</v>
      </c>
      <c r="AB107" s="388"/>
      <c r="AC107" s="37" t="str">
        <f>IF(AC$8=$BT$9,$BT107,IF(AC$8=$BS$9,$BS107,IF(AC$8=$BU$9,$BU107,IF(AC$8=$BV$9,$BV107,IF(AC$8=$BW$9,$BW107,IF(AC$8=$BX$9,$BX107,IF(AC$8=$BY$9,$BY107,IF(AC$8=$BZ$9,$BZ107,IF(AC$8=$CA$9,$CA107,IF(AC$8=$CC$9,$CC107,IF(AC$8=$CD$9,$CD107,IF(AC$8=$CE$9,$CE107,IF(AC$8=$CF$9,$CF107,IF(AC$8=$CG$9,$CG107,IF(AC$8=$CH$9,$CH107,IF(AC$8=$CI$9,$CI107,IF(AC$8=$CJ$9,$CJ107,IF(AC$8=$CK$9,$CK107,IF(AC$8=$CL$9,$CL107,IF(AC$8=$CM$9,$CM107,IF(AC$8=$CN$9,$CN107,IF(AC$8=$CO$9,$CO107,IF(AC$8=$CP$9,$CP107,IF(AC$8=$CQ$9,$CQ107,"НЕТ"))))))))))))))))))))))))</f>
        <v>НЕТ</v>
      </c>
      <c r="AD107" s="37" t="str">
        <f>IF(AC107="НЕТ","Не требуется",$CR107)</f>
        <v>Не требуется</v>
      </c>
      <c r="AE107" s="37"/>
      <c r="AF107" s="37" t="str">
        <f t="shared" ref="AF107:AL107" si="143">IF(AF$8=$BT$9,$BT107,IF(AF$8=$BS$9,$BS107,IF(AF$8=$BU$9,$BU107,IF(AF$8=$BV$9,$BV107,IF(AF$8=$BW$9,$BW107,IF(AF$8=$BX$9,$BX107,IF(AF$8=$BY$9,$BY107,IF(AF$8=$BZ$9,$BZ107,IF(AF$8=$CA$9,$CA107,IF(AF$8=$CC$9,$CC107,IF(AF$8=$CD$9,$CD107,IF(AF$8=$CE$9,$CE107,IF(AF$8=$CF$9,$CF107,IF(AF$8=$CG$9,$CG107,IF(AF$8=$CH$9,$CH107,IF(AF$8=$CI$9,$CI107,IF(AF$8=$CJ$9,$CJ107,IF(AF$8=$CK$9,$CK107,IF(AF$8=$CL$9,$CL107,IF(AF$8=$CM$9,$CM107,IF(AF$8=$CN$9,$CN107,IF(AF$8=$CO$9,$CO107,IF(AF$8=$CP$9,$CP107,IF(AF$8=$CQ$9,$CQ107,"НЕТ"))))))))))))))))))))))))</f>
        <v>ДА</v>
      </c>
      <c r="AG107" s="37" t="str">
        <f t="shared" si="143"/>
        <v>НЕТ</v>
      </c>
      <c r="AH107" s="37" t="str">
        <f t="shared" si="143"/>
        <v>НЕТ</v>
      </c>
      <c r="AI107" s="37" t="str">
        <f t="shared" si="143"/>
        <v>ДА</v>
      </c>
      <c r="AJ107" s="37" t="str">
        <f t="shared" si="143"/>
        <v>НЕТ</v>
      </c>
      <c r="AK107" s="37" t="str">
        <f t="shared" si="143"/>
        <v>НЕТ</v>
      </c>
      <c r="AL107" s="37" t="str">
        <f t="shared" si="143"/>
        <v>НЕТ</v>
      </c>
      <c r="AM107" s="37" t="str">
        <f>IF(AL107="НЕТ","Не требуется",$CR107)</f>
        <v>Не требуется</v>
      </c>
      <c r="AN107" s="37"/>
      <c r="AQ107" s="200"/>
      <c r="AR107" s="230"/>
      <c r="AS107" s="144">
        <f>IF(BS107="ДА",$M107,"")</f>
        <v>1</v>
      </c>
      <c r="AT107" s="144" t="str">
        <f t="shared" ref="AT107:AV107" si="144">IF(BT107="ДА",$M107,"")</f>
        <v/>
      </c>
      <c r="AU107" s="144" t="str">
        <f t="shared" si="144"/>
        <v/>
      </c>
      <c r="AV107" s="144">
        <f t="shared" si="144"/>
        <v>1</v>
      </c>
      <c r="AW107" s="144">
        <f>IF(BX107="ДА",$M107,"")</f>
        <v>1</v>
      </c>
      <c r="AX107" s="144">
        <f>IF(BY107="ДА",$M107,"")</f>
        <v>1</v>
      </c>
      <c r="AY107" s="144">
        <f>IF(BZ107="ДА",$M107,"")</f>
        <v>1</v>
      </c>
      <c r="AZ107" s="201">
        <f>IF(CA107="ДА",$M107,"")</f>
        <v>1</v>
      </c>
      <c r="BA107" s="235"/>
      <c r="BB107" s="144">
        <f t="shared" ref="BB107:BP107" si="145">IF(CC107="ДА",$M107,"")</f>
        <v>1</v>
      </c>
      <c r="BC107" s="144">
        <f t="shared" si="145"/>
        <v>1</v>
      </c>
      <c r="BD107" s="144">
        <f t="shared" si="145"/>
        <v>1</v>
      </c>
      <c r="BE107" s="144" t="str">
        <f t="shared" si="145"/>
        <v/>
      </c>
      <c r="BF107" s="201" t="str">
        <f t="shared" si="145"/>
        <v/>
      </c>
      <c r="BG107" s="144">
        <f t="shared" si="145"/>
        <v>1</v>
      </c>
      <c r="BH107" s="144">
        <f t="shared" si="145"/>
        <v>1</v>
      </c>
      <c r="BI107" s="144">
        <f t="shared" si="145"/>
        <v>1</v>
      </c>
      <c r="BJ107" s="144" t="str">
        <f t="shared" si="145"/>
        <v/>
      </c>
      <c r="BK107" s="201">
        <f t="shared" si="145"/>
        <v>1</v>
      </c>
      <c r="BL107" s="144">
        <f t="shared" si="145"/>
        <v>1</v>
      </c>
      <c r="BM107" s="144" t="str">
        <f t="shared" si="145"/>
        <v/>
      </c>
      <c r="BN107" s="144" t="str">
        <f t="shared" si="145"/>
        <v/>
      </c>
      <c r="BO107" s="144" t="str">
        <f t="shared" si="145"/>
        <v/>
      </c>
      <c r="BP107" s="201" t="str">
        <f t="shared" si="145"/>
        <v/>
      </c>
      <c r="BQ107" s="209"/>
      <c r="BR107" s="388"/>
      <c r="BS107" s="37" t="s">
        <v>246</v>
      </c>
      <c r="BT107" s="37" t="s">
        <v>255</v>
      </c>
      <c r="BU107" s="37" t="s">
        <v>255</v>
      </c>
      <c r="BV107" s="37" t="s">
        <v>246</v>
      </c>
      <c r="BW107" s="37" t="s">
        <v>246</v>
      </c>
      <c r="BX107" s="37" t="s">
        <v>246</v>
      </c>
      <c r="BY107" s="37" t="s">
        <v>246</v>
      </c>
      <c r="BZ107" s="37" t="s">
        <v>246</v>
      </c>
      <c r="CA107" s="123" t="s">
        <v>246</v>
      </c>
      <c r="CB107" s="223"/>
      <c r="CC107" s="37" t="s">
        <v>246</v>
      </c>
      <c r="CD107" s="37" t="s">
        <v>246</v>
      </c>
      <c r="CE107" s="37" t="s">
        <v>246</v>
      </c>
      <c r="CF107" s="37" t="s">
        <v>255</v>
      </c>
      <c r="CG107" s="37" t="s">
        <v>255</v>
      </c>
      <c r="CH107" s="37" t="s">
        <v>246</v>
      </c>
      <c r="CI107" s="37" t="s">
        <v>246</v>
      </c>
      <c r="CJ107" s="37" t="s">
        <v>246</v>
      </c>
      <c r="CK107" s="37" t="s">
        <v>255</v>
      </c>
      <c r="CL107" s="37" t="s">
        <v>246</v>
      </c>
      <c r="CM107" s="37" t="s">
        <v>246</v>
      </c>
      <c r="CN107" s="37" t="s">
        <v>255</v>
      </c>
      <c r="CO107" s="37" t="s">
        <v>255</v>
      </c>
      <c r="CP107" s="37" t="s">
        <v>255</v>
      </c>
      <c r="CQ107" s="37" t="s">
        <v>255</v>
      </c>
      <c r="CR107" s="123" t="s">
        <v>300</v>
      </c>
    </row>
    <row r="108" spans="1:96" hidden="1" outlineLevel="2" x14ac:dyDescent="0.25">
      <c r="A108" s="132"/>
      <c r="B108" s="268" t="s">
        <v>94</v>
      </c>
      <c r="C108" s="269"/>
      <c r="D108" s="269"/>
      <c r="E108" s="269"/>
      <c r="F108" s="269"/>
      <c r="G108" s="269"/>
      <c r="H108" s="269"/>
      <c r="I108" s="269"/>
      <c r="J108" s="269"/>
      <c r="K108" s="269"/>
      <c r="L108" s="269"/>
      <c r="M108" s="269"/>
      <c r="N108" s="235">
        <f t="shared" si="137"/>
        <v>0</v>
      </c>
      <c r="O108" s="340"/>
      <c r="P108" s="269"/>
      <c r="Q108" s="372"/>
      <c r="R108" s="371"/>
      <c r="S108" s="269"/>
      <c r="T108" s="372"/>
      <c r="U108" s="371"/>
      <c r="V108" s="269"/>
      <c r="W108" s="372"/>
      <c r="X108" s="371"/>
      <c r="Y108" s="269"/>
      <c r="Z108" s="341"/>
      <c r="AA108" s="269"/>
      <c r="AB108" s="797"/>
      <c r="AD108" s="270"/>
      <c r="AE108" s="269"/>
      <c r="AF108" s="269"/>
      <c r="AG108" s="270"/>
      <c r="AH108" s="269"/>
      <c r="AI108" s="269"/>
      <c r="AJ108" s="270"/>
      <c r="AK108" s="269"/>
      <c r="AL108" s="269"/>
      <c r="AM108" s="270"/>
      <c r="AN108" s="269"/>
      <c r="AQ108" s="202"/>
      <c r="AZ108" s="203"/>
      <c r="BF108" s="203"/>
      <c r="BK108" s="203"/>
      <c r="BP108" s="203"/>
      <c r="BQ108" s="202"/>
      <c r="CA108" s="203"/>
      <c r="CR108" s="125"/>
    </row>
    <row r="109" spans="1:96" ht="30" hidden="1" outlineLevel="2" x14ac:dyDescent="0.25">
      <c r="A109" s="132"/>
      <c r="B109" s="268" t="s">
        <v>95</v>
      </c>
      <c r="C109" s="269"/>
      <c r="D109" s="269"/>
      <c r="E109" s="269"/>
      <c r="F109" s="269"/>
      <c r="G109" s="269"/>
      <c r="H109" s="269"/>
      <c r="I109" s="269"/>
      <c r="J109" s="269"/>
      <c r="K109" s="269"/>
      <c r="L109" s="269"/>
      <c r="M109" s="269"/>
      <c r="N109" s="235">
        <f t="shared" si="137"/>
        <v>0</v>
      </c>
      <c r="O109" s="340"/>
      <c r="P109" s="269"/>
      <c r="Q109" s="372"/>
      <c r="R109" s="371"/>
      <c r="S109" s="269"/>
      <c r="T109" s="372"/>
      <c r="U109" s="371"/>
      <c r="V109" s="269"/>
      <c r="W109" s="372"/>
      <c r="X109" s="371"/>
      <c r="Y109" s="269"/>
      <c r="Z109" s="341"/>
      <c r="AA109" s="269"/>
      <c r="AB109" s="797"/>
      <c r="AD109" s="270"/>
      <c r="AE109" s="269"/>
      <c r="AF109" s="269"/>
      <c r="AG109" s="270"/>
      <c r="AH109" s="269"/>
      <c r="AI109" s="269"/>
      <c r="AJ109" s="270"/>
      <c r="AK109" s="269"/>
      <c r="AL109" s="269"/>
      <c r="AM109" s="270"/>
      <c r="AN109" s="269"/>
      <c r="AQ109" s="202"/>
      <c r="AZ109" s="203"/>
      <c r="BF109" s="203"/>
      <c r="BK109" s="203"/>
      <c r="BP109" s="203"/>
      <c r="BQ109" s="202"/>
      <c r="BT109" s="37" t="s">
        <v>255</v>
      </c>
      <c r="CA109" s="203"/>
      <c r="CR109" s="125"/>
    </row>
    <row r="110" spans="1:96" ht="30" hidden="1" outlineLevel="2" x14ac:dyDescent="0.25">
      <c r="A110" s="133"/>
      <c r="B110" s="253" t="s">
        <v>96</v>
      </c>
      <c r="C110" s="254"/>
      <c r="D110" s="254"/>
      <c r="E110" s="254"/>
      <c r="F110" s="254"/>
      <c r="G110" s="254"/>
      <c r="H110" s="254"/>
      <c r="I110" s="254"/>
      <c r="J110" s="254"/>
      <c r="K110" s="254"/>
      <c r="L110" s="254"/>
      <c r="M110" s="254"/>
      <c r="N110" s="235">
        <f t="shared" si="137"/>
        <v>0</v>
      </c>
      <c r="O110" s="329"/>
      <c r="P110" s="254"/>
      <c r="Q110" s="361"/>
      <c r="R110" s="360"/>
      <c r="S110" s="254"/>
      <c r="T110" s="361"/>
      <c r="U110" s="360"/>
      <c r="V110" s="254"/>
      <c r="W110" s="361"/>
      <c r="X110" s="360"/>
      <c r="Y110" s="254"/>
      <c r="Z110" s="330"/>
      <c r="AA110" s="254"/>
      <c r="AB110" s="793"/>
      <c r="AD110" s="255"/>
      <c r="AE110" s="254"/>
      <c r="AF110" s="254"/>
      <c r="AG110" s="255"/>
      <c r="AH110" s="254"/>
      <c r="AI110" s="254"/>
      <c r="AJ110" s="255"/>
      <c r="AK110" s="254"/>
      <c r="AL110" s="254"/>
      <c r="AM110" s="255"/>
      <c r="AN110" s="254"/>
      <c r="AQ110" s="202"/>
      <c r="AZ110" s="203"/>
      <c r="BF110" s="203"/>
      <c r="BK110" s="203"/>
      <c r="BP110" s="203"/>
      <c r="BQ110" s="202"/>
      <c r="BT110" s="37" t="s">
        <v>255</v>
      </c>
      <c r="CA110" s="203"/>
      <c r="CR110" s="125"/>
    </row>
    <row r="111" spans="1:96" hidden="1" outlineLevel="2" x14ac:dyDescent="0.25">
      <c r="A111" s="133"/>
      <c r="B111" s="253" t="s">
        <v>571</v>
      </c>
      <c r="C111" s="254"/>
      <c r="D111" s="254"/>
      <c r="E111" s="254"/>
      <c r="F111" s="254"/>
      <c r="G111" s="254"/>
      <c r="H111" s="254"/>
      <c r="I111" s="254"/>
      <c r="J111" s="254"/>
      <c r="K111" s="254"/>
      <c r="L111" s="254"/>
      <c r="M111" s="254"/>
      <c r="N111" s="235">
        <f t="shared" si="137"/>
        <v>0</v>
      </c>
      <c r="O111" s="329"/>
      <c r="P111" s="254"/>
      <c r="Q111" s="361"/>
      <c r="R111" s="360"/>
      <c r="S111" s="254"/>
      <c r="T111" s="361"/>
      <c r="U111" s="360"/>
      <c r="V111" s="254"/>
      <c r="W111" s="361"/>
      <c r="X111" s="360"/>
      <c r="Y111" s="254"/>
      <c r="Z111" s="330"/>
      <c r="AA111" s="254"/>
      <c r="AB111" s="793"/>
      <c r="AD111" s="255"/>
      <c r="AE111" s="254"/>
      <c r="AF111" s="254"/>
      <c r="AG111" s="255"/>
      <c r="AH111" s="254"/>
      <c r="AI111" s="254"/>
      <c r="AJ111" s="255"/>
      <c r="AK111" s="254"/>
      <c r="AL111" s="254"/>
      <c r="AM111" s="255"/>
      <c r="AN111" s="254"/>
      <c r="AQ111" s="202"/>
      <c r="AZ111" s="203"/>
      <c r="BF111" s="203"/>
      <c r="BK111" s="203"/>
      <c r="BP111" s="203"/>
      <c r="BQ111" s="202"/>
      <c r="CA111" s="203"/>
      <c r="CR111" s="125"/>
    </row>
    <row r="112" spans="1:96" ht="30" hidden="1" outlineLevel="2" x14ac:dyDescent="0.25">
      <c r="A112" s="133"/>
      <c r="B112" s="253" t="s">
        <v>98</v>
      </c>
      <c r="C112" s="254"/>
      <c r="D112" s="254"/>
      <c r="E112" s="254"/>
      <c r="F112" s="254"/>
      <c r="G112" s="254"/>
      <c r="H112" s="254"/>
      <c r="I112" s="254"/>
      <c r="J112" s="254"/>
      <c r="K112" s="254"/>
      <c r="L112" s="254"/>
      <c r="M112" s="254"/>
      <c r="N112" s="235">
        <f t="shared" si="137"/>
        <v>0</v>
      </c>
      <c r="O112" s="329"/>
      <c r="P112" s="254"/>
      <c r="Q112" s="361"/>
      <c r="R112" s="360"/>
      <c r="S112" s="254"/>
      <c r="T112" s="361"/>
      <c r="U112" s="360"/>
      <c r="V112" s="254"/>
      <c r="W112" s="361"/>
      <c r="X112" s="360"/>
      <c r="Y112" s="254"/>
      <c r="Z112" s="330"/>
      <c r="AA112" s="254"/>
      <c r="AB112" s="793"/>
      <c r="AD112" s="255"/>
      <c r="AE112" s="254"/>
      <c r="AF112" s="254"/>
      <c r="AG112" s="255"/>
      <c r="AH112" s="254"/>
      <c r="AI112" s="254"/>
      <c r="AJ112" s="255"/>
      <c r="AK112" s="254"/>
      <c r="AL112" s="254"/>
      <c r="AM112" s="255"/>
      <c r="AN112" s="254"/>
      <c r="AQ112" s="202"/>
      <c r="AZ112" s="203"/>
      <c r="BF112" s="203"/>
      <c r="BK112" s="203"/>
      <c r="BP112" s="203"/>
      <c r="BQ112" s="202"/>
      <c r="BT112" s="37" t="s">
        <v>255</v>
      </c>
      <c r="CA112" s="203"/>
      <c r="CR112" s="125"/>
    </row>
    <row r="113" spans="1:96" hidden="1" outlineLevel="2" x14ac:dyDescent="0.25">
      <c r="A113" s="133"/>
      <c r="B113" s="253" t="s">
        <v>572</v>
      </c>
      <c r="C113" s="254"/>
      <c r="D113" s="254"/>
      <c r="E113" s="254"/>
      <c r="F113" s="254"/>
      <c r="G113" s="254"/>
      <c r="H113" s="254"/>
      <c r="I113" s="254"/>
      <c r="J113" s="254"/>
      <c r="K113" s="254"/>
      <c r="L113" s="254"/>
      <c r="M113" s="254"/>
      <c r="N113" s="235">
        <f t="shared" si="137"/>
        <v>0</v>
      </c>
      <c r="O113" s="329"/>
      <c r="P113" s="254"/>
      <c r="Q113" s="361"/>
      <c r="R113" s="360"/>
      <c r="S113" s="254"/>
      <c r="T113" s="361"/>
      <c r="U113" s="360"/>
      <c r="V113" s="254"/>
      <c r="W113" s="361"/>
      <c r="X113" s="360"/>
      <c r="Y113" s="254"/>
      <c r="Z113" s="330"/>
      <c r="AA113" s="254"/>
      <c r="AB113" s="793"/>
      <c r="AD113" s="255"/>
      <c r="AE113" s="254"/>
      <c r="AF113" s="254"/>
      <c r="AG113" s="255"/>
      <c r="AH113" s="254"/>
      <c r="AI113" s="254"/>
      <c r="AJ113" s="255"/>
      <c r="AK113" s="254"/>
      <c r="AL113" s="254"/>
      <c r="AM113" s="255"/>
      <c r="AN113" s="254"/>
      <c r="AQ113" s="202"/>
      <c r="AZ113" s="203"/>
      <c r="BF113" s="203"/>
      <c r="BK113" s="203"/>
      <c r="BP113" s="203"/>
      <c r="BQ113" s="202"/>
      <c r="CA113" s="203"/>
      <c r="CR113" s="125"/>
    </row>
    <row r="114" spans="1:96" ht="30" hidden="1" outlineLevel="2" x14ac:dyDescent="0.25">
      <c r="A114" s="133"/>
      <c r="B114" s="253" t="s">
        <v>99</v>
      </c>
      <c r="C114" s="254"/>
      <c r="D114" s="254"/>
      <c r="E114" s="254"/>
      <c r="F114" s="254"/>
      <c r="G114" s="254"/>
      <c r="H114" s="254"/>
      <c r="I114" s="254"/>
      <c r="J114" s="254"/>
      <c r="K114" s="254"/>
      <c r="L114" s="254"/>
      <c r="M114" s="254"/>
      <c r="N114" s="235">
        <f t="shared" si="137"/>
        <v>0</v>
      </c>
      <c r="O114" s="329"/>
      <c r="P114" s="254"/>
      <c r="Q114" s="361"/>
      <c r="R114" s="360"/>
      <c r="S114" s="254"/>
      <c r="T114" s="361"/>
      <c r="U114" s="360"/>
      <c r="V114" s="254"/>
      <c r="W114" s="361"/>
      <c r="X114" s="360"/>
      <c r="Y114" s="254"/>
      <c r="Z114" s="330"/>
      <c r="AA114" s="254"/>
      <c r="AB114" s="793"/>
      <c r="AD114" s="255"/>
      <c r="AE114" s="254"/>
      <c r="AF114" s="254"/>
      <c r="AG114" s="255"/>
      <c r="AH114" s="254"/>
      <c r="AI114" s="254"/>
      <c r="AJ114" s="255"/>
      <c r="AK114" s="254"/>
      <c r="AL114" s="254"/>
      <c r="AM114" s="255"/>
      <c r="AN114" s="254"/>
      <c r="AQ114" s="202"/>
      <c r="AZ114" s="203"/>
      <c r="BF114" s="203"/>
      <c r="BK114" s="203"/>
      <c r="BP114" s="203"/>
      <c r="BQ114" s="202"/>
      <c r="BT114" s="37" t="s">
        <v>255</v>
      </c>
      <c r="CA114" s="203"/>
      <c r="CR114" s="125"/>
    </row>
    <row r="115" spans="1:96" ht="15.75" outlineLevel="1" collapsed="1" x14ac:dyDescent="0.25">
      <c r="A115" s="131" t="s">
        <v>424</v>
      </c>
      <c r="B115" s="113" t="s">
        <v>100</v>
      </c>
      <c r="C115" s="1028" t="s">
        <v>2286</v>
      </c>
      <c r="D115" s="113"/>
      <c r="E115" s="490"/>
      <c r="F115" s="108" t="s">
        <v>222</v>
      </c>
      <c r="G115" s="111" t="s">
        <v>563</v>
      </c>
      <c r="H115" s="111" t="s">
        <v>242</v>
      </c>
      <c r="I115" s="111" t="s">
        <v>242</v>
      </c>
      <c r="J115" s="111" t="s">
        <v>242</v>
      </c>
      <c r="K115" s="111" t="s">
        <v>242</v>
      </c>
      <c r="L115" s="111" t="s">
        <v>242</v>
      </c>
      <c r="M115" s="108">
        <v>1</v>
      </c>
      <c r="N115" s="235">
        <f t="shared" si="137"/>
        <v>2</v>
      </c>
      <c r="O115" s="200" t="str">
        <f t="shared" ref="O115" si="146">IF(AC115="ДА",$M115,"")</f>
        <v/>
      </c>
      <c r="P115" s="144"/>
      <c r="Q115" s="357">
        <f>IF(AC115="ДА",ROUNDUP(O115/5,0),0)</f>
        <v>0</v>
      </c>
      <c r="R115" s="356">
        <f>IF(AF115="ДА",$M115,"")</f>
        <v>1</v>
      </c>
      <c r="S115" s="144"/>
      <c r="T115" s="357">
        <f>IF(AF115="ДА",ROUNDUP(R115/5,0),0)</f>
        <v>1</v>
      </c>
      <c r="U115" s="356">
        <f>IF(AI115="ДА",$M115,"")</f>
        <v>1</v>
      </c>
      <c r="V115" s="144"/>
      <c r="W115" s="357">
        <f>IF(AI115="ДА",ROUNDUP(U115/5,0),0)</f>
        <v>1</v>
      </c>
      <c r="X115" s="356" t="str">
        <f>IF(AL115="ДА",$M115,"")</f>
        <v/>
      </c>
      <c r="Y115" s="144"/>
      <c r="Z115" s="201">
        <f>IF(AL115="ДА",ROUNDUP(X115/5,0),0)</f>
        <v>0</v>
      </c>
      <c r="AA115" s="388" t="str">
        <f>IF(OR(AC115="ДА",AF115="ДА",AI115="ДА",AL115="ДА"),"ДА","НЕТ")</f>
        <v>ДА</v>
      </c>
      <c r="AB115" s="388"/>
      <c r="AC115" s="37" t="str">
        <f>IF(AC$8=$BT$9,$BT115,IF(AC$8=$BS$9,$BS115,IF(AC$8=$BU$9,$BU115,IF(AC$8=$BV$9,$BV115,IF(AC$8=$BW$9,$BW115,IF(AC$8=$BX$9,$BX115,IF(AC$8=$BY$9,$BY115,IF(AC$8=$BZ$9,$BZ115,IF(AC$8=$CA$9,$CA115,IF(AC$8=$CC$9,$CC115,IF(AC$8=$CD$9,$CD115,IF(AC$8=$CE$9,$CE115,IF(AC$8=$CF$9,$CF115,IF(AC$8=$CG$9,$CG115,IF(AC$8=$CH$9,$CH115,IF(AC$8=$CI$9,$CI115,IF(AC$8=$CJ$9,$CJ115,IF(AC$8=$CK$9,$CK115,IF(AC$8=$CL$9,$CL115,IF(AC$8=$CM$9,$CM115,IF(AC$8=$CN$9,$CN115,IF(AC$8=$CO$9,$CO115,IF(AC$8=$CP$9,$CP115,IF(AC$8=$CQ$9,$CQ115,"НЕТ"))))))))))))))))))))))))</f>
        <v>НЕТ</v>
      </c>
      <c r="AD115" s="37" t="str">
        <f>IF(AC115="НЕТ","Не требуется",$CR115)</f>
        <v>Не требуется</v>
      </c>
      <c r="AE115" s="37"/>
      <c r="AF115" s="37" t="str">
        <f t="shared" ref="AF115:AL115" si="147">IF(AF$8=$BT$9,$BT115,IF(AF$8=$BS$9,$BS115,IF(AF$8=$BU$9,$BU115,IF(AF$8=$BV$9,$BV115,IF(AF$8=$BW$9,$BW115,IF(AF$8=$BX$9,$BX115,IF(AF$8=$BY$9,$BY115,IF(AF$8=$BZ$9,$BZ115,IF(AF$8=$CA$9,$CA115,IF(AF$8=$CC$9,$CC115,IF(AF$8=$CD$9,$CD115,IF(AF$8=$CE$9,$CE115,IF(AF$8=$CF$9,$CF115,IF(AF$8=$CG$9,$CG115,IF(AF$8=$CH$9,$CH115,IF(AF$8=$CI$9,$CI115,IF(AF$8=$CJ$9,$CJ115,IF(AF$8=$CK$9,$CK115,IF(AF$8=$CL$9,$CL115,IF(AF$8=$CM$9,$CM115,IF(AF$8=$CN$9,$CN115,IF(AF$8=$CO$9,$CO115,IF(AF$8=$CP$9,$CP115,IF(AF$8=$CQ$9,$CQ115,"НЕТ"))))))))))))))))))))))))</f>
        <v>ДА</v>
      </c>
      <c r="AG115" s="37" t="str">
        <f t="shared" si="147"/>
        <v>НЕТ</v>
      </c>
      <c r="AH115" s="37" t="str">
        <f t="shared" si="147"/>
        <v>НЕТ</v>
      </c>
      <c r="AI115" s="37" t="str">
        <f t="shared" si="147"/>
        <v>ДА</v>
      </c>
      <c r="AJ115" s="37" t="str">
        <f t="shared" si="147"/>
        <v>НЕТ</v>
      </c>
      <c r="AK115" s="37" t="str">
        <f t="shared" si="147"/>
        <v>НЕТ</v>
      </c>
      <c r="AL115" s="37" t="str">
        <f t="shared" si="147"/>
        <v>НЕТ</v>
      </c>
      <c r="AM115" s="37" t="str">
        <f>IF(AL115="НЕТ","Не требуется",$CR115)</f>
        <v>Не требуется</v>
      </c>
      <c r="AN115" s="37"/>
      <c r="AQ115" s="200"/>
      <c r="AR115" s="230"/>
      <c r="AS115" s="144">
        <f>IF(BS115="ДА",$M115,"")</f>
        <v>1</v>
      </c>
      <c r="AT115" s="144">
        <f t="shared" ref="AT115:AV115" si="148">IF(BT115="ДА",$M115,"")</f>
        <v>1</v>
      </c>
      <c r="AU115" s="144" t="str">
        <f t="shared" si="148"/>
        <v/>
      </c>
      <c r="AV115" s="144">
        <f t="shared" si="148"/>
        <v>1</v>
      </c>
      <c r="AW115" s="144">
        <f>IF(BX115="ДА",$M115,"")</f>
        <v>1</v>
      </c>
      <c r="AX115" s="144">
        <f>IF(BY115="ДА",$M115,"")</f>
        <v>1</v>
      </c>
      <c r="AY115" s="144">
        <f>IF(BZ115="ДА",$M115,"")</f>
        <v>1</v>
      </c>
      <c r="AZ115" s="201">
        <f>IF(CA115="ДА",$M115,"")</f>
        <v>1</v>
      </c>
      <c r="BA115" s="235"/>
      <c r="BB115" s="144">
        <f t="shared" ref="BB115:BP115" si="149">IF(CC115="ДА",$M115,"")</f>
        <v>1</v>
      </c>
      <c r="BC115" s="144">
        <f t="shared" si="149"/>
        <v>1</v>
      </c>
      <c r="BD115" s="144">
        <f t="shared" si="149"/>
        <v>1</v>
      </c>
      <c r="BE115" s="144">
        <f t="shared" si="149"/>
        <v>1</v>
      </c>
      <c r="BF115" s="201" t="str">
        <f t="shared" si="149"/>
        <v/>
      </c>
      <c r="BG115" s="144">
        <f t="shared" si="149"/>
        <v>1</v>
      </c>
      <c r="BH115" s="144" t="str">
        <f t="shared" si="149"/>
        <v/>
      </c>
      <c r="BI115" s="144">
        <f t="shared" si="149"/>
        <v>1</v>
      </c>
      <c r="BJ115" s="144" t="str">
        <f t="shared" si="149"/>
        <v/>
      </c>
      <c r="BK115" s="201">
        <f t="shared" si="149"/>
        <v>1</v>
      </c>
      <c r="BL115" s="144" t="str">
        <f t="shared" si="149"/>
        <v/>
      </c>
      <c r="BM115" s="144" t="str">
        <f t="shared" si="149"/>
        <v/>
      </c>
      <c r="BN115" s="144" t="str">
        <f t="shared" si="149"/>
        <v/>
      </c>
      <c r="BO115" s="144" t="str">
        <f t="shared" si="149"/>
        <v/>
      </c>
      <c r="BP115" s="201" t="str">
        <f t="shared" si="149"/>
        <v/>
      </c>
      <c r="BQ115" s="209"/>
      <c r="BR115" s="388"/>
      <c r="BS115" s="37" t="s">
        <v>246</v>
      </c>
      <c r="BT115" s="37" t="s">
        <v>246</v>
      </c>
      <c r="BU115" s="37" t="s">
        <v>255</v>
      </c>
      <c r="BV115" s="37" t="s">
        <v>246</v>
      </c>
      <c r="BW115" s="37" t="s">
        <v>246</v>
      </c>
      <c r="BX115" s="37" t="s">
        <v>246</v>
      </c>
      <c r="BY115" s="37" t="s">
        <v>246</v>
      </c>
      <c r="BZ115" s="37" t="s">
        <v>246</v>
      </c>
      <c r="CA115" s="123" t="s">
        <v>246</v>
      </c>
      <c r="CB115" s="223"/>
      <c r="CC115" s="37" t="s">
        <v>246</v>
      </c>
      <c r="CD115" s="37" t="s">
        <v>246</v>
      </c>
      <c r="CE115" s="37" t="s">
        <v>246</v>
      </c>
      <c r="CF115" s="37" t="s">
        <v>246</v>
      </c>
      <c r="CG115" s="37" t="s">
        <v>255</v>
      </c>
      <c r="CH115" s="37" t="s">
        <v>246</v>
      </c>
      <c r="CI115" s="37" t="s">
        <v>255</v>
      </c>
      <c r="CJ115" s="37" t="s">
        <v>246</v>
      </c>
      <c r="CK115" s="37" t="s">
        <v>255</v>
      </c>
      <c r="CL115" s="37" t="s">
        <v>246</v>
      </c>
      <c r="CM115" s="37" t="s">
        <v>255</v>
      </c>
      <c r="CN115" s="37" t="s">
        <v>255</v>
      </c>
      <c r="CO115" s="37" t="s">
        <v>255</v>
      </c>
      <c r="CP115" s="37" t="s">
        <v>255</v>
      </c>
      <c r="CQ115" s="37" t="s">
        <v>255</v>
      </c>
      <c r="CR115" s="123" t="s">
        <v>300</v>
      </c>
    </row>
    <row r="116" spans="1:96" ht="30" hidden="1" outlineLevel="2" x14ac:dyDescent="0.25">
      <c r="A116" s="133"/>
      <c r="B116" s="253" t="s">
        <v>101</v>
      </c>
      <c r="C116" s="254" t="s">
        <v>2287</v>
      </c>
      <c r="D116" s="254"/>
      <c r="E116" s="254"/>
      <c r="F116" s="254"/>
      <c r="G116" s="254"/>
      <c r="H116" s="254"/>
      <c r="I116" s="254"/>
      <c r="J116" s="254"/>
      <c r="K116" s="254"/>
      <c r="L116" s="254"/>
      <c r="M116" s="254"/>
      <c r="N116" s="235">
        <f t="shared" si="137"/>
        <v>0</v>
      </c>
      <c r="O116" s="329"/>
      <c r="P116" s="254"/>
      <c r="Q116" s="361"/>
      <c r="R116" s="360"/>
      <c r="S116" s="254"/>
      <c r="T116" s="361"/>
      <c r="U116" s="360"/>
      <c r="V116" s="254"/>
      <c r="W116" s="361"/>
      <c r="X116" s="360"/>
      <c r="Y116" s="254"/>
      <c r="Z116" s="330"/>
      <c r="AA116" s="254"/>
      <c r="AB116" s="793"/>
      <c r="AD116" s="255"/>
      <c r="AE116" s="254"/>
      <c r="AF116" s="254"/>
      <c r="AG116" s="255"/>
      <c r="AH116" s="254"/>
      <c r="AI116" s="254"/>
      <c r="AJ116" s="255"/>
      <c r="AK116" s="254"/>
      <c r="AL116" s="254"/>
      <c r="AM116" s="255"/>
      <c r="AN116" s="254"/>
      <c r="AQ116" s="202"/>
      <c r="AZ116" s="203"/>
      <c r="BF116" s="203"/>
      <c r="BK116" s="203"/>
      <c r="BP116" s="203"/>
      <c r="BQ116" s="202"/>
      <c r="CA116" s="203"/>
      <c r="CR116" s="125"/>
    </row>
    <row r="117" spans="1:96" ht="30" hidden="1" outlineLevel="2" x14ac:dyDescent="0.25">
      <c r="A117" s="133"/>
      <c r="B117" s="253" t="s">
        <v>102</v>
      </c>
      <c r="C117" s="254" t="s">
        <v>2287</v>
      </c>
      <c r="D117" s="254"/>
      <c r="E117" s="254"/>
      <c r="F117" s="254"/>
      <c r="G117" s="254"/>
      <c r="H117" s="254"/>
      <c r="I117" s="254"/>
      <c r="J117" s="254"/>
      <c r="K117" s="254"/>
      <c r="L117" s="254"/>
      <c r="M117" s="254"/>
      <c r="N117" s="235">
        <f t="shared" si="137"/>
        <v>0</v>
      </c>
      <c r="O117" s="329"/>
      <c r="P117" s="254"/>
      <c r="Q117" s="361"/>
      <c r="R117" s="360"/>
      <c r="S117" s="254"/>
      <c r="T117" s="361"/>
      <c r="U117" s="360"/>
      <c r="V117" s="254"/>
      <c r="W117" s="361"/>
      <c r="X117" s="360"/>
      <c r="Y117" s="254"/>
      <c r="Z117" s="330"/>
      <c r="AA117" s="254"/>
      <c r="AB117" s="793"/>
      <c r="AD117" s="255"/>
      <c r="AE117" s="254"/>
      <c r="AF117" s="254"/>
      <c r="AG117" s="255"/>
      <c r="AH117" s="254"/>
      <c r="AI117" s="254"/>
      <c r="AJ117" s="255"/>
      <c r="AK117" s="254"/>
      <c r="AL117" s="254"/>
      <c r="AM117" s="255"/>
      <c r="AN117" s="254"/>
      <c r="AQ117" s="202"/>
      <c r="AZ117" s="203"/>
      <c r="BF117" s="203"/>
      <c r="BK117" s="203"/>
      <c r="BP117" s="203"/>
      <c r="BQ117" s="202"/>
      <c r="CA117" s="203"/>
      <c r="CR117" s="125"/>
    </row>
    <row r="118" spans="1:96" hidden="1" outlineLevel="2" x14ac:dyDescent="0.25">
      <c r="A118" s="133"/>
      <c r="B118" s="253" t="s">
        <v>103</v>
      </c>
      <c r="C118" s="254" t="s">
        <v>2288</v>
      </c>
      <c r="D118" s="254"/>
      <c r="E118" s="254"/>
      <c r="F118" s="254"/>
      <c r="G118" s="254"/>
      <c r="H118" s="254"/>
      <c r="I118" s="254"/>
      <c r="J118" s="254"/>
      <c r="K118" s="254"/>
      <c r="L118" s="254"/>
      <c r="M118" s="254"/>
      <c r="N118" s="235">
        <f t="shared" si="137"/>
        <v>0</v>
      </c>
      <c r="O118" s="329"/>
      <c r="P118" s="254"/>
      <c r="Q118" s="361"/>
      <c r="R118" s="360"/>
      <c r="S118" s="254"/>
      <c r="T118" s="361"/>
      <c r="U118" s="360"/>
      <c r="V118" s="254"/>
      <c r="W118" s="361"/>
      <c r="X118" s="360"/>
      <c r="Y118" s="254"/>
      <c r="Z118" s="330"/>
      <c r="AA118" s="254"/>
      <c r="AB118" s="793"/>
      <c r="AD118" s="255"/>
      <c r="AE118" s="254"/>
      <c r="AF118" s="254"/>
      <c r="AG118" s="255"/>
      <c r="AH118" s="254"/>
      <c r="AI118" s="254"/>
      <c r="AJ118" s="255"/>
      <c r="AK118" s="254"/>
      <c r="AL118" s="254"/>
      <c r="AM118" s="255"/>
      <c r="AN118" s="254"/>
      <c r="AQ118" s="202"/>
      <c r="AZ118" s="203"/>
      <c r="BF118" s="203"/>
      <c r="BK118" s="203"/>
      <c r="BP118" s="203"/>
      <c r="BQ118" s="202"/>
      <c r="CA118" s="203"/>
      <c r="CR118" s="125"/>
    </row>
    <row r="119" spans="1:96" hidden="1" outlineLevel="2" x14ac:dyDescent="0.25">
      <c r="A119" s="133"/>
      <c r="B119" s="253" t="s">
        <v>338</v>
      </c>
      <c r="C119" s="260" t="s">
        <v>243</v>
      </c>
      <c r="D119" s="254"/>
      <c r="E119" s="254"/>
      <c r="F119" s="254"/>
      <c r="G119" s="254"/>
      <c r="H119" s="254"/>
      <c r="I119" s="254"/>
      <c r="J119" s="254"/>
      <c r="K119" s="254"/>
      <c r="L119" s="254"/>
      <c r="M119" s="254"/>
      <c r="N119" s="235">
        <f>SUM(O119,R119,U119,X119)</f>
        <v>0</v>
      </c>
      <c r="O119" s="329"/>
      <c r="P119" s="254"/>
      <c r="Q119" s="361"/>
      <c r="R119" s="360"/>
      <c r="S119" s="254"/>
      <c r="T119" s="361"/>
      <c r="U119" s="360"/>
      <c r="V119" s="254"/>
      <c r="W119" s="361"/>
      <c r="X119" s="360"/>
      <c r="Y119" s="254"/>
      <c r="Z119" s="330"/>
      <c r="AA119" s="254"/>
      <c r="AB119" s="793"/>
      <c r="AD119" s="255"/>
      <c r="AE119" s="254"/>
      <c r="AF119" s="254"/>
      <c r="AG119" s="255"/>
      <c r="AH119" s="254"/>
      <c r="AI119" s="254"/>
      <c r="AJ119" s="255"/>
      <c r="AK119" s="254"/>
      <c r="AL119" s="254"/>
      <c r="AM119" s="255"/>
      <c r="AN119" s="254"/>
      <c r="AQ119" s="202"/>
      <c r="AZ119" s="203"/>
      <c r="BF119" s="203"/>
      <c r="BK119" s="203"/>
      <c r="BP119" s="203"/>
      <c r="BQ119" s="202"/>
      <c r="CA119" s="203"/>
      <c r="CR119" s="122"/>
    </row>
    <row r="120" spans="1:96" ht="31.5" outlineLevel="1" collapsed="1" x14ac:dyDescent="0.25">
      <c r="A120" s="131" t="s">
        <v>425</v>
      </c>
      <c r="B120" s="113" t="s">
        <v>1657</v>
      </c>
      <c r="C120" s="1028" t="s">
        <v>243</v>
      </c>
      <c r="D120" s="113"/>
      <c r="E120" s="490"/>
      <c r="F120" s="108" t="s">
        <v>222</v>
      </c>
      <c r="G120" s="111" t="s">
        <v>563</v>
      </c>
      <c r="H120" s="111" t="s">
        <v>242</v>
      </c>
      <c r="I120" s="111" t="s">
        <v>242</v>
      </c>
      <c r="J120" s="111" t="s">
        <v>242</v>
      </c>
      <c r="K120" s="111" t="s">
        <v>242</v>
      </c>
      <c r="L120" s="111" t="s">
        <v>242</v>
      </c>
      <c r="M120" s="108">
        <v>2</v>
      </c>
      <c r="N120" s="235">
        <f t="shared" si="137"/>
        <v>4</v>
      </c>
      <c r="O120" s="200" t="str">
        <f t="shared" ref="O120:O130" si="150">IF(AC120="ДА",$M120,"")</f>
        <v/>
      </c>
      <c r="P120" s="144"/>
      <c r="Q120" s="357">
        <f>IF(AC120="ДА",ROUNDUP(O120/5,0),0)</f>
        <v>0</v>
      </c>
      <c r="R120" s="356">
        <f>IF(AF120="ДА",$M120,"")</f>
        <v>2</v>
      </c>
      <c r="S120" s="144"/>
      <c r="T120" s="357">
        <f>IF(AF120="ДА",ROUNDUP(R120/5,0),0)</f>
        <v>1</v>
      </c>
      <c r="U120" s="356">
        <f t="shared" ref="U120:U130" si="151">IF(AI120="ДА",$M120,"")</f>
        <v>2</v>
      </c>
      <c r="V120" s="144"/>
      <c r="W120" s="357">
        <f>IF(AI120="ДА",ROUNDUP(U120/5,0),0)</f>
        <v>1</v>
      </c>
      <c r="X120" s="356" t="str">
        <f t="shared" ref="X120:X130" si="152">IF(AL120="ДА",$M120,"")</f>
        <v/>
      </c>
      <c r="Y120" s="144"/>
      <c r="Z120" s="201">
        <f>IF(AL120="ДА",ROUNDUP(X120/5,0),0)</f>
        <v>0</v>
      </c>
      <c r="AA120" s="388" t="str">
        <f>IF(OR(AC120="ДА",AF120="ДА",AI120="ДА",AL120="ДА"),"ДА","НЕТ")</f>
        <v>ДА</v>
      </c>
      <c r="AB120" s="388"/>
      <c r="AC120" s="37" t="str">
        <f>IF(AC$8=$BT$9,$BT120,IF(AC$8=$BS$9,$BS120,IF(AC$8=$BU$9,$BU120,IF(AC$8=$BV$9,$BV120,IF(AC$8=$BW$9,$BW120,IF(AC$8=$BX$9,$BX120,IF(AC$8=$BY$9,$BY120,IF(AC$8=$BZ$9,$BZ120,IF(AC$8=$CA$9,$CA120,IF(AC$8=$CC$9,$CC120,IF(AC$8=$CD$9,$CD120,IF(AC$8=$CE$9,$CE120,IF(AC$8=$CF$9,$CF120,IF(AC$8=$CG$9,$CG120,IF(AC$8=$CH$9,$CH120,IF(AC$8=$CI$9,$CI120,IF(AC$8=$CJ$9,$CJ120,IF(AC$8=$CK$9,$CK120,IF(AC$8=$CL$9,$CL120,IF(AC$8=$CM$9,$CM120,IF(AC$8=$CN$9,$CN120,IF(AC$8=$CO$9,$CO120,IF(AC$8=$CP$9,$CP120,IF(AC$8=$CQ$9,$CQ120,"НЕТ"))))))))))))))))))))))))</f>
        <v>НЕТ</v>
      </c>
      <c r="AD120" s="37" t="str">
        <f>IF(AC120="НЕТ","Не требуется",$CR120)</f>
        <v>Не требуется</v>
      </c>
      <c r="AE120" s="37"/>
      <c r="AF120" s="37" t="str">
        <f t="shared" ref="AF120:AL120" si="153">IF(AF$8=$BT$9,$BT120,IF(AF$8=$BS$9,$BS120,IF(AF$8=$BU$9,$BU120,IF(AF$8=$BV$9,$BV120,IF(AF$8=$BW$9,$BW120,IF(AF$8=$BX$9,$BX120,IF(AF$8=$BY$9,$BY120,IF(AF$8=$BZ$9,$BZ120,IF(AF$8=$CA$9,$CA120,IF(AF$8=$CC$9,$CC120,IF(AF$8=$CD$9,$CD120,IF(AF$8=$CE$9,$CE120,IF(AF$8=$CF$9,$CF120,IF(AF$8=$CG$9,$CG120,IF(AF$8=$CH$9,$CH120,IF(AF$8=$CI$9,$CI120,IF(AF$8=$CJ$9,$CJ120,IF(AF$8=$CK$9,$CK120,IF(AF$8=$CL$9,$CL120,IF(AF$8=$CM$9,$CM120,IF(AF$8=$CN$9,$CN120,IF(AF$8=$CO$9,$CO120,IF(AF$8=$CP$9,$CP120,IF(AF$8=$CQ$9,$CQ120,"НЕТ"))))))))))))))))))))))))</f>
        <v>ДА</v>
      </c>
      <c r="AG120" s="37" t="str">
        <f t="shared" si="153"/>
        <v>НЕТ</v>
      </c>
      <c r="AH120" s="37" t="str">
        <f t="shared" si="153"/>
        <v>НЕТ</v>
      </c>
      <c r="AI120" s="37" t="str">
        <f t="shared" si="153"/>
        <v>ДА</v>
      </c>
      <c r="AJ120" s="37" t="str">
        <f t="shared" si="153"/>
        <v>НЕТ</v>
      </c>
      <c r="AK120" s="37" t="str">
        <f t="shared" si="153"/>
        <v>НЕТ</v>
      </c>
      <c r="AL120" s="37" t="str">
        <f t="shared" si="153"/>
        <v>НЕТ</v>
      </c>
      <c r="AM120" s="37" t="str">
        <f>IF(AL120="НЕТ","Не требуется",$CR120)</f>
        <v>Не требуется</v>
      </c>
      <c r="AN120" s="37"/>
      <c r="AQ120" s="200"/>
      <c r="AR120" s="230"/>
      <c r="AS120" s="144">
        <f>IF(BS120="ДА",$M120,"")</f>
        <v>2</v>
      </c>
      <c r="AT120" s="144" t="str">
        <f t="shared" ref="AT120:AV120" si="154">IF(BT120="ДА",$M120,"")</f>
        <v/>
      </c>
      <c r="AU120" s="144" t="str">
        <f t="shared" si="154"/>
        <v/>
      </c>
      <c r="AV120" s="144">
        <f t="shared" si="154"/>
        <v>2</v>
      </c>
      <c r="AW120" s="144">
        <f>IF(BX120="ДА",$M120,"")</f>
        <v>2</v>
      </c>
      <c r="AX120" s="144">
        <f>IF(BY120="ДА",$M120,"")</f>
        <v>2</v>
      </c>
      <c r="AY120" s="144">
        <f>IF(BZ120="ДА",$M120,"")</f>
        <v>2</v>
      </c>
      <c r="AZ120" s="201">
        <f>IF(CA120="ДА",$M120,"")</f>
        <v>2</v>
      </c>
      <c r="BA120" s="235"/>
      <c r="BB120" s="144">
        <f t="shared" ref="BB120:BP120" si="155">IF(CC120="ДА",$M120,"")</f>
        <v>2</v>
      </c>
      <c r="BC120" s="144">
        <f t="shared" si="155"/>
        <v>2</v>
      </c>
      <c r="BD120" s="144">
        <f t="shared" si="155"/>
        <v>2</v>
      </c>
      <c r="BE120" s="144" t="str">
        <f t="shared" si="155"/>
        <v/>
      </c>
      <c r="BF120" s="201" t="str">
        <f t="shared" si="155"/>
        <v/>
      </c>
      <c r="BG120" s="144">
        <f t="shared" si="155"/>
        <v>2</v>
      </c>
      <c r="BH120" s="144">
        <f t="shared" si="155"/>
        <v>2</v>
      </c>
      <c r="BI120" s="144">
        <f t="shared" si="155"/>
        <v>2</v>
      </c>
      <c r="BJ120" s="144" t="str">
        <f t="shared" si="155"/>
        <v/>
      </c>
      <c r="BK120" s="201">
        <f t="shared" si="155"/>
        <v>2</v>
      </c>
      <c r="BL120" s="144" t="str">
        <f t="shared" si="155"/>
        <v/>
      </c>
      <c r="BM120" s="144" t="str">
        <f t="shared" si="155"/>
        <v/>
      </c>
      <c r="BN120" s="144" t="str">
        <f t="shared" si="155"/>
        <v/>
      </c>
      <c r="BO120" s="144" t="str">
        <f t="shared" si="155"/>
        <v/>
      </c>
      <c r="BP120" s="201" t="str">
        <f t="shared" si="155"/>
        <v/>
      </c>
      <c r="BQ120" s="209"/>
      <c r="BR120" s="388"/>
      <c r="BS120" s="37" t="s">
        <v>246</v>
      </c>
      <c r="BT120" s="37" t="s">
        <v>255</v>
      </c>
      <c r="BU120" s="37" t="s">
        <v>255</v>
      </c>
      <c r="BV120" s="37" t="s">
        <v>246</v>
      </c>
      <c r="BW120" s="37" t="s">
        <v>246</v>
      </c>
      <c r="BX120" s="37" t="s">
        <v>246</v>
      </c>
      <c r="BY120" s="37" t="s">
        <v>246</v>
      </c>
      <c r="BZ120" s="37" t="s">
        <v>246</v>
      </c>
      <c r="CA120" s="123" t="s">
        <v>246</v>
      </c>
      <c r="CB120" s="223"/>
      <c r="CC120" s="37" t="s">
        <v>246</v>
      </c>
      <c r="CD120" s="37" t="s">
        <v>246</v>
      </c>
      <c r="CE120" s="37" t="s">
        <v>246</v>
      </c>
      <c r="CF120" s="37" t="s">
        <v>255</v>
      </c>
      <c r="CG120" s="37" t="s">
        <v>255</v>
      </c>
      <c r="CH120" s="37" t="s">
        <v>246</v>
      </c>
      <c r="CI120" s="37" t="s">
        <v>246</v>
      </c>
      <c r="CJ120" s="37" t="s">
        <v>246</v>
      </c>
      <c r="CK120" s="37" t="s">
        <v>255</v>
      </c>
      <c r="CL120" s="37" t="s">
        <v>246</v>
      </c>
      <c r="CM120" s="37" t="s">
        <v>255</v>
      </c>
      <c r="CN120" s="37" t="s">
        <v>255</v>
      </c>
      <c r="CO120" s="37" t="s">
        <v>255</v>
      </c>
      <c r="CP120" s="37" t="s">
        <v>255</v>
      </c>
      <c r="CQ120" s="37" t="s">
        <v>255</v>
      </c>
      <c r="CR120" s="123" t="s">
        <v>300</v>
      </c>
    </row>
    <row r="121" spans="1:96" ht="30" hidden="1" outlineLevel="2" x14ac:dyDescent="0.25">
      <c r="A121" s="133"/>
      <c r="B121" s="253" t="s">
        <v>105</v>
      </c>
      <c r="C121" s="254"/>
      <c r="D121" s="254"/>
      <c r="E121" s="254"/>
      <c r="F121" s="254"/>
      <c r="G121" s="254"/>
      <c r="H121" s="254"/>
      <c r="I121" s="254"/>
      <c r="J121" s="254"/>
      <c r="K121" s="254"/>
      <c r="L121" s="254"/>
      <c r="M121" s="254"/>
      <c r="N121" s="235">
        <f t="shared" si="137"/>
        <v>0</v>
      </c>
      <c r="O121" s="200" t="str">
        <f t="shared" si="150"/>
        <v/>
      </c>
      <c r="P121" s="254"/>
      <c r="Q121" s="361"/>
      <c r="R121" s="360"/>
      <c r="S121" s="254"/>
      <c r="T121" s="361"/>
      <c r="U121" s="356" t="str">
        <f t="shared" si="151"/>
        <v/>
      </c>
      <c r="V121" s="254"/>
      <c r="W121" s="361"/>
      <c r="X121" s="356" t="str">
        <f t="shared" si="152"/>
        <v/>
      </c>
      <c r="Y121" s="254"/>
      <c r="Z121" s="330"/>
      <c r="AA121" s="254"/>
      <c r="AB121" s="793"/>
      <c r="AD121" s="255"/>
      <c r="AE121" s="254"/>
      <c r="AF121" s="254"/>
      <c r="AG121" s="255"/>
      <c r="AH121" s="254"/>
      <c r="AI121" s="254"/>
      <c r="AJ121" s="255"/>
      <c r="AK121" s="254"/>
      <c r="AL121" s="254"/>
      <c r="AM121" s="255"/>
      <c r="AN121" s="254"/>
      <c r="AQ121" s="202"/>
      <c r="AZ121" s="203"/>
      <c r="BF121" s="203"/>
      <c r="BK121" s="203"/>
      <c r="BP121" s="203"/>
      <c r="BQ121" s="202"/>
      <c r="CA121" s="203"/>
      <c r="CR121" s="122"/>
    </row>
    <row r="122" spans="1:96" ht="30" hidden="1" outlineLevel="2" x14ac:dyDescent="0.25">
      <c r="A122" s="133"/>
      <c r="B122" s="253" t="s">
        <v>106</v>
      </c>
      <c r="C122" s="254"/>
      <c r="D122" s="254"/>
      <c r="E122" s="254"/>
      <c r="F122" s="254"/>
      <c r="G122" s="254"/>
      <c r="H122" s="254"/>
      <c r="I122" s="254"/>
      <c r="J122" s="254"/>
      <c r="K122" s="254"/>
      <c r="L122" s="254"/>
      <c r="M122" s="254"/>
      <c r="N122" s="235">
        <f t="shared" si="137"/>
        <v>0</v>
      </c>
      <c r="O122" s="200" t="str">
        <f t="shared" si="150"/>
        <v/>
      </c>
      <c r="P122" s="254"/>
      <c r="Q122" s="361"/>
      <c r="R122" s="360"/>
      <c r="S122" s="254"/>
      <c r="T122" s="361"/>
      <c r="U122" s="356" t="str">
        <f t="shared" si="151"/>
        <v/>
      </c>
      <c r="V122" s="254"/>
      <c r="W122" s="361"/>
      <c r="X122" s="356" t="str">
        <f t="shared" si="152"/>
        <v/>
      </c>
      <c r="Y122" s="254"/>
      <c r="Z122" s="330"/>
      <c r="AA122" s="254"/>
      <c r="AB122" s="793"/>
      <c r="AD122" s="255"/>
      <c r="AE122" s="254"/>
      <c r="AF122" s="254"/>
      <c r="AG122" s="255"/>
      <c r="AH122" s="254"/>
      <c r="AI122" s="254"/>
      <c r="AJ122" s="255"/>
      <c r="AK122" s="254"/>
      <c r="AL122" s="254"/>
      <c r="AM122" s="255"/>
      <c r="AN122" s="254"/>
      <c r="AQ122" s="202"/>
      <c r="AZ122" s="203"/>
      <c r="BF122" s="203"/>
      <c r="BK122" s="203"/>
      <c r="BP122" s="203"/>
      <c r="BQ122" s="202"/>
      <c r="CA122" s="203"/>
      <c r="CR122" s="122"/>
    </row>
    <row r="123" spans="1:96" s="846" customFormat="1" ht="165" hidden="1" outlineLevel="2" x14ac:dyDescent="0.25">
      <c r="A123" s="133"/>
      <c r="B123" s="253" t="s">
        <v>1827</v>
      </c>
      <c r="C123" s="254"/>
      <c r="D123" s="254"/>
      <c r="E123" s="254"/>
      <c r="F123" s="254"/>
      <c r="G123" s="254"/>
      <c r="H123" s="254"/>
      <c r="I123" s="254"/>
      <c r="J123" s="254"/>
      <c r="K123" s="254"/>
      <c r="L123" s="254"/>
      <c r="M123" s="254"/>
      <c r="N123" s="845">
        <f t="shared" si="137"/>
        <v>0</v>
      </c>
      <c r="O123" s="849" t="str">
        <f t="shared" si="150"/>
        <v/>
      </c>
      <c r="P123" s="254"/>
      <c r="Q123" s="361"/>
      <c r="R123" s="360"/>
      <c r="S123" s="254"/>
      <c r="T123" s="361"/>
      <c r="U123" s="850" t="str">
        <f t="shared" si="151"/>
        <v/>
      </c>
      <c r="V123" s="254"/>
      <c r="W123" s="361"/>
      <c r="X123" s="850" t="str">
        <f t="shared" si="152"/>
        <v/>
      </c>
      <c r="Y123" s="254"/>
      <c r="Z123" s="330"/>
      <c r="AA123" s="254"/>
      <c r="AB123" s="793"/>
      <c r="AD123" s="255"/>
      <c r="AE123" s="254"/>
      <c r="AF123" s="254"/>
      <c r="AG123" s="255"/>
      <c r="AH123" s="254"/>
      <c r="AI123" s="254"/>
      <c r="AJ123" s="255"/>
      <c r="AK123" s="254"/>
      <c r="AL123" s="254"/>
      <c r="AM123" s="255"/>
      <c r="AN123" s="254"/>
      <c r="AQ123" s="847"/>
      <c r="AZ123" s="848"/>
      <c r="BF123" s="848"/>
      <c r="BK123" s="848"/>
      <c r="BP123" s="848"/>
      <c r="BQ123" s="847"/>
      <c r="CA123" s="848"/>
      <c r="CR123" s="122"/>
    </row>
    <row r="124" spans="1:96" s="846" customFormat="1" ht="375" hidden="1" outlineLevel="2" x14ac:dyDescent="0.25">
      <c r="A124" s="133"/>
      <c r="B124" s="253" t="s">
        <v>1829</v>
      </c>
      <c r="C124" s="254"/>
      <c r="D124" s="254"/>
      <c r="E124" s="254"/>
      <c r="F124" s="254"/>
      <c r="G124" s="254"/>
      <c r="H124" s="254"/>
      <c r="I124" s="254"/>
      <c r="J124" s="254"/>
      <c r="K124" s="254"/>
      <c r="L124" s="254"/>
      <c r="M124" s="254"/>
      <c r="N124" s="845">
        <f t="shared" si="137"/>
        <v>0</v>
      </c>
      <c r="O124" s="849" t="str">
        <f t="shared" si="150"/>
        <v/>
      </c>
      <c r="P124" s="254"/>
      <c r="Q124" s="361"/>
      <c r="R124" s="360"/>
      <c r="S124" s="254"/>
      <c r="T124" s="361"/>
      <c r="U124" s="850" t="str">
        <f t="shared" si="151"/>
        <v/>
      </c>
      <c r="V124" s="254"/>
      <c r="W124" s="361"/>
      <c r="X124" s="850" t="str">
        <f t="shared" si="152"/>
        <v/>
      </c>
      <c r="Y124" s="254"/>
      <c r="Z124" s="330"/>
      <c r="AA124" s="254"/>
      <c r="AB124" s="793"/>
      <c r="AD124" s="255"/>
      <c r="AE124" s="254"/>
      <c r="AF124" s="254"/>
      <c r="AG124" s="255"/>
      <c r="AH124" s="254"/>
      <c r="AI124" s="254"/>
      <c r="AJ124" s="255"/>
      <c r="AK124" s="254"/>
      <c r="AL124" s="254"/>
      <c r="AM124" s="255"/>
      <c r="AN124" s="254"/>
      <c r="AQ124" s="847"/>
      <c r="AZ124" s="848"/>
      <c r="BF124" s="848"/>
      <c r="BK124" s="848"/>
      <c r="BP124" s="848"/>
      <c r="BQ124" s="847"/>
      <c r="CA124" s="848"/>
      <c r="CR124" s="122"/>
    </row>
    <row r="125" spans="1:96" hidden="1" outlineLevel="2" x14ac:dyDescent="0.25">
      <c r="A125" s="133"/>
      <c r="B125" s="253" t="s">
        <v>1810</v>
      </c>
      <c r="C125" s="254"/>
      <c r="D125" s="254"/>
      <c r="E125" s="254"/>
      <c r="F125" s="254"/>
      <c r="G125" s="254"/>
      <c r="H125" s="254"/>
      <c r="I125" s="254"/>
      <c r="J125" s="254"/>
      <c r="K125" s="254"/>
      <c r="L125" s="254"/>
      <c r="M125" s="254"/>
      <c r="N125" s="235">
        <f t="shared" si="137"/>
        <v>0</v>
      </c>
      <c r="O125" s="200" t="str">
        <f t="shared" si="150"/>
        <v/>
      </c>
      <c r="P125" s="254"/>
      <c r="Q125" s="361"/>
      <c r="R125" s="360"/>
      <c r="S125" s="254"/>
      <c r="T125" s="361"/>
      <c r="U125" s="356" t="str">
        <f t="shared" si="151"/>
        <v/>
      </c>
      <c r="V125" s="254"/>
      <c r="W125" s="361"/>
      <c r="X125" s="356" t="str">
        <f t="shared" si="152"/>
        <v/>
      </c>
      <c r="Y125" s="254"/>
      <c r="Z125" s="330"/>
      <c r="AA125" s="254"/>
      <c r="AB125" s="793"/>
      <c r="AD125" s="255"/>
      <c r="AE125" s="254"/>
      <c r="AF125" s="254"/>
      <c r="AG125" s="255"/>
      <c r="AH125" s="254"/>
      <c r="AI125" s="254"/>
      <c r="AJ125" s="255"/>
      <c r="AK125" s="254"/>
      <c r="AL125" s="254"/>
      <c r="AM125" s="255"/>
      <c r="AN125" s="254"/>
      <c r="AQ125" s="202"/>
      <c r="AZ125" s="203"/>
      <c r="BF125" s="203"/>
      <c r="BK125" s="203"/>
      <c r="BP125" s="203"/>
      <c r="BQ125" s="202"/>
      <c r="CA125" s="203"/>
      <c r="CR125" s="122"/>
    </row>
    <row r="126" spans="1:96" hidden="1" outlineLevel="2" x14ac:dyDescent="0.25">
      <c r="A126" s="133"/>
      <c r="B126" s="253" t="s">
        <v>113</v>
      </c>
      <c r="C126" s="254"/>
      <c r="D126" s="254"/>
      <c r="E126" s="254"/>
      <c r="F126" s="254"/>
      <c r="G126" s="254"/>
      <c r="H126" s="254"/>
      <c r="I126" s="254"/>
      <c r="J126" s="254"/>
      <c r="K126" s="254"/>
      <c r="L126" s="254"/>
      <c r="M126" s="254"/>
      <c r="N126" s="235">
        <f t="shared" si="137"/>
        <v>0</v>
      </c>
      <c r="O126" s="200" t="str">
        <f t="shared" si="150"/>
        <v/>
      </c>
      <c r="P126" s="254"/>
      <c r="Q126" s="361"/>
      <c r="R126" s="360"/>
      <c r="S126" s="254"/>
      <c r="T126" s="361"/>
      <c r="U126" s="356" t="str">
        <f t="shared" si="151"/>
        <v/>
      </c>
      <c r="V126" s="254"/>
      <c r="W126" s="361"/>
      <c r="X126" s="356" t="str">
        <f t="shared" si="152"/>
        <v/>
      </c>
      <c r="Y126" s="254"/>
      <c r="Z126" s="330"/>
      <c r="AA126" s="254"/>
      <c r="AB126" s="793"/>
      <c r="AD126" s="255"/>
      <c r="AE126" s="254"/>
      <c r="AF126" s="254"/>
      <c r="AG126" s="255"/>
      <c r="AH126" s="254"/>
      <c r="AI126" s="254"/>
      <c r="AJ126" s="255"/>
      <c r="AK126" s="254"/>
      <c r="AL126" s="254"/>
      <c r="AM126" s="255"/>
      <c r="AN126" s="254"/>
      <c r="AQ126" s="202"/>
      <c r="AZ126" s="203"/>
      <c r="BF126" s="203"/>
      <c r="BK126" s="203"/>
      <c r="BP126" s="203"/>
      <c r="BQ126" s="202"/>
      <c r="CA126" s="203"/>
      <c r="CR126" s="122"/>
    </row>
    <row r="127" spans="1:96" hidden="1" outlineLevel="2" x14ac:dyDescent="0.25">
      <c r="A127" s="133"/>
      <c r="B127" s="253" t="s">
        <v>114</v>
      </c>
      <c r="C127" s="254"/>
      <c r="D127" s="254"/>
      <c r="E127" s="254"/>
      <c r="F127" s="254"/>
      <c r="G127" s="254"/>
      <c r="H127" s="254"/>
      <c r="I127" s="254"/>
      <c r="J127" s="254"/>
      <c r="K127" s="254"/>
      <c r="L127" s="254"/>
      <c r="M127" s="254"/>
      <c r="N127" s="235">
        <f t="shared" si="137"/>
        <v>0</v>
      </c>
      <c r="O127" s="200" t="str">
        <f t="shared" si="150"/>
        <v/>
      </c>
      <c r="P127" s="254"/>
      <c r="Q127" s="361"/>
      <c r="R127" s="360"/>
      <c r="S127" s="254"/>
      <c r="T127" s="361"/>
      <c r="U127" s="356" t="str">
        <f t="shared" si="151"/>
        <v/>
      </c>
      <c r="V127" s="254"/>
      <c r="W127" s="361"/>
      <c r="X127" s="356" t="str">
        <f t="shared" si="152"/>
        <v/>
      </c>
      <c r="Y127" s="254"/>
      <c r="Z127" s="330"/>
      <c r="AA127" s="254"/>
      <c r="AB127" s="793"/>
      <c r="AD127" s="255"/>
      <c r="AE127" s="254"/>
      <c r="AF127" s="254"/>
      <c r="AG127" s="255"/>
      <c r="AH127" s="254"/>
      <c r="AI127" s="254"/>
      <c r="AJ127" s="255"/>
      <c r="AK127" s="254"/>
      <c r="AL127" s="254"/>
      <c r="AM127" s="255"/>
      <c r="AN127" s="254"/>
      <c r="AQ127" s="202"/>
      <c r="AZ127" s="203"/>
      <c r="BF127" s="203"/>
      <c r="BK127" s="203"/>
      <c r="BP127" s="203"/>
      <c r="BQ127" s="202"/>
      <c r="CA127" s="203"/>
      <c r="CR127" s="122"/>
    </row>
    <row r="128" spans="1:96" hidden="1" outlineLevel="2" x14ac:dyDescent="0.25">
      <c r="A128" s="133"/>
      <c r="B128" s="253" t="s">
        <v>116</v>
      </c>
      <c r="C128" s="254"/>
      <c r="D128" s="254"/>
      <c r="E128" s="254"/>
      <c r="F128" s="254"/>
      <c r="G128" s="254"/>
      <c r="H128" s="254"/>
      <c r="I128" s="254"/>
      <c r="J128" s="254"/>
      <c r="K128" s="254"/>
      <c r="L128" s="254"/>
      <c r="M128" s="254"/>
      <c r="N128" s="235">
        <f t="shared" ref="N128" si="156">SUM(O128,R128,U128,X128)</f>
        <v>0</v>
      </c>
      <c r="O128" s="200" t="str">
        <f t="shared" si="150"/>
        <v/>
      </c>
      <c r="P128" s="254"/>
      <c r="Q128" s="361"/>
      <c r="R128" s="360"/>
      <c r="S128" s="254"/>
      <c r="T128" s="361"/>
      <c r="U128" s="356" t="str">
        <f t="shared" si="151"/>
        <v/>
      </c>
      <c r="V128" s="254"/>
      <c r="W128" s="361"/>
      <c r="X128" s="356" t="str">
        <f t="shared" si="152"/>
        <v/>
      </c>
      <c r="Y128" s="254"/>
      <c r="Z128" s="330"/>
      <c r="AA128" s="254"/>
      <c r="AB128" s="793"/>
      <c r="AD128" s="255"/>
      <c r="AE128" s="254"/>
      <c r="AF128" s="254"/>
      <c r="AG128" s="255"/>
      <c r="AH128" s="254"/>
      <c r="AI128" s="254"/>
      <c r="AJ128" s="255"/>
      <c r="AK128" s="254"/>
      <c r="AL128" s="254"/>
      <c r="AM128" s="255"/>
      <c r="AN128" s="254"/>
      <c r="AQ128" s="202"/>
      <c r="AZ128" s="203"/>
      <c r="BF128" s="203"/>
      <c r="BK128" s="203"/>
      <c r="BP128" s="203"/>
      <c r="BQ128" s="202"/>
      <c r="CA128" s="203"/>
      <c r="CR128" s="122"/>
    </row>
    <row r="129" spans="1:96" ht="90" hidden="1" outlineLevel="2" x14ac:dyDescent="0.25">
      <c r="A129" s="133"/>
      <c r="B129" s="265" t="s">
        <v>1811</v>
      </c>
      <c r="C129" s="266"/>
      <c r="D129" s="266"/>
      <c r="E129" s="266"/>
      <c r="F129" s="266"/>
      <c r="G129" s="266"/>
      <c r="H129" s="266"/>
      <c r="I129" s="266"/>
      <c r="J129" s="266"/>
      <c r="K129" s="266"/>
      <c r="L129" s="266"/>
      <c r="M129" s="266"/>
      <c r="N129" s="235">
        <f t="shared" si="137"/>
        <v>0</v>
      </c>
      <c r="O129" s="200" t="str">
        <f t="shared" si="150"/>
        <v/>
      </c>
      <c r="P129" s="266"/>
      <c r="Q129" s="369"/>
      <c r="R129" s="368"/>
      <c r="S129" s="266"/>
      <c r="T129" s="369"/>
      <c r="U129" s="356" t="str">
        <f t="shared" si="151"/>
        <v/>
      </c>
      <c r="V129" s="266"/>
      <c r="W129" s="369"/>
      <c r="X129" s="356" t="str">
        <f t="shared" si="152"/>
        <v/>
      </c>
      <c r="Y129" s="266"/>
      <c r="Z129" s="338"/>
      <c r="AA129" s="266"/>
      <c r="AB129" s="795"/>
      <c r="AD129" s="267"/>
      <c r="AE129" s="266"/>
      <c r="AF129" s="266"/>
      <c r="AG129" s="267"/>
      <c r="AH129" s="266"/>
      <c r="AI129" s="266"/>
      <c r="AJ129" s="267"/>
      <c r="AK129" s="266"/>
      <c r="AL129" s="266"/>
      <c r="AM129" s="267"/>
      <c r="AN129" s="266"/>
      <c r="AQ129" s="202"/>
      <c r="AZ129" s="203"/>
      <c r="BF129" s="203"/>
      <c r="BK129" s="203"/>
      <c r="BP129" s="203"/>
      <c r="BQ129" s="202"/>
      <c r="CA129" s="203"/>
      <c r="CR129" s="122"/>
    </row>
    <row r="130" spans="1:96" ht="173.25" outlineLevel="1" collapsed="1" x14ac:dyDescent="0.25">
      <c r="A130" s="134" t="s">
        <v>426</v>
      </c>
      <c r="B130" s="114" t="s">
        <v>1812</v>
      </c>
      <c r="C130" s="1022" t="s">
        <v>243</v>
      </c>
      <c r="D130" s="114"/>
      <c r="E130" s="491"/>
      <c r="F130" s="808" t="s">
        <v>326</v>
      </c>
      <c r="G130" s="808" t="s">
        <v>1754</v>
      </c>
      <c r="H130" s="111" t="s">
        <v>1694</v>
      </c>
      <c r="I130" s="111" t="s">
        <v>242</v>
      </c>
      <c r="J130" s="111" t="s">
        <v>1694</v>
      </c>
      <c r="K130" s="111" t="s">
        <v>242</v>
      </c>
      <c r="L130" s="111" t="s">
        <v>243</v>
      </c>
      <c r="M130" s="109">
        <v>2</v>
      </c>
      <c r="N130" s="235">
        <f t="shared" si="137"/>
        <v>0</v>
      </c>
      <c r="O130" s="200" t="str">
        <f t="shared" si="150"/>
        <v/>
      </c>
      <c r="P130" s="144"/>
      <c r="Q130" s="357">
        <f>IF(AC130="ДА",ROUNDUP(O130/5,0),0)</f>
        <v>0</v>
      </c>
      <c r="R130" s="356" t="str">
        <f>IF(AF130="ДА",$M130,"")</f>
        <v/>
      </c>
      <c r="S130" s="144"/>
      <c r="T130" s="357">
        <f>IF(AF130="ДА",ROUNDUP(R130/5,0),0)</f>
        <v>0</v>
      </c>
      <c r="U130" s="356" t="str">
        <f t="shared" si="151"/>
        <v/>
      </c>
      <c r="V130" s="144"/>
      <c r="W130" s="357">
        <f>IF(AI130="ДА",ROUNDUP(U130/5,0),0)</f>
        <v>0</v>
      </c>
      <c r="X130" s="356" t="str">
        <f t="shared" si="152"/>
        <v/>
      </c>
      <c r="Y130" s="144"/>
      <c r="Z130" s="201">
        <f>IF(AL130="ДА",ROUNDUP(X130/5,0),0)</f>
        <v>0</v>
      </c>
      <c r="AA130" s="389" t="str">
        <f>IF(OR(AC130="ДА",AF130="ДА",AI130="ДА",AL130="ДА"),"ДА","НЕТ")</f>
        <v>НЕТ</v>
      </c>
      <c r="AB130" s="389"/>
      <c r="AC130" s="37" t="str">
        <f>IF(AC$8=$BT$9,$BT130,IF(AC$8=$BS$9,$BS130,IF(AC$8=$BU$9,$BU130,IF(AC$8=$BV$9,$BV130,IF(AC$8=$BW$9,$BW130,IF(AC$8=$BX$9,$BX130,IF(AC$8=$BY$9,$BY130,IF(AC$8=$BZ$9,$BZ130,IF(AC$8=$CA$9,$CA130,IF(AC$8=$CC$9,$CC130,IF(AC$8=$CD$9,$CD130,IF(AC$8=$CE$9,$CE130,IF(AC$8=$CF$9,$CF130,IF(AC$8=$CG$9,$CG130,IF(AC$8=$CH$9,$CH130,IF(AC$8=$CI$9,$CI130,IF(AC$8=$CJ$9,$CJ130,IF(AC$8=$CK$9,$CK130,IF(AC$8=$CL$9,$CL130,IF(AC$8=$CM$9,$CM130,IF(AC$8=$CN$9,$CN130,IF(AC$8=$CO$9,$CO130,IF(AC$8=$CP$9,$CP130,IF(AC$8=$CQ$9,$CQ130,"НЕТ"))))))))))))))))))))))))</f>
        <v>НЕТ</v>
      </c>
      <c r="AD130" s="37" t="str">
        <f>IF(AC130="НЕТ","Не требуется",$CR130)</f>
        <v>Не требуется</v>
      </c>
      <c r="AE130" s="37"/>
      <c r="AF130" s="37" t="str">
        <f t="shared" ref="AF130:AL130" si="157">IF(AF$8=$BT$9,$BT130,IF(AF$8=$BS$9,$BS130,IF(AF$8=$BU$9,$BU130,IF(AF$8=$BV$9,$BV130,IF(AF$8=$BW$9,$BW130,IF(AF$8=$BX$9,$BX130,IF(AF$8=$BY$9,$BY130,IF(AF$8=$BZ$9,$BZ130,IF(AF$8=$CA$9,$CA130,IF(AF$8=$CC$9,$CC130,IF(AF$8=$CD$9,$CD130,IF(AF$8=$CE$9,$CE130,IF(AF$8=$CF$9,$CF130,IF(AF$8=$CG$9,$CG130,IF(AF$8=$CH$9,$CH130,IF(AF$8=$CI$9,$CI130,IF(AF$8=$CJ$9,$CJ130,IF(AF$8=$CK$9,$CK130,IF(AF$8=$CL$9,$CL130,IF(AF$8=$CM$9,$CM130,IF(AF$8=$CN$9,$CN130,IF(AF$8=$CO$9,$CO130,IF(AF$8=$CP$9,$CP130,IF(AF$8=$CQ$9,$CQ130,"НЕТ"))))))))))))))))))))))))</f>
        <v>НЕТ</v>
      </c>
      <c r="AG130" s="37" t="str">
        <f t="shared" si="157"/>
        <v>НЕТ</v>
      </c>
      <c r="AH130" s="37" t="str">
        <f t="shared" si="157"/>
        <v>НЕТ</v>
      </c>
      <c r="AI130" s="37" t="str">
        <f t="shared" si="157"/>
        <v>НЕТ</v>
      </c>
      <c r="AJ130" s="37" t="str">
        <f t="shared" si="157"/>
        <v>НЕТ</v>
      </c>
      <c r="AK130" s="37" t="str">
        <f t="shared" si="157"/>
        <v>НЕТ</v>
      </c>
      <c r="AL130" s="37" t="str">
        <f t="shared" si="157"/>
        <v>НЕТ</v>
      </c>
      <c r="AM130" s="37" t="str">
        <f>IF(AL130="НЕТ","Не требуется",$CR130)</f>
        <v>Не требуется</v>
      </c>
      <c r="AN130" s="37"/>
      <c r="AQ130" s="200"/>
      <c r="AR130" s="230"/>
      <c r="AS130" s="144" t="str">
        <f>IF(BS130="ДА",$M130,"")</f>
        <v/>
      </c>
      <c r="AT130" s="144" t="str">
        <f t="shared" ref="AT130:AV130" si="158">IF(BT130="ДА",$M130,"")</f>
        <v/>
      </c>
      <c r="AU130" s="144" t="str">
        <f t="shared" si="158"/>
        <v/>
      </c>
      <c r="AV130" s="144" t="str">
        <f t="shared" si="158"/>
        <v/>
      </c>
      <c r="AW130" s="144">
        <f>IF(BX130="ДА",$M130,"")</f>
        <v>2</v>
      </c>
      <c r="AX130" s="144" t="str">
        <f>IF(BY130="ДА",$M130,"")</f>
        <v/>
      </c>
      <c r="AY130" s="144" t="str">
        <f>IF(BZ130="ДА",$M130,"")</f>
        <v/>
      </c>
      <c r="AZ130" s="201" t="str">
        <f>IF(CA130="ДА",$M130,"")</f>
        <v/>
      </c>
      <c r="BA130" s="235"/>
      <c r="BB130" s="144">
        <f t="shared" ref="BB130:BP130" si="159">IF(CC130="ДА",$M130,"")</f>
        <v>2</v>
      </c>
      <c r="BC130" s="144">
        <f t="shared" si="159"/>
        <v>2</v>
      </c>
      <c r="BD130" s="144">
        <f t="shared" si="159"/>
        <v>2</v>
      </c>
      <c r="BE130" s="144" t="str">
        <f t="shared" si="159"/>
        <v/>
      </c>
      <c r="BF130" s="201" t="str">
        <f t="shared" si="159"/>
        <v/>
      </c>
      <c r="BG130" s="144">
        <f t="shared" si="159"/>
        <v>2</v>
      </c>
      <c r="BH130" s="144">
        <f t="shared" si="159"/>
        <v>2</v>
      </c>
      <c r="BI130" s="144">
        <f t="shared" si="159"/>
        <v>2</v>
      </c>
      <c r="BJ130" s="144" t="str">
        <f t="shared" si="159"/>
        <v/>
      </c>
      <c r="BK130" s="201" t="str">
        <f t="shared" si="159"/>
        <v/>
      </c>
      <c r="BL130" s="144" t="str">
        <f t="shared" si="159"/>
        <v/>
      </c>
      <c r="BM130" s="144" t="str">
        <f t="shared" si="159"/>
        <v/>
      </c>
      <c r="BN130" s="144" t="str">
        <f t="shared" si="159"/>
        <v/>
      </c>
      <c r="BO130" s="144" t="str">
        <f t="shared" si="159"/>
        <v/>
      </c>
      <c r="BP130" s="201" t="str">
        <f t="shared" si="159"/>
        <v/>
      </c>
      <c r="BQ130" s="209"/>
      <c r="BR130" s="388"/>
      <c r="BS130" s="37" t="s">
        <v>255</v>
      </c>
      <c r="BT130" s="37" t="s">
        <v>255</v>
      </c>
      <c r="BU130" s="37" t="s">
        <v>255</v>
      </c>
      <c r="BV130" s="37" t="s">
        <v>255</v>
      </c>
      <c r="BW130" s="37" t="s">
        <v>246</v>
      </c>
      <c r="BX130" s="37" t="s">
        <v>246</v>
      </c>
      <c r="BY130" s="37" t="s">
        <v>255</v>
      </c>
      <c r="BZ130" s="37" t="s">
        <v>255</v>
      </c>
      <c r="CA130" s="37" t="s">
        <v>255</v>
      </c>
      <c r="CB130" s="223"/>
      <c r="CC130" s="37" t="s">
        <v>246</v>
      </c>
      <c r="CD130" s="37" t="s">
        <v>246</v>
      </c>
      <c r="CE130" s="37" t="s">
        <v>246</v>
      </c>
      <c r="CF130" s="37" t="s">
        <v>255</v>
      </c>
      <c r="CG130" s="37" t="s">
        <v>255</v>
      </c>
      <c r="CH130" s="37" t="s">
        <v>246</v>
      </c>
      <c r="CI130" s="37" t="s">
        <v>246</v>
      </c>
      <c r="CJ130" s="37" t="s">
        <v>246</v>
      </c>
      <c r="CK130" s="37" t="s">
        <v>255</v>
      </c>
      <c r="CL130" s="37" t="s">
        <v>255</v>
      </c>
      <c r="CM130" s="37" t="s">
        <v>255</v>
      </c>
      <c r="CN130" s="37" t="s">
        <v>255</v>
      </c>
      <c r="CO130" s="37" t="s">
        <v>255</v>
      </c>
      <c r="CP130" s="37" t="s">
        <v>255</v>
      </c>
      <c r="CQ130" s="37" t="s">
        <v>255</v>
      </c>
      <c r="CR130" s="123" t="s">
        <v>302</v>
      </c>
    </row>
    <row r="131" spans="1:96" s="846" customFormat="1" ht="150" hidden="1" outlineLevel="2" x14ac:dyDescent="0.25">
      <c r="A131" s="133"/>
      <c r="B131" s="253" t="s">
        <v>1697</v>
      </c>
      <c r="C131" s="260"/>
      <c r="D131" s="254"/>
      <c r="E131" s="254"/>
      <c r="F131" s="254"/>
      <c r="G131" s="254"/>
      <c r="H131" s="844" t="s">
        <v>243</v>
      </c>
      <c r="I131" s="844" t="s">
        <v>242</v>
      </c>
      <c r="J131" s="844" t="s">
        <v>243</v>
      </c>
      <c r="K131" s="844" t="s">
        <v>242</v>
      </c>
      <c r="L131" s="844" t="s">
        <v>243</v>
      </c>
      <c r="M131" s="254"/>
      <c r="N131" s="845">
        <f t="shared" si="137"/>
        <v>0</v>
      </c>
      <c r="O131" s="329"/>
      <c r="P131" s="254"/>
      <c r="Q131" s="361"/>
      <c r="R131" s="360"/>
      <c r="S131" s="254"/>
      <c r="T131" s="361"/>
      <c r="U131" s="360"/>
      <c r="V131" s="254"/>
      <c r="W131" s="361"/>
      <c r="X131" s="360"/>
      <c r="Y131" s="254"/>
      <c r="Z131" s="330"/>
      <c r="AA131" s="254"/>
      <c r="AB131" s="793"/>
      <c r="AD131" s="255"/>
      <c r="AE131" s="254"/>
      <c r="AF131" s="254"/>
      <c r="AG131" s="255"/>
      <c r="AH131" s="254"/>
      <c r="AI131" s="254"/>
      <c r="AJ131" s="255"/>
      <c r="AK131" s="254"/>
      <c r="AL131" s="254"/>
      <c r="AM131" s="255"/>
      <c r="AN131" s="254"/>
      <c r="AQ131" s="847"/>
      <c r="AZ131" s="848"/>
      <c r="BF131" s="848"/>
      <c r="BK131" s="848"/>
      <c r="BP131" s="848"/>
      <c r="BQ131" s="847"/>
      <c r="CA131" s="848"/>
      <c r="CR131" s="125"/>
    </row>
    <row r="132" spans="1:96" s="846" customFormat="1" ht="225" hidden="1" outlineLevel="2" x14ac:dyDescent="0.25">
      <c r="A132" s="133"/>
      <c r="B132" s="253" t="s">
        <v>1699</v>
      </c>
      <c r="C132" s="260"/>
      <c r="D132" s="254"/>
      <c r="E132" s="254"/>
      <c r="F132" s="254"/>
      <c r="G132" s="254"/>
      <c r="H132" s="844" t="s">
        <v>243</v>
      </c>
      <c r="I132" s="844" t="s">
        <v>242</v>
      </c>
      <c r="J132" s="844" t="s">
        <v>243</v>
      </c>
      <c r="K132" s="844" t="s">
        <v>242</v>
      </c>
      <c r="L132" s="844" t="s">
        <v>243</v>
      </c>
      <c r="M132" s="254"/>
      <c r="N132" s="845">
        <f t="shared" si="137"/>
        <v>0</v>
      </c>
      <c r="O132" s="329"/>
      <c r="P132" s="254"/>
      <c r="Q132" s="361"/>
      <c r="R132" s="360"/>
      <c r="S132" s="254"/>
      <c r="T132" s="361"/>
      <c r="U132" s="360"/>
      <c r="V132" s="254"/>
      <c r="W132" s="361"/>
      <c r="X132" s="360"/>
      <c r="Y132" s="254"/>
      <c r="Z132" s="330"/>
      <c r="AA132" s="254"/>
      <c r="AB132" s="793"/>
      <c r="AD132" s="255"/>
      <c r="AE132" s="254"/>
      <c r="AF132" s="254"/>
      <c r="AG132" s="255"/>
      <c r="AH132" s="254"/>
      <c r="AI132" s="254"/>
      <c r="AJ132" s="255"/>
      <c r="AK132" s="254"/>
      <c r="AL132" s="254"/>
      <c r="AM132" s="255"/>
      <c r="AN132" s="254"/>
      <c r="AQ132" s="847"/>
      <c r="AZ132" s="848"/>
      <c r="BF132" s="848"/>
      <c r="BK132" s="848"/>
      <c r="BP132" s="848"/>
      <c r="BQ132" s="847"/>
      <c r="CA132" s="848"/>
      <c r="CR132" s="122"/>
    </row>
    <row r="133" spans="1:96" s="846" customFormat="1" ht="30" hidden="1" outlineLevel="2" x14ac:dyDescent="0.25">
      <c r="A133" s="133"/>
      <c r="B133" s="253" t="s">
        <v>110</v>
      </c>
      <c r="C133" s="260"/>
      <c r="D133" s="254"/>
      <c r="E133" s="254"/>
      <c r="F133" s="254"/>
      <c r="G133" s="254"/>
      <c r="H133" s="844" t="s">
        <v>242</v>
      </c>
      <c r="I133" s="844" t="s">
        <v>242</v>
      </c>
      <c r="J133" s="844" t="s">
        <v>242</v>
      </c>
      <c r="K133" s="844" t="s">
        <v>242</v>
      </c>
      <c r="L133" s="844" t="s">
        <v>243</v>
      </c>
      <c r="M133" s="254"/>
      <c r="N133" s="845">
        <f t="shared" si="137"/>
        <v>0</v>
      </c>
      <c r="O133" s="329"/>
      <c r="P133" s="254"/>
      <c r="Q133" s="361"/>
      <c r="R133" s="360"/>
      <c r="S133" s="254"/>
      <c r="T133" s="361"/>
      <c r="U133" s="360"/>
      <c r="V133" s="254"/>
      <c r="W133" s="361"/>
      <c r="X133" s="360"/>
      <c r="Y133" s="254"/>
      <c r="Z133" s="330"/>
      <c r="AA133" s="254"/>
      <c r="AB133" s="793"/>
      <c r="AD133" s="255"/>
      <c r="AE133" s="254"/>
      <c r="AF133" s="254"/>
      <c r="AG133" s="255"/>
      <c r="AH133" s="254"/>
      <c r="AI133" s="254"/>
      <c r="AJ133" s="255"/>
      <c r="AK133" s="254"/>
      <c r="AL133" s="254"/>
      <c r="AM133" s="255"/>
      <c r="AN133" s="254"/>
      <c r="AQ133" s="847"/>
      <c r="AZ133" s="848"/>
      <c r="BF133" s="848"/>
      <c r="BK133" s="848"/>
      <c r="BP133" s="848"/>
      <c r="BQ133" s="847"/>
      <c r="CA133" s="848"/>
      <c r="CR133" s="122"/>
    </row>
    <row r="134" spans="1:96" ht="110.25" outlineLevel="1" collapsed="1" x14ac:dyDescent="0.25">
      <c r="A134" s="134" t="s">
        <v>427</v>
      </c>
      <c r="B134" s="114" t="s">
        <v>1813</v>
      </c>
      <c r="C134" s="1022" t="s">
        <v>243</v>
      </c>
      <c r="D134" s="114"/>
      <c r="E134" s="491"/>
      <c r="F134" s="109" t="s">
        <v>326</v>
      </c>
      <c r="G134" s="109" t="s">
        <v>953</v>
      </c>
      <c r="H134" s="111" t="s">
        <v>243</v>
      </c>
      <c r="I134" s="111" t="s">
        <v>242</v>
      </c>
      <c r="J134" s="111" t="s">
        <v>243</v>
      </c>
      <c r="K134" s="111" t="s">
        <v>242</v>
      </c>
      <c r="L134" s="111" t="s">
        <v>243</v>
      </c>
      <c r="M134" s="109">
        <v>5</v>
      </c>
      <c r="N134" s="235">
        <f t="shared" ref="N134:N136" si="160">SUM(O134,R134,U134,X134)</f>
        <v>5</v>
      </c>
      <c r="O134" s="200" t="str">
        <f t="shared" ref="O134" si="161">IF(AC134="ДА",$M134,"")</f>
        <v/>
      </c>
      <c r="P134" s="144"/>
      <c r="Q134" s="357">
        <f>IF(AC134="ДА",ROUNDUP(O134/5,0),0)</f>
        <v>0</v>
      </c>
      <c r="R134" s="356">
        <f>IF(AF134="ДА",$M134,"")</f>
        <v>5</v>
      </c>
      <c r="S134" s="144"/>
      <c r="T134" s="357">
        <f>IF(AF134="ДА",ROUNDUP(R134/5,0),0)</f>
        <v>1</v>
      </c>
      <c r="U134" s="356" t="str">
        <f>IF(AI134="ДА",$M134,"")</f>
        <v/>
      </c>
      <c r="V134" s="144"/>
      <c r="W134" s="357">
        <f>IF(AI134="ДА",ROUNDUP(U134/5,0),0)</f>
        <v>0</v>
      </c>
      <c r="X134" s="356" t="str">
        <f>IF(AL134="ДА",$M134,"")</f>
        <v/>
      </c>
      <c r="Y134" s="144"/>
      <c r="Z134" s="201">
        <f>IF(AL134="ДА",ROUNDUP(X134/5,0),0)</f>
        <v>0</v>
      </c>
      <c r="AA134" s="389" t="str">
        <f>IF(OR(AC134="ДА",AF134="ДА",AI134="ДА",AL134="ДА"),"ДА","НЕТ")</f>
        <v>ДА</v>
      </c>
      <c r="AB134" s="389"/>
      <c r="AC134" s="37" t="str">
        <f>IF(AC$8=$BT$9,$BT134,IF(AC$8=$BS$9,$BS134,IF(AC$8=$BU$9,$BU134,IF(AC$8=$BV$9,$BV134,IF(AC$8=$BW$9,$BW134,IF(AC$8=$BX$9,$BX134,IF(AC$8=$BY$9,$BY134,IF(AC$8=$BZ$9,$BZ134,IF(AC$8=$CA$9,$CA134,IF(AC$8=$CC$9,$CC134,IF(AC$8=$CD$9,$CD134,IF(AC$8=$CE$9,$CE134,IF(AC$8=$CF$9,$CF134,IF(AC$8=$CG$9,$CG134,IF(AC$8=$CH$9,$CH134,IF(AC$8=$CI$9,$CI134,IF(AC$8=$CJ$9,$CJ134,IF(AC$8=$CK$9,$CK134,IF(AC$8=$CL$9,$CL134,IF(AC$8=$CM$9,$CM134,IF(AC$8=$CN$9,$CN134,IF(AC$8=$CO$9,$CO134,IF(AC$8=$CP$9,$CP134,IF(AC$8=$CQ$9,$CQ134,"НЕТ"))))))))))))))))))))))))</f>
        <v>НЕТ</v>
      </c>
      <c r="AD134" s="37" t="str">
        <f>IF(AC134="НЕТ","Не требуется",$CR134)</f>
        <v>Не требуется</v>
      </c>
      <c r="AE134" s="37"/>
      <c r="AF134" s="37" t="str">
        <f t="shared" ref="AF134:AL134" si="162">IF(AF$8=$BT$9,$BT134,IF(AF$8=$BS$9,$BS134,IF(AF$8=$BU$9,$BU134,IF(AF$8=$BV$9,$BV134,IF(AF$8=$BW$9,$BW134,IF(AF$8=$BX$9,$BX134,IF(AF$8=$BY$9,$BY134,IF(AF$8=$BZ$9,$BZ134,IF(AF$8=$CA$9,$CA134,IF(AF$8=$CC$9,$CC134,IF(AF$8=$CD$9,$CD134,IF(AF$8=$CE$9,$CE134,IF(AF$8=$CF$9,$CF134,IF(AF$8=$CG$9,$CG134,IF(AF$8=$CH$9,$CH134,IF(AF$8=$CI$9,$CI134,IF(AF$8=$CJ$9,$CJ134,IF(AF$8=$CK$9,$CK134,IF(AF$8=$CL$9,$CL134,IF(AF$8=$CM$9,$CM134,IF(AF$8=$CN$9,$CN134,IF(AF$8=$CO$9,$CO134,IF(AF$8=$CP$9,$CP134,IF(AF$8=$CQ$9,$CQ134,"НЕТ"))))))))))))))))))))))))</f>
        <v>ДА</v>
      </c>
      <c r="AG134" s="37" t="str">
        <f t="shared" si="162"/>
        <v>НЕТ</v>
      </c>
      <c r="AH134" s="37" t="str">
        <f t="shared" si="162"/>
        <v>НЕТ</v>
      </c>
      <c r="AI134" s="37" t="str">
        <f t="shared" si="162"/>
        <v>НЕТ</v>
      </c>
      <c r="AJ134" s="37" t="str">
        <f t="shared" si="162"/>
        <v>НЕТ</v>
      </c>
      <c r="AK134" s="37" t="str">
        <f t="shared" si="162"/>
        <v>НЕТ</v>
      </c>
      <c r="AL134" s="37" t="str">
        <f t="shared" si="162"/>
        <v>НЕТ</v>
      </c>
      <c r="AM134" s="37" t="str">
        <f>IF(AL134="НЕТ","Не требуется",$CR134)</f>
        <v>Не требуется</v>
      </c>
      <c r="AN134" s="37"/>
      <c r="AQ134" s="200"/>
      <c r="AR134" s="230"/>
      <c r="AS134" s="144" t="str">
        <f>IF(BS134="ДА",$M134,"")</f>
        <v/>
      </c>
      <c r="AT134" s="144" t="str">
        <f t="shared" ref="AT134:AV134" si="163">IF(BT134="ДА",$M134,"")</f>
        <v/>
      </c>
      <c r="AU134" s="144" t="str">
        <f t="shared" si="163"/>
        <v/>
      </c>
      <c r="AV134" s="144" t="str">
        <f t="shared" si="163"/>
        <v/>
      </c>
      <c r="AW134" s="144" t="str">
        <f>IF(BX134="ДА",$M134,"")</f>
        <v/>
      </c>
      <c r="AX134" s="144">
        <f>IF(BY134="ДА",$M134,"")</f>
        <v>5</v>
      </c>
      <c r="AY134" s="144">
        <f>IF(BZ134="ДА",$M134,"")</f>
        <v>5</v>
      </c>
      <c r="AZ134" s="201">
        <f>IF(CA134="ДА",$M134,"")</f>
        <v>5</v>
      </c>
      <c r="BA134" s="235"/>
      <c r="BB134" s="144">
        <f t="shared" ref="BB134" si="164">IF(CC134="ДА",$M134,"")</f>
        <v>5</v>
      </c>
      <c r="BC134" s="144">
        <f t="shared" ref="BC134" si="165">IF(CD134="ДА",$M134,"")</f>
        <v>5</v>
      </c>
      <c r="BD134" s="144">
        <f t="shared" ref="BD134" si="166">IF(CE134="ДА",$M134,"")</f>
        <v>5</v>
      </c>
      <c r="BE134" s="144" t="str">
        <f t="shared" ref="BE134" si="167">IF(CF134="ДА",$M134,"")</f>
        <v/>
      </c>
      <c r="BF134" s="201" t="str">
        <f t="shared" ref="BF134" si="168">IF(CG134="ДА",$M134,"")</f>
        <v/>
      </c>
      <c r="BG134" s="144">
        <f t="shared" ref="BG134" si="169">IF(CH134="ДА",$M134,"")</f>
        <v>5</v>
      </c>
      <c r="BH134" s="144">
        <f t="shared" ref="BH134" si="170">IF(CI134="ДА",$M134,"")</f>
        <v>5</v>
      </c>
      <c r="BI134" s="144">
        <f t="shared" ref="BI134" si="171">IF(CJ134="ДА",$M134,"")</f>
        <v>5</v>
      </c>
      <c r="BJ134" s="144" t="str">
        <f t="shared" ref="BJ134" si="172">IF(CK134="ДА",$M134,"")</f>
        <v/>
      </c>
      <c r="BK134" s="201" t="str">
        <f t="shared" ref="BK134" si="173">IF(CL134="ДА",$M134,"")</f>
        <v/>
      </c>
      <c r="BL134" s="144" t="str">
        <f t="shared" ref="BL134" si="174">IF(CM134="ДА",$M134,"")</f>
        <v/>
      </c>
      <c r="BM134" s="144" t="str">
        <f t="shared" ref="BM134" si="175">IF(CN134="ДА",$M134,"")</f>
        <v/>
      </c>
      <c r="BN134" s="144" t="str">
        <f t="shared" ref="BN134" si="176">IF(CO134="ДА",$M134,"")</f>
        <v/>
      </c>
      <c r="BO134" s="144" t="str">
        <f t="shared" ref="BO134" si="177">IF(CP134="ДА",$M134,"")</f>
        <v/>
      </c>
      <c r="BP134" s="201" t="str">
        <f t="shared" ref="BP134" si="178">IF(CQ134="ДА",$M134,"")</f>
        <v/>
      </c>
      <c r="BQ134" s="209"/>
      <c r="BR134" s="388"/>
      <c r="BS134" s="37" t="s">
        <v>255</v>
      </c>
      <c r="BT134" s="37" t="s">
        <v>255</v>
      </c>
      <c r="BU134" s="37" t="s">
        <v>255</v>
      </c>
      <c r="BV134" s="37" t="s">
        <v>255</v>
      </c>
      <c r="BW134" s="37" t="s">
        <v>255</v>
      </c>
      <c r="BX134" s="37" t="s">
        <v>255</v>
      </c>
      <c r="BY134" s="37" t="s">
        <v>246</v>
      </c>
      <c r="BZ134" s="37" t="s">
        <v>246</v>
      </c>
      <c r="CA134" s="123" t="s">
        <v>246</v>
      </c>
      <c r="CB134" s="223"/>
      <c r="CC134" s="37" t="s">
        <v>246</v>
      </c>
      <c r="CD134" s="37" t="s">
        <v>246</v>
      </c>
      <c r="CE134" s="37" t="s">
        <v>246</v>
      </c>
      <c r="CF134" s="37" t="s">
        <v>255</v>
      </c>
      <c r="CG134" s="37" t="s">
        <v>255</v>
      </c>
      <c r="CH134" s="37" t="s">
        <v>246</v>
      </c>
      <c r="CI134" s="37" t="s">
        <v>246</v>
      </c>
      <c r="CJ134" s="37" t="s">
        <v>246</v>
      </c>
      <c r="CK134" s="37" t="s">
        <v>255</v>
      </c>
      <c r="CL134" s="37" t="s">
        <v>255</v>
      </c>
      <c r="CM134" s="37" t="s">
        <v>255</v>
      </c>
      <c r="CN134" s="37" t="s">
        <v>255</v>
      </c>
      <c r="CO134" s="37" t="s">
        <v>255</v>
      </c>
      <c r="CP134" s="37" t="s">
        <v>255</v>
      </c>
      <c r="CQ134" s="37" t="s">
        <v>255</v>
      </c>
      <c r="CR134" s="123" t="s">
        <v>302</v>
      </c>
    </row>
    <row r="135" spans="1:96" ht="45" hidden="1" outlineLevel="2" x14ac:dyDescent="0.25">
      <c r="A135" s="133"/>
      <c r="B135" s="253" t="s">
        <v>1698</v>
      </c>
      <c r="C135" s="254"/>
      <c r="D135" s="254"/>
      <c r="E135" s="254"/>
      <c r="F135" s="254"/>
      <c r="G135" s="254"/>
      <c r="H135" s="254"/>
      <c r="I135" s="254"/>
      <c r="J135" s="254"/>
      <c r="K135" s="254"/>
      <c r="L135" s="254"/>
      <c r="M135" s="254"/>
      <c r="N135" s="235">
        <f t="shared" si="160"/>
        <v>0</v>
      </c>
      <c r="O135" s="329"/>
      <c r="P135" s="254"/>
      <c r="Q135" s="361"/>
      <c r="R135" s="360"/>
      <c r="S135" s="254"/>
      <c r="T135" s="361"/>
      <c r="U135" s="360"/>
      <c r="V135" s="254"/>
      <c r="W135" s="361"/>
      <c r="X135" s="360"/>
      <c r="Y135" s="254"/>
      <c r="Z135" s="330"/>
      <c r="AA135" s="254"/>
      <c r="AB135" s="793"/>
      <c r="AD135" s="255"/>
      <c r="AE135" s="254"/>
      <c r="AF135" s="254"/>
      <c r="AG135" s="255"/>
      <c r="AH135" s="254"/>
      <c r="AI135" s="254"/>
      <c r="AJ135" s="255"/>
      <c r="AK135" s="254"/>
      <c r="AL135" s="254"/>
      <c r="AM135" s="255"/>
      <c r="AN135" s="254"/>
      <c r="AQ135" s="202"/>
      <c r="AZ135" s="203"/>
      <c r="BF135" s="203"/>
      <c r="BK135" s="203"/>
      <c r="BP135" s="203"/>
      <c r="BQ135" s="202"/>
      <c r="CA135" s="203"/>
      <c r="CR135" s="122"/>
    </row>
    <row r="136" spans="1:96" ht="60" hidden="1" outlineLevel="2" x14ac:dyDescent="0.25">
      <c r="A136" s="133"/>
      <c r="B136" s="253" t="s">
        <v>1700</v>
      </c>
      <c r="C136" s="254"/>
      <c r="D136" s="254"/>
      <c r="E136" s="254"/>
      <c r="F136" s="254"/>
      <c r="G136" s="254"/>
      <c r="H136" s="254"/>
      <c r="I136" s="254"/>
      <c r="J136" s="254"/>
      <c r="K136" s="254"/>
      <c r="L136" s="254"/>
      <c r="M136" s="254"/>
      <c r="N136" s="235">
        <f t="shared" si="160"/>
        <v>0</v>
      </c>
      <c r="O136" s="329"/>
      <c r="P136" s="254"/>
      <c r="Q136" s="361"/>
      <c r="R136" s="360"/>
      <c r="S136" s="254"/>
      <c r="T136" s="361"/>
      <c r="U136" s="360"/>
      <c r="V136" s="254"/>
      <c r="W136" s="361"/>
      <c r="X136" s="360"/>
      <c r="Y136" s="254"/>
      <c r="Z136" s="330"/>
      <c r="AA136" s="254"/>
      <c r="AB136" s="793"/>
      <c r="AD136" s="255"/>
      <c r="AE136" s="254"/>
      <c r="AF136" s="254"/>
      <c r="AG136" s="255"/>
      <c r="AH136" s="254"/>
      <c r="AI136" s="254"/>
      <c r="AJ136" s="255"/>
      <c r="AK136" s="254"/>
      <c r="AL136" s="254"/>
      <c r="AM136" s="255"/>
      <c r="AN136" s="254"/>
      <c r="AQ136" s="202"/>
      <c r="AZ136" s="203"/>
      <c r="BF136" s="203"/>
      <c r="BK136" s="203"/>
      <c r="BP136" s="203"/>
      <c r="BQ136" s="202"/>
      <c r="CA136" s="203"/>
      <c r="CR136" s="122"/>
    </row>
    <row r="137" spans="1:96" ht="47.25" outlineLevel="1" collapsed="1" x14ac:dyDescent="0.25">
      <c r="A137" s="246" t="s">
        <v>428</v>
      </c>
      <c r="B137" s="114" t="s">
        <v>1814</v>
      </c>
      <c r="C137" s="1022" t="s">
        <v>243</v>
      </c>
      <c r="D137" s="114"/>
      <c r="E137" s="491"/>
      <c r="F137" s="109" t="s">
        <v>326</v>
      </c>
      <c r="G137" s="109" t="s">
        <v>953</v>
      </c>
      <c r="H137" s="111" t="s">
        <v>242</v>
      </c>
      <c r="I137" s="111" t="s">
        <v>242</v>
      </c>
      <c r="J137" s="111" t="s">
        <v>242</v>
      </c>
      <c r="K137" s="111" t="s">
        <v>242</v>
      </c>
      <c r="L137" s="111" t="s">
        <v>1692</v>
      </c>
      <c r="M137" s="109">
        <v>5</v>
      </c>
      <c r="N137" s="235">
        <f t="shared" ref="N137" si="179">SUM(O137,R137,U137,X137)</f>
        <v>5</v>
      </c>
      <c r="O137" s="200" t="str">
        <f t="shared" ref="O137" si="180">IF(AC137="ДА",$M137,"")</f>
        <v/>
      </c>
      <c r="P137" s="144"/>
      <c r="Q137" s="357">
        <f>IF(AC137="ДА",ROUNDUP(O137/5,0),0)</f>
        <v>0</v>
      </c>
      <c r="R137" s="356">
        <f>IF(AF137="ДА",$M137,"")</f>
        <v>5</v>
      </c>
      <c r="S137" s="144"/>
      <c r="T137" s="357">
        <f>IF(AF137="ДА",ROUNDUP(R137/5,0),0)</f>
        <v>1</v>
      </c>
      <c r="U137" s="356" t="str">
        <f>IF(AI137="ДА",$M137,"")</f>
        <v/>
      </c>
      <c r="V137" s="144"/>
      <c r="W137" s="357">
        <f>IF(AI137="ДА",ROUNDUP(U137/5,0),0)</f>
        <v>0</v>
      </c>
      <c r="X137" s="356" t="str">
        <f>IF(AL137="ДА",$M137,"")</f>
        <v/>
      </c>
      <c r="Y137" s="144"/>
      <c r="Z137" s="201">
        <f>IF(AL137="ДА",ROUNDUP(X137/5,0),0)</f>
        <v>0</v>
      </c>
      <c r="AA137" s="389" t="str">
        <f>IF(OR(AC137="ДА",AF137="ДА",AI137="ДА",AL137="ДА"),"ДА","НЕТ")</f>
        <v>ДА</v>
      </c>
      <c r="AB137" s="389"/>
      <c r="AC137" s="37" t="str">
        <f>IF(AC$8=$BT$9,$BT137,IF(AC$8=$BS$9,$BS137,IF(AC$8=$BU$9,$BU137,IF(AC$8=$BV$9,$BV137,IF(AC$8=$BW$9,$BW137,IF(AC$8=$BX$9,$BX137,IF(AC$8=$BY$9,$BY137,IF(AC$8=$BZ$9,$BZ137,IF(AC$8=$CA$9,$CA137,IF(AC$8=$CC$9,$CC137,IF(AC$8=$CD$9,$CD137,IF(AC$8=$CE$9,$CE137,IF(AC$8=$CF$9,$CF137,IF(AC$8=$CG$9,$CG137,IF(AC$8=$CH$9,$CH137,IF(AC$8=$CI$9,$CI137,IF(AC$8=$CJ$9,$CJ137,IF(AC$8=$CK$9,$CK137,IF(AC$8=$CL$9,$CL137,IF(AC$8=$CM$9,$CM137,IF(AC$8=$CN$9,$CN137,IF(AC$8=$CO$9,$CO137,IF(AC$8=$CP$9,$CP137,IF(AC$8=$CQ$9,$CQ137,"НЕТ"))))))))))))))))))))))))</f>
        <v>НЕТ</v>
      </c>
      <c r="AD137" s="37" t="str">
        <f>IF(AC137="НЕТ","Не требуется",$CR137)</f>
        <v>Не требуется</v>
      </c>
      <c r="AE137" s="37"/>
      <c r="AF137" s="37" t="str">
        <f t="shared" ref="AF137:AL137" si="181">IF(AF$8=$BT$9,$BT137,IF(AF$8=$BS$9,$BS137,IF(AF$8=$BU$9,$BU137,IF(AF$8=$BV$9,$BV137,IF(AF$8=$BW$9,$BW137,IF(AF$8=$BX$9,$BX137,IF(AF$8=$BY$9,$BY137,IF(AF$8=$BZ$9,$BZ137,IF(AF$8=$CA$9,$CA137,IF(AF$8=$CC$9,$CC137,IF(AF$8=$CD$9,$CD137,IF(AF$8=$CE$9,$CE137,IF(AF$8=$CF$9,$CF137,IF(AF$8=$CG$9,$CG137,IF(AF$8=$CH$9,$CH137,IF(AF$8=$CI$9,$CI137,IF(AF$8=$CJ$9,$CJ137,IF(AF$8=$CK$9,$CK137,IF(AF$8=$CL$9,$CL137,IF(AF$8=$CM$9,$CM137,IF(AF$8=$CN$9,$CN137,IF(AF$8=$CO$9,$CO137,IF(AF$8=$CP$9,$CP137,IF(AF$8=$CQ$9,$CQ137,"НЕТ"))))))))))))))))))))))))</f>
        <v>ДА</v>
      </c>
      <c r="AG137" s="37" t="str">
        <f t="shared" si="181"/>
        <v>НЕТ</v>
      </c>
      <c r="AH137" s="37" t="str">
        <f t="shared" si="181"/>
        <v>НЕТ</v>
      </c>
      <c r="AI137" s="37" t="str">
        <f t="shared" si="181"/>
        <v>НЕТ</v>
      </c>
      <c r="AJ137" s="37" t="str">
        <f t="shared" si="181"/>
        <v>НЕТ</v>
      </c>
      <c r="AK137" s="37" t="str">
        <f t="shared" si="181"/>
        <v>НЕТ</v>
      </c>
      <c r="AL137" s="37" t="str">
        <f t="shared" si="181"/>
        <v>НЕТ</v>
      </c>
      <c r="AM137" s="37" t="str">
        <f>IF(AL137="НЕТ","Не требуется",$CR137)</f>
        <v>Не требуется</v>
      </c>
      <c r="AN137" s="37"/>
      <c r="AQ137" s="200"/>
      <c r="AR137" s="230"/>
      <c r="AS137" s="144" t="str">
        <f>IF(BS137="ДА",$M137,"")</f>
        <v/>
      </c>
      <c r="AT137" s="144" t="str">
        <f t="shared" ref="AT137:AV137" si="182">IF(BT137="ДА",$M137,"")</f>
        <v/>
      </c>
      <c r="AU137" s="144" t="str">
        <f t="shared" si="182"/>
        <v/>
      </c>
      <c r="AV137" s="144" t="str">
        <f t="shared" si="182"/>
        <v/>
      </c>
      <c r="AW137" s="144">
        <f>IF(BX137="ДА",$M137,"")</f>
        <v>5</v>
      </c>
      <c r="AX137" s="144">
        <f>IF(BY137="ДА",$M137,"")</f>
        <v>5</v>
      </c>
      <c r="AY137" s="144">
        <f>IF(BZ137="ДА",$M137,"")</f>
        <v>5</v>
      </c>
      <c r="AZ137" s="201">
        <f>IF(CA137="ДА",$M137,"")</f>
        <v>5</v>
      </c>
      <c r="BA137" s="235"/>
      <c r="BB137" s="144">
        <f t="shared" ref="BB137" si="183">IF(CC137="ДА",$M137,"")</f>
        <v>5</v>
      </c>
      <c r="BC137" s="144">
        <f t="shared" ref="BC137" si="184">IF(CD137="ДА",$M137,"")</f>
        <v>5</v>
      </c>
      <c r="BD137" s="144">
        <f t="shared" ref="BD137" si="185">IF(CE137="ДА",$M137,"")</f>
        <v>5</v>
      </c>
      <c r="BE137" s="144" t="str">
        <f t="shared" ref="BE137" si="186">IF(CF137="ДА",$M137,"")</f>
        <v/>
      </c>
      <c r="BF137" s="201" t="str">
        <f t="shared" ref="BF137" si="187">IF(CG137="ДА",$M137,"")</f>
        <v/>
      </c>
      <c r="BG137" s="144">
        <f t="shared" ref="BG137" si="188">IF(CH137="ДА",$M137,"")</f>
        <v>5</v>
      </c>
      <c r="BH137" s="144">
        <f t="shared" ref="BH137" si="189">IF(CI137="ДА",$M137,"")</f>
        <v>5</v>
      </c>
      <c r="BI137" s="144">
        <f t="shared" ref="BI137" si="190">IF(CJ137="ДА",$M137,"")</f>
        <v>5</v>
      </c>
      <c r="BJ137" s="144" t="str">
        <f t="shared" ref="BJ137" si="191">IF(CK137="ДА",$M137,"")</f>
        <v/>
      </c>
      <c r="BK137" s="201" t="str">
        <f t="shared" ref="BK137" si="192">IF(CL137="ДА",$M137,"")</f>
        <v/>
      </c>
      <c r="BL137" s="144" t="str">
        <f t="shared" ref="BL137" si="193">IF(CM137="ДА",$M137,"")</f>
        <v/>
      </c>
      <c r="BM137" s="144" t="str">
        <f t="shared" ref="BM137" si="194">IF(CN137="ДА",$M137,"")</f>
        <v/>
      </c>
      <c r="BN137" s="144" t="str">
        <f t="shared" ref="BN137" si="195">IF(CO137="ДА",$M137,"")</f>
        <v/>
      </c>
      <c r="BO137" s="144" t="str">
        <f t="shared" ref="BO137" si="196">IF(CP137="ДА",$M137,"")</f>
        <v/>
      </c>
      <c r="BP137" s="201" t="str">
        <f t="shared" ref="BP137" si="197">IF(CQ137="ДА",$M137,"")</f>
        <v/>
      </c>
      <c r="BQ137" s="209"/>
      <c r="BR137" s="388"/>
      <c r="BS137" s="37" t="s">
        <v>255</v>
      </c>
      <c r="BT137" s="37" t="s">
        <v>255</v>
      </c>
      <c r="BU137" s="37" t="s">
        <v>255</v>
      </c>
      <c r="BV137" s="37" t="s">
        <v>255</v>
      </c>
      <c r="BW137" s="37" t="s">
        <v>255</v>
      </c>
      <c r="BX137" s="37" t="s">
        <v>246</v>
      </c>
      <c r="BY137" s="37" t="s">
        <v>246</v>
      </c>
      <c r="BZ137" s="37" t="s">
        <v>246</v>
      </c>
      <c r="CA137" s="123" t="s">
        <v>246</v>
      </c>
      <c r="CB137" s="223"/>
      <c r="CC137" s="37" t="s">
        <v>246</v>
      </c>
      <c r="CD137" s="37" t="s">
        <v>246</v>
      </c>
      <c r="CE137" s="37" t="s">
        <v>246</v>
      </c>
      <c r="CF137" s="37" t="s">
        <v>255</v>
      </c>
      <c r="CG137" s="37" t="s">
        <v>255</v>
      </c>
      <c r="CH137" s="37" t="s">
        <v>246</v>
      </c>
      <c r="CI137" s="37" t="s">
        <v>246</v>
      </c>
      <c r="CJ137" s="37" t="s">
        <v>246</v>
      </c>
      <c r="CK137" s="37" t="s">
        <v>255</v>
      </c>
      <c r="CL137" s="37" t="s">
        <v>255</v>
      </c>
      <c r="CM137" s="37" t="s">
        <v>255</v>
      </c>
      <c r="CN137" s="37" t="s">
        <v>255</v>
      </c>
      <c r="CO137" s="37" t="s">
        <v>255</v>
      </c>
      <c r="CP137" s="37" t="s">
        <v>255</v>
      </c>
      <c r="CQ137" s="37" t="s">
        <v>255</v>
      </c>
      <c r="CR137" s="123" t="s">
        <v>302</v>
      </c>
    </row>
    <row r="138" spans="1:96" ht="30" hidden="1" outlineLevel="2" x14ac:dyDescent="0.25">
      <c r="A138" s="133"/>
      <c r="B138" s="253" t="s">
        <v>337</v>
      </c>
      <c r="C138" s="253" t="s">
        <v>337</v>
      </c>
      <c r="D138" s="254"/>
      <c r="E138" s="254"/>
      <c r="F138" s="254"/>
      <c r="G138" s="254"/>
      <c r="H138" s="254"/>
      <c r="I138" s="254"/>
      <c r="J138" s="254"/>
      <c r="K138" s="254"/>
      <c r="L138" s="254"/>
      <c r="M138" s="254"/>
      <c r="N138" s="235">
        <f t="shared" si="137"/>
        <v>0</v>
      </c>
      <c r="O138" s="329"/>
      <c r="P138" s="254"/>
      <c r="Q138" s="361"/>
      <c r="R138" s="360"/>
      <c r="S138" s="254"/>
      <c r="T138" s="361"/>
      <c r="U138" s="360"/>
      <c r="V138" s="254"/>
      <c r="W138" s="361"/>
      <c r="X138" s="360"/>
      <c r="Y138" s="254"/>
      <c r="Z138" s="330"/>
      <c r="AA138" s="254"/>
      <c r="AB138" s="793"/>
      <c r="AD138" s="255"/>
      <c r="AE138" s="254"/>
      <c r="AF138" s="254"/>
      <c r="AG138" s="255"/>
      <c r="AH138" s="254"/>
      <c r="AI138" s="254"/>
      <c r="AJ138" s="255"/>
      <c r="AK138" s="254"/>
      <c r="AL138" s="254"/>
      <c r="AM138" s="255"/>
      <c r="AN138" s="254"/>
      <c r="AQ138" s="202"/>
      <c r="AZ138" s="203"/>
      <c r="BF138" s="203"/>
      <c r="BK138" s="203"/>
      <c r="BP138" s="203"/>
      <c r="BQ138" s="202"/>
      <c r="CA138" s="203"/>
      <c r="CR138" s="122"/>
    </row>
    <row r="139" spans="1:96" hidden="1" outlineLevel="2" x14ac:dyDescent="0.25">
      <c r="A139" s="133"/>
      <c r="B139" s="253" t="s">
        <v>117</v>
      </c>
      <c r="C139" s="254"/>
      <c r="D139" s="254"/>
      <c r="E139" s="254"/>
      <c r="F139" s="254"/>
      <c r="G139" s="254"/>
      <c r="H139" s="254"/>
      <c r="I139" s="254"/>
      <c r="J139" s="254"/>
      <c r="K139" s="254"/>
      <c r="L139" s="254"/>
      <c r="M139" s="254"/>
      <c r="N139" s="235">
        <f t="shared" si="137"/>
        <v>0</v>
      </c>
      <c r="O139" s="329"/>
      <c r="P139" s="254"/>
      <c r="Q139" s="361"/>
      <c r="R139" s="360"/>
      <c r="S139" s="254"/>
      <c r="T139" s="361"/>
      <c r="U139" s="360"/>
      <c r="V139" s="254"/>
      <c r="W139" s="361"/>
      <c r="X139" s="360"/>
      <c r="Y139" s="254"/>
      <c r="Z139" s="330"/>
      <c r="AA139" s="254"/>
      <c r="AB139" s="793"/>
      <c r="AD139" s="255"/>
      <c r="AE139" s="254"/>
      <c r="AF139" s="254"/>
      <c r="AG139" s="255"/>
      <c r="AH139" s="254"/>
      <c r="AI139" s="254"/>
      <c r="AJ139" s="255"/>
      <c r="AK139" s="254"/>
      <c r="AL139" s="254"/>
      <c r="AM139" s="255"/>
      <c r="AN139" s="254"/>
      <c r="AQ139" s="202"/>
      <c r="AZ139" s="203"/>
      <c r="BF139" s="203"/>
      <c r="BK139" s="203"/>
      <c r="BP139" s="203"/>
      <c r="BQ139" s="202"/>
      <c r="CA139" s="203"/>
      <c r="CR139" s="122"/>
    </row>
    <row r="140" spans="1:96" hidden="1" outlineLevel="2" x14ac:dyDescent="0.25">
      <c r="A140" s="133"/>
      <c r="B140" s="253" t="s">
        <v>339</v>
      </c>
      <c r="C140" s="254"/>
      <c r="D140" s="254"/>
      <c r="E140" s="254"/>
      <c r="F140" s="254"/>
      <c r="G140" s="254"/>
      <c r="H140" s="254"/>
      <c r="I140" s="254"/>
      <c r="J140" s="254"/>
      <c r="K140" s="254"/>
      <c r="L140" s="254"/>
      <c r="M140" s="254"/>
      <c r="N140" s="235">
        <f t="shared" si="137"/>
        <v>0</v>
      </c>
      <c r="O140" s="329"/>
      <c r="P140" s="254"/>
      <c r="Q140" s="361"/>
      <c r="R140" s="360"/>
      <c r="S140" s="254"/>
      <c r="T140" s="361"/>
      <c r="U140" s="360"/>
      <c r="V140" s="254"/>
      <c r="W140" s="361"/>
      <c r="X140" s="360"/>
      <c r="Y140" s="254"/>
      <c r="Z140" s="330"/>
      <c r="AA140" s="254"/>
      <c r="AB140" s="793"/>
      <c r="AD140" s="255"/>
      <c r="AE140" s="254"/>
      <c r="AF140" s="254"/>
      <c r="AG140" s="255"/>
      <c r="AH140" s="254"/>
      <c r="AI140" s="254"/>
      <c r="AJ140" s="255"/>
      <c r="AK140" s="254"/>
      <c r="AL140" s="254"/>
      <c r="AM140" s="255"/>
      <c r="AN140" s="254"/>
      <c r="AQ140" s="202"/>
      <c r="AZ140" s="203"/>
      <c r="BF140" s="203"/>
      <c r="BK140" s="203"/>
      <c r="BP140" s="203"/>
      <c r="BQ140" s="202"/>
      <c r="CA140" s="203"/>
      <c r="CR140" s="122"/>
    </row>
    <row r="141" spans="1:96" ht="30" outlineLevel="1" collapsed="1" x14ac:dyDescent="0.25">
      <c r="A141" s="134" t="s">
        <v>429</v>
      </c>
      <c r="B141" s="114" t="s">
        <v>340</v>
      </c>
      <c r="C141" s="1022" t="s">
        <v>243</v>
      </c>
      <c r="D141" s="114"/>
      <c r="E141" s="491"/>
      <c r="F141" s="109" t="s">
        <v>326</v>
      </c>
      <c r="G141" s="109" t="s">
        <v>953</v>
      </c>
      <c r="H141" s="111" t="s">
        <v>243</v>
      </c>
      <c r="I141" s="111" t="s">
        <v>243</v>
      </c>
      <c r="J141" s="111" t="s">
        <v>242</v>
      </c>
      <c r="K141" s="111" t="s">
        <v>242</v>
      </c>
      <c r="L141" s="111" t="s">
        <v>243</v>
      </c>
      <c r="M141" s="109">
        <v>5</v>
      </c>
      <c r="N141" s="235">
        <f t="shared" si="137"/>
        <v>5</v>
      </c>
      <c r="O141" s="200" t="str">
        <f t="shared" ref="O141" si="198">IF(AC141="ДА",$M141,"")</f>
        <v/>
      </c>
      <c r="P141" s="144"/>
      <c r="Q141" s="357">
        <f>IF(AC141="ДА",ROUNDUP(O141/5,0),0)</f>
        <v>0</v>
      </c>
      <c r="R141" s="356">
        <f>IF(AF141="ДА",$M141,"")</f>
        <v>5</v>
      </c>
      <c r="S141" s="144"/>
      <c r="T141" s="357">
        <f>IF(AF141="ДА",ROUNDUP(R141/5,0),0)</f>
        <v>1</v>
      </c>
      <c r="U141" s="356" t="str">
        <f>IF(AI141="ДА",$M141,"")</f>
        <v/>
      </c>
      <c r="V141" s="144"/>
      <c r="W141" s="357">
        <f>IF(AI141="ДА",ROUNDUP(U141/5,0),0)</f>
        <v>0</v>
      </c>
      <c r="X141" s="356" t="str">
        <f>IF(AL141="ДА",$M141,"")</f>
        <v/>
      </c>
      <c r="Y141" s="144"/>
      <c r="Z141" s="201">
        <f>IF(AL141="ДА",ROUNDUP(X141/5,0),0)</f>
        <v>0</v>
      </c>
      <c r="AA141" s="389" t="str">
        <f>IF(OR(AC141="ДА",AF141="ДА",AI141="ДА",AL141="ДА"),"ДА","НЕТ")</f>
        <v>ДА</v>
      </c>
      <c r="AB141" s="389"/>
      <c r="AC141" s="37" t="str">
        <f>IF(AC$8=$BT$9,$BT141,IF(AC$8=$BS$9,$BS141,IF(AC$8=$BU$9,$BU141,IF(AC$8=$BV$9,$BV141,IF(AC$8=$BW$9,$BW141,IF(AC$8=$BX$9,$BX141,IF(AC$8=$BY$9,$BY141,IF(AC$8=$BZ$9,$BZ141,IF(AC$8=$CA$9,$CA141,IF(AC$8=$CC$9,$CC141,IF(AC$8=$CD$9,$CD141,IF(AC$8=$CE$9,$CE141,IF(AC$8=$CF$9,$CF141,IF(AC$8=$CG$9,$CG141,IF(AC$8=$CH$9,$CH141,IF(AC$8=$CI$9,$CI141,IF(AC$8=$CJ$9,$CJ141,IF(AC$8=$CK$9,$CK141,IF(AC$8=$CL$9,$CL141,IF(AC$8=$CM$9,$CM141,IF(AC$8=$CN$9,$CN141,IF(AC$8=$CO$9,$CO141,IF(AC$8=$CP$9,$CP141,IF(AC$8=$CQ$9,$CQ141,"НЕТ"))))))))))))))))))))))))</f>
        <v>НЕТ</v>
      </c>
      <c r="AD141" s="37" t="str">
        <f>IF(AC141="НЕТ","Не требуется",$CR141)</f>
        <v>Не требуется</v>
      </c>
      <c r="AE141" s="37"/>
      <c r="AF141" s="37" t="str">
        <f t="shared" ref="AF141:AL141" si="199">IF(AF$8=$BT$9,$BT141,IF(AF$8=$BS$9,$BS141,IF(AF$8=$BU$9,$BU141,IF(AF$8=$BV$9,$BV141,IF(AF$8=$BW$9,$BW141,IF(AF$8=$BX$9,$BX141,IF(AF$8=$BY$9,$BY141,IF(AF$8=$BZ$9,$BZ141,IF(AF$8=$CA$9,$CA141,IF(AF$8=$CC$9,$CC141,IF(AF$8=$CD$9,$CD141,IF(AF$8=$CE$9,$CE141,IF(AF$8=$CF$9,$CF141,IF(AF$8=$CG$9,$CG141,IF(AF$8=$CH$9,$CH141,IF(AF$8=$CI$9,$CI141,IF(AF$8=$CJ$9,$CJ141,IF(AF$8=$CK$9,$CK141,IF(AF$8=$CL$9,$CL141,IF(AF$8=$CM$9,$CM141,IF(AF$8=$CN$9,$CN141,IF(AF$8=$CO$9,$CO141,IF(AF$8=$CP$9,$CP141,IF(AF$8=$CQ$9,$CQ141,"НЕТ"))))))))))))))))))))))))</f>
        <v>ДА</v>
      </c>
      <c r="AG141" s="37" t="str">
        <f t="shared" si="199"/>
        <v>НЕТ</v>
      </c>
      <c r="AH141" s="37" t="str">
        <f t="shared" si="199"/>
        <v>НЕТ</v>
      </c>
      <c r="AI141" s="37" t="str">
        <f t="shared" si="199"/>
        <v>НЕТ</v>
      </c>
      <c r="AJ141" s="37" t="str">
        <f t="shared" si="199"/>
        <v>НЕТ</v>
      </c>
      <c r="AK141" s="37" t="str">
        <f t="shared" si="199"/>
        <v>НЕТ</v>
      </c>
      <c r="AL141" s="37" t="str">
        <f t="shared" si="199"/>
        <v>НЕТ</v>
      </c>
      <c r="AM141" s="37" t="str">
        <f>IF(AL141="НЕТ","Не требуется",$CR141)</f>
        <v>Не требуется</v>
      </c>
      <c r="AN141" s="37"/>
      <c r="AQ141" s="200"/>
      <c r="AR141" s="230"/>
      <c r="AS141" s="144" t="str">
        <f>IF(BS141="ДА",$M141,"")</f>
        <v/>
      </c>
      <c r="AT141" s="144" t="str">
        <f t="shared" ref="AT141:AV141" si="200">IF(BT141="ДА",$M141,"")</f>
        <v/>
      </c>
      <c r="AU141" s="144" t="str">
        <f t="shared" si="200"/>
        <v/>
      </c>
      <c r="AV141" s="144" t="str">
        <f t="shared" si="200"/>
        <v/>
      </c>
      <c r="AW141" s="144" t="str">
        <f>IF(BX141="ДА",$M141,"")</f>
        <v/>
      </c>
      <c r="AX141" s="144">
        <f>IF(BY141="ДА",$M141,"")</f>
        <v>5</v>
      </c>
      <c r="AY141" s="144">
        <f>IF(BZ141="ДА",$M141,"")</f>
        <v>5</v>
      </c>
      <c r="AZ141" s="201">
        <f>IF(CA141="ДА",$M141,"")</f>
        <v>5</v>
      </c>
      <c r="BA141" s="235"/>
      <c r="BB141" s="144" t="str">
        <f t="shared" ref="BB141:BP141" si="201">IF(CC141="ДА",$M141,"")</f>
        <v/>
      </c>
      <c r="BC141" s="144" t="str">
        <f t="shared" si="201"/>
        <v/>
      </c>
      <c r="BD141" s="144">
        <f t="shared" si="201"/>
        <v>5</v>
      </c>
      <c r="BE141" s="144" t="str">
        <f t="shared" si="201"/>
        <v/>
      </c>
      <c r="BF141" s="201" t="str">
        <f t="shared" si="201"/>
        <v/>
      </c>
      <c r="BG141" s="144" t="str">
        <f t="shared" si="201"/>
        <v/>
      </c>
      <c r="BH141" s="144" t="str">
        <f t="shared" si="201"/>
        <v/>
      </c>
      <c r="BI141" s="144" t="str">
        <f t="shared" si="201"/>
        <v/>
      </c>
      <c r="BJ141" s="144" t="str">
        <f t="shared" si="201"/>
        <v/>
      </c>
      <c r="BK141" s="201" t="str">
        <f t="shared" si="201"/>
        <v/>
      </c>
      <c r="BL141" s="144" t="str">
        <f t="shared" si="201"/>
        <v/>
      </c>
      <c r="BM141" s="144" t="str">
        <f t="shared" si="201"/>
        <v/>
      </c>
      <c r="BN141" s="144" t="str">
        <f t="shared" si="201"/>
        <v/>
      </c>
      <c r="BO141" s="144" t="str">
        <f t="shared" si="201"/>
        <v/>
      </c>
      <c r="BP141" s="201" t="str">
        <f t="shared" si="201"/>
        <v/>
      </c>
      <c r="BQ141" s="209"/>
      <c r="BR141" s="388"/>
      <c r="BS141" s="37" t="s">
        <v>255</v>
      </c>
      <c r="BT141" s="37" t="s">
        <v>255</v>
      </c>
      <c r="BU141" s="37" t="s">
        <v>255</v>
      </c>
      <c r="BV141" s="37" t="s">
        <v>255</v>
      </c>
      <c r="BW141" s="37" t="s">
        <v>255</v>
      </c>
      <c r="BX141" s="37" t="s">
        <v>255</v>
      </c>
      <c r="BY141" s="37" t="s">
        <v>246</v>
      </c>
      <c r="BZ141" s="37" t="s">
        <v>246</v>
      </c>
      <c r="CA141" s="123" t="s">
        <v>246</v>
      </c>
      <c r="CB141" s="223"/>
      <c r="CC141" s="37" t="s">
        <v>255</v>
      </c>
      <c r="CD141" s="37" t="s">
        <v>255</v>
      </c>
      <c r="CE141" s="37" t="s">
        <v>246</v>
      </c>
      <c r="CF141" s="37" t="s">
        <v>255</v>
      </c>
      <c r="CG141" s="37" t="s">
        <v>255</v>
      </c>
      <c r="CH141" s="37" t="s">
        <v>255</v>
      </c>
      <c r="CI141" s="37" t="s">
        <v>255</v>
      </c>
      <c r="CJ141" s="37" t="s">
        <v>255</v>
      </c>
      <c r="CK141" s="37" t="s">
        <v>255</v>
      </c>
      <c r="CL141" s="37" t="s">
        <v>255</v>
      </c>
      <c r="CM141" s="37" t="s">
        <v>255</v>
      </c>
      <c r="CN141" s="37" t="s">
        <v>255</v>
      </c>
      <c r="CO141" s="37" t="s">
        <v>255</v>
      </c>
      <c r="CP141" s="37" t="s">
        <v>255</v>
      </c>
      <c r="CQ141" s="37" t="s">
        <v>255</v>
      </c>
      <c r="CR141" s="123" t="s">
        <v>302</v>
      </c>
    </row>
    <row r="142" spans="1:96" ht="60" hidden="1" outlineLevel="2" x14ac:dyDescent="0.25">
      <c r="A142" s="133"/>
      <c r="B142" s="253" t="s">
        <v>341</v>
      </c>
      <c r="C142" s="260"/>
      <c r="D142" s="254"/>
      <c r="E142" s="254"/>
      <c r="F142" s="254"/>
      <c r="G142" s="254"/>
      <c r="H142" s="254"/>
      <c r="I142" s="254"/>
      <c r="J142" s="254"/>
      <c r="K142" s="254"/>
      <c r="L142" s="254"/>
      <c r="M142" s="254"/>
      <c r="N142" s="235">
        <f t="shared" si="137"/>
        <v>0</v>
      </c>
      <c r="O142" s="329"/>
      <c r="P142" s="254"/>
      <c r="Q142" s="361"/>
      <c r="R142" s="360"/>
      <c r="S142" s="254"/>
      <c r="T142" s="361"/>
      <c r="U142" s="360"/>
      <c r="V142" s="254"/>
      <c r="W142" s="361"/>
      <c r="X142" s="360"/>
      <c r="Y142" s="254"/>
      <c r="Z142" s="330"/>
      <c r="AA142" s="254"/>
      <c r="AB142" s="793"/>
      <c r="AD142" s="255"/>
      <c r="AE142" s="254"/>
      <c r="AF142" s="254"/>
      <c r="AG142" s="255"/>
      <c r="AH142" s="254"/>
      <c r="AI142" s="254"/>
      <c r="AJ142" s="255"/>
      <c r="AK142" s="254"/>
      <c r="AL142" s="254"/>
      <c r="AM142" s="255"/>
      <c r="AN142" s="254"/>
      <c r="AQ142" s="202"/>
      <c r="AZ142" s="203"/>
      <c r="BF142" s="203"/>
      <c r="BK142" s="203"/>
      <c r="BP142" s="203"/>
      <c r="BQ142" s="202"/>
      <c r="CA142" s="203"/>
      <c r="CR142" s="125"/>
    </row>
    <row r="143" spans="1:96" ht="45" hidden="1" outlineLevel="2" x14ac:dyDescent="0.25">
      <c r="A143" s="133"/>
      <c r="B143" s="253" t="s">
        <v>342</v>
      </c>
      <c r="C143" s="260"/>
      <c r="D143" s="254"/>
      <c r="E143" s="254"/>
      <c r="F143" s="254"/>
      <c r="G143" s="254"/>
      <c r="H143" s="254"/>
      <c r="I143" s="254"/>
      <c r="J143" s="254"/>
      <c r="K143" s="254"/>
      <c r="L143" s="254"/>
      <c r="M143" s="254"/>
      <c r="N143" s="235">
        <f t="shared" si="137"/>
        <v>0</v>
      </c>
      <c r="O143" s="329"/>
      <c r="P143" s="254"/>
      <c r="Q143" s="361"/>
      <c r="R143" s="360"/>
      <c r="S143" s="254"/>
      <c r="T143" s="361"/>
      <c r="U143" s="360"/>
      <c r="V143" s="254"/>
      <c r="W143" s="361"/>
      <c r="X143" s="360"/>
      <c r="Y143" s="254"/>
      <c r="Z143" s="330"/>
      <c r="AA143" s="254"/>
      <c r="AB143" s="793"/>
      <c r="AD143" s="255"/>
      <c r="AE143" s="254"/>
      <c r="AF143" s="254"/>
      <c r="AG143" s="255"/>
      <c r="AH143" s="254"/>
      <c r="AI143" s="254"/>
      <c r="AJ143" s="255"/>
      <c r="AK143" s="254"/>
      <c r="AL143" s="254"/>
      <c r="AM143" s="255"/>
      <c r="AN143" s="254"/>
      <c r="AQ143" s="202"/>
      <c r="AZ143" s="203"/>
      <c r="BF143" s="203"/>
      <c r="BK143" s="203"/>
      <c r="BP143" s="203"/>
      <c r="BQ143" s="202"/>
      <c r="CA143" s="203"/>
      <c r="CR143" s="122"/>
    </row>
    <row r="144" spans="1:96" ht="30" outlineLevel="1" collapsed="1" x14ac:dyDescent="0.25">
      <c r="A144" s="134" t="s">
        <v>1654</v>
      </c>
      <c r="B144" s="114" t="s">
        <v>119</v>
      </c>
      <c r="C144" s="1022" t="s">
        <v>243</v>
      </c>
      <c r="D144" s="114"/>
      <c r="E144" s="491"/>
      <c r="F144" s="109" t="s">
        <v>326</v>
      </c>
      <c r="G144" s="109" t="s">
        <v>953</v>
      </c>
      <c r="H144" s="111" t="s">
        <v>242</v>
      </c>
      <c r="I144" s="111" t="s">
        <v>242</v>
      </c>
      <c r="J144" s="111" t="s">
        <v>242</v>
      </c>
      <c r="K144" s="111" t="s">
        <v>242</v>
      </c>
      <c r="L144" s="111" t="s">
        <v>1692</v>
      </c>
      <c r="M144" s="109">
        <v>2</v>
      </c>
      <c r="N144" s="235">
        <f t="shared" si="137"/>
        <v>2</v>
      </c>
      <c r="O144" s="200" t="str">
        <f t="shared" ref="O144" si="202">IF(AC144="ДА",$M144,"")</f>
        <v/>
      </c>
      <c r="P144" s="144"/>
      <c r="Q144" s="357">
        <f>IF(AC144="ДА",ROUNDUP(O144/5,0),0)</f>
        <v>0</v>
      </c>
      <c r="R144" s="356">
        <f>IF(AF144="ДА",$M144,"")</f>
        <v>2</v>
      </c>
      <c r="S144" s="144"/>
      <c r="T144" s="357">
        <f>IF(AF144="ДА",ROUNDUP(R144/5,0),0)</f>
        <v>1</v>
      </c>
      <c r="U144" s="356" t="str">
        <f>IF(AI144="ДА",$M144,"")</f>
        <v/>
      </c>
      <c r="V144" s="144"/>
      <c r="W144" s="357">
        <f>IF(AI144="ДА",ROUNDUP(U144/5,0),0)</f>
        <v>0</v>
      </c>
      <c r="X144" s="356" t="str">
        <f>IF(AL144="ДА",$M144,"")</f>
        <v/>
      </c>
      <c r="Y144" s="144"/>
      <c r="Z144" s="201">
        <f>IF(AL144="ДА",ROUNDUP(X144/5,0),0)</f>
        <v>0</v>
      </c>
      <c r="AA144" s="388" t="str">
        <f>IF(OR(AC144="ДА",AF144="ДА",AI144="ДА",AL144="ДА"),"ДА","НЕТ")</f>
        <v>ДА</v>
      </c>
      <c r="AB144" s="388"/>
      <c r="AC144" s="37" t="str">
        <f>IF(AC$8=$BT$9,$BT144,IF(AC$8=$BS$9,$BS144,IF(AC$8=$BU$9,$BU144,IF(AC$8=$BV$9,$BV144,IF(AC$8=$BW$9,$BW144,IF(AC$8=$BX$9,$BX144,IF(AC$8=$BY$9,$BY144,IF(AC$8=$BZ$9,$BZ144,IF(AC$8=$CA$9,$CA144,IF(AC$8=$CC$9,$CC144,IF(AC$8=$CD$9,$CD144,IF(AC$8=$CE$9,$CE144,IF(AC$8=$CF$9,$CF144,IF(AC$8=$CG$9,$CG144,IF(AC$8=$CH$9,$CH144,IF(AC$8=$CI$9,$CI144,IF(AC$8=$CJ$9,$CJ144,IF(AC$8=$CK$9,$CK144,IF(AC$8=$CL$9,$CL144,IF(AC$8=$CM$9,$CM144,IF(AC$8=$CN$9,$CN144,IF(AC$8=$CO$9,$CO144,IF(AC$8=$CP$9,$CP144,IF(AC$8=$CQ$9,$CQ144,"НЕТ"))))))))))))))))))))))))</f>
        <v>НЕТ</v>
      </c>
      <c r="AD144" s="37" t="str">
        <f>IF(AC144="НЕТ","Не требуется",$CR144)</f>
        <v>Не требуется</v>
      </c>
      <c r="AE144" s="37"/>
      <c r="AF144" s="37" t="str">
        <f t="shared" ref="AF144:AL144" si="203">IF(AF$8=$BT$9,$BT144,IF(AF$8=$BS$9,$BS144,IF(AF$8=$BU$9,$BU144,IF(AF$8=$BV$9,$BV144,IF(AF$8=$BW$9,$BW144,IF(AF$8=$BX$9,$BX144,IF(AF$8=$BY$9,$BY144,IF(AF$8=$BZ$9,$BZ144,IF(AF$8=$CA$9,$CA144,IF(AF$8=$CC$9,$CC144,IF(AF$8=$CD$9,$CD144,IF(AF$8=$CE$9,$CE144,IF(AF$8=$CF$9,$CF144,IF(AF$8=$CG$9,$CG144,IF(AF$8=$CH$9,$CH144,IF(AF$8=$CI$9,$CI144,IF(AF$8=$CJ$9,$CJ144,IF(AF$8=$CK$9,$CK144,IF(AF$8=$CL$9,$CL144,IF(AF$8=$CM$9,$CM144,IF(AF$8=$CN$9,$CN144,IF(AF$8=$CO$9,$CO144,IF(AF$8=$CP$9,$CP144,IF(AF$8=$CQ$9,$CQ144,"НЕТ"))))))))))))))))))))))))</f>
        <v>ДА</v>
      </c>
      <c r="AG144" s="37" t="str">
        <f t="shared" si="203"/>
        <v>НЕТ</v>
      </c>
      <c r="AH144" s="37" t="str">
        <f t="shared" si="203"/>
        <v>НЕТ</v>
      </c>
      <c r="AI144" s="37" t="str">
        <f t="shared" si="203"/>
        <v>НЕТ</v>
      </c>
      <c r="AJ144" s="37" t="str">
        <f t="shared" si="203"/>
        <v>НЕТ</v>
      </c>
      <c r="AK144" s="37" t="str">
        <f t="shared" si="203"/>
        <v>НЕТ</v>
      </c>
      <c r="AL144" s="37" t="str">
        <f t="shared" si="203"/>
        <v>НЕТ</v>
      </c>
      <c r="AM144" s="37" t="str">
        <f>IF(AL144="НЕТ","Не требуется",$CR144)</f>
        <v>Не требуется</v>
      </c>
      <c r="AN144" s="37"/>
      <c r="AQ144" s="200"/>
      <c r="AR144" s="230"/>
      <c r="AS144" s="144" t="str">
        <f>IF(BS144="ДА",$M144,"")</f>
        <v/>
      </c>
      <c r="AT144" s="144" t="str">
        <f t="shared" ref="AT144:AV144" si="204">IF(BT144="ДА",$M144,"")</f>
        <v/>
      </c>
      <c r="AU144" s="144" t="str">
        <f t="shared" si="204"/>
        <v/>
      </c>
      <c r="AV144" s="144" t="str">
        <f t="shared" si="204"/>
        <v/>
      </c>
      <c r="AW144" s="144">
        <f>IF(BX144="ДА",$M144,"")</f>
        <v>2</v>
      </c>
      <c r="AX144" s="144">
        <f>IF(BY144="ДА",$M144,"")</f>
        <v>2</v>
      </c>
      <c r="AY144" s="144">
        <f>IF(BZ144="ДА",$M144,"")</f>
        <v>2</v>
      </c>
      <c r="AZ144" s="201">
        <f>IF(CA144="ДА",$M144,"")</f>
        <v>2</v>
      </c>
      <c r="BA144" s="235"/>
      <c r="BB144" s="144">
        <f t="shared" ref="BB144:BP144" si="205">IF(CC144="ДА",$M144,"")</f>
        <v>2</v>
      </c>
      <c r="BC144" s="144">
        <f t="shared" si="205"/>
        <v>2</v>
      </c>
      <c r="BD144" s="144" t="str">
        <f t="shared" si="205"/>
        <v/>
      </c>
      <c r="BE144" s="144" t="str">
        <f t="shared" si="205"/>
        <v/>
      </c>
      <c r="BF144" s="201" t="str">
        <f t="shared" si="205"/>
        <v/>
      </c>
      <c r="BG144" s="144">
        <f t="shared" si="205"/>
        <v>2</v>
      </c>
      <c r="BH144" s="144" t="str">
        <f t="shared" si="205"/>
        <v/>
      </c>
      <c r="BI144" s="144" t="str">
        <f t="shared" si="205"/>
        <v/>
      </c>
      <c r="BJ144" s="144" t="str">
        <f t="shared" si="205"/>
        <v/>
      </c>
      <c r="BK144" s="201" t="str">
        <f t="shared" si="205"/>
        <v/>
      </c>
      <c r="BL144" s="144" t="str">
        <f t="shared" si="205"/>
        <v/>
      </c>
      <c r="BM144" s="144" t="str">
        <f t="shared" si="205"/>
        <v/>
      </c>
      <c r="BN144" s="144" t="str">
        <f t="shared" si="205"/>
        <v/>
      </c>
      <c r="BO144" s="144" t="str">
        <f t="shared" si="205"/>
        <v/>
      </c>
      <c r="BP144" s="201" t="str">
        <f t="shared" si="205"/>
        <v/>
      </c>
      <c r="BQ144" s="209"/>
      <c r="BR144" s="388"/>
      <c r="BS144" s="37" t="s">
        <v>255</v>
      </c>
      <c r="BT144" s="37" t="s">
        <v>255</v>
      </c>
      <c r="BU144" s="37" t="s">
        <v>255</v>
      </c>
      <c r="BV144" s="37" t="s">
        <v>255</v>
      </c>
      <c r="BW144" s="37" t="s">
        <v>255</v>
      </c>
      <c r="BX144" s="37" t="s">
        <v>246</v>
      </c>
      <c r="BY144" s="37" t="s">
        <v>246</v>
      </c>
      <c r="BZ144" s="37" t="s">
        <v>246</v>
      </c>
      <c r="CA144" s="123" t="s">
        <v>246</v>
      </c>
      <c r="CB144" s="223"/>
      <c r="CC144" s="37" t="s">
        <v>246</v>
      </c>
      <c r="CD144" s="37" t="s">
        <v>246</v>
      </c>
      <c r="CE144" s="37" t="s">
        <v>255</v>
      </c>
      <c r="CF144" s="37" t="s">
        <v>255</v>
      </c>
      <c r="CG144" s="37" t="s">
        <v>255</v>
      </c>
      <c r="CH144" s="37" t="s">
        <v>246</v>
      </c>
      <c r="CI144" s="37" t="s">
        <v>255</v>
      </c>
      <c r="CJ144" s="37" t="s">
        <v>255</v>
      </c>
      <c r="CK144" s="37" t="s">
        <v>255</v>
      </c>
      <c r="CL144" s="37" t="s">
        <v>255</v>
      </c>
      <c r="CM144" s="37" t="s">
        <v>255</v>
      </c>
      <c r="CN144" s="37" t="s">
        <v>255</v>
      </c>
      <c r="CO144" s="37" t="s">
        <v>255</v>
      </c>
      <c r="CP144" s="37" t="s">
        <v>255</v>
      </c>
      <c r="CQ144" s="37" t="s">
        <v>255</v>
      </c>
      <c r="CR144" s="123" t="s">
        <v>302</v>
      </c>
    </row>
    <row r="145" spans="1:96" ht="30" hidden="1" outlineLevel="2" x14ac:dyDescent="0.25">
      <c r="A145" s="133"/>
      <c r="B145" s="274" t="s">
        <v>343</v>
      </c>
      <c r="C145" s="1029"/>
      <c r="D145" s="275"/>
      <c r="E145" s="269"/>
      <c r="F145" s="275"/>
      <c r="G145" s="275"/>
      <c r="H145" s="275"/>
      <c r="I145" s="275"/>
      <c r="J145" s="275"/>
      <c r="K145" s="275"/>
      <c r="L145" s="275"/>
      <c r="M145" s="275"/>
      <c r="N145" s="235">
        <f t="shared" si="137"/>
        <v>0</v>
      </c>
      <c r="O145" s="344"/>
      <c r="P145" s="275"/>
      <c r="Q145" s="376"/>
      <c r="R145" s="375"/>
      <c r="S145" s="275"/>
      <c r="T145" s="376"/>
      <c r="U145" s="375"/>
      <c r="V145" s="275"/>
      <c r="W145" s="376"/>
      <c r="X145" s="375"/>
      <c r="Y145" s="275"/>
      <c r="Z145" s="345"/>
      <c r="AA145" s="275"/>
      <c r="AB145" s="799"/>
      <c r="AD145" s="276"/>
      <c r="AE145" s="275"/>
      <c r="AF145" s="275"/>
      <c r="AG145" s="276"/>
      <c r="AH145" s="275"/>
      <c r="AI145" s="275"/>
      <c r="AJ145" s="276"/>
      <c r="AK145" s="275"/>
      <c r="AL145" s="275"/>
      <c r="AM145" s="276"/>
      <c r="AN145" s="275"/>
      <c r="AQ145" s="202"/>
      <c r="AZ145" s="203"/>
      <c r="BF145" s="203"/>
      <c r="BK145" s="203"/>
      <c r="BP145" s="203"/>
      <c r="BQ145" s="202"/>
      <c r="CA145" s="203"/>
      <c r="CR145" s="122"/>
    </row>
    <row r="146" spans="1:96" ht="30" outlineLevel="1" x14ac:dyDescent="0.25">
      <c r="A146" s="112" t="s">
        <v>1701</v>
      </c>
      <c r="B146" s="120" t="s">
        <v>229</v>
      </c>
      <c r="C146" s="861" t="s">
        <v>243</v>
      </c>
      <c r="D146" s="120"/>
      <c r="E146" s="121"/>
      <c r="F146" s="35" t="s">
        <v>225</v>
      </c>
      <c r="G146" s="109" t="s">
        <v>953</v>
      </c>
      <c r="H146" s="111" t="s">
        <v>243</v>
      </c>
      <c r="I146" s="111" t="s">
        <v>243</v>
      </c>
      <c r="J146" s="111" t="s">
        <v>242</v>
      </c>
      <c r="K146" s="111" t="s">
        <v>242</v>
      </c>
      <c r="L146" s="111" t="s">
        <v>243</v>
      </c>
      <c r="M146" s="34">
        <v>2</v>
      </c>
      <c r="N146" s="235">
        <f t="shared" si="137"/>
        <v>0</v>
      </c>
      <c r="O146" s="200" t="str">
        <f t="shared" ref="O146" si="206">IF(AC146="ДА",$M146,"")</f>
        <v/>
      </c>
      <c r="P146" s="144"/>
      <c r="Q146" s="357">
        <f>IF(AC146="ДА",ROUNDUP(O146/5,0),0)</f>
        <v>0</v>
      </c>
      <c r="R146" s="356" t="str">
        <f>IF(AF146="ДА",$M146,"")</f>
        <v/>
      </c>
      <c r="S146" s="144"/>
      <c r="T146" s="357">
        <f>IF(AF146="ДА",ROUNDUP(R146/5,0),0)</f>
        <v>0</v>
      </c>
      <c r="U146" s="356" t="str">
        <f>IF(AI146="ДА",$M146,"")</f>
        <v/>
      </c>
      <c r="V146" s="144"/>
      <c r="W146" s="357">
        <f>IF(AI146="ДА",ROUNDUP(U146/5,0),0)</f>
        <v>0</v>
      </c>
      <c r="X146" s="356" t="str">
        <f>IF(AL146="ДА",$M146,"")</f>
        <v/>
      </c>
      <c r="Y146" s="144"/>
      <c r="Z146" s="201">
        <f>IF(AL146="ДА",ROUNDUP(X146/5,0),0)</f>
        <v>0</v>
      </c>
      <c r="AA146" s="388" t="str">
        <f>IF(OR(AC146="ДА",AF146="ДА",AI146="ДА",AL146="ДА"),"ДА","НЕТ")</f>
        <v>НЕТ</v>
      </c>
      <c r="AB146" s="388"/>
      <c r="AC146" s="37" t="str">
        <f>IF(AC$8=$BT$9,$BT146,IF(AC$8=$BS$9,$BS146,IF(AC$8=$BU$9,$BU146,IF(AC$8=$BV$9,$BV146,IF(AC$8=$BW$9,$BW146,IF(AC$8=$BX$9,$BX146,IF(AC$8=$BY$9,$BY146,IF(AC$8=$BZ$9,$BZ146,IF(AC$8=$CA$9,$CA146,IF(AC$8=$CC$9,$CC146,IF(AC$8=$CD$9,$CD146,IF(AC$8=$CE$9,$CE146,IF(AC$8=$CF$9,$CF146,IF(AC$8=$CG$9,$CG146,IF(AC$8=$CH$9,$CH146,IF(AC$8=$CI$9,$CI146,IF(AC$8=$CJ$9,$CJ146,IF(AC$8=$CK$9,$CK146,IF(AC$8=$CL$9,$CL146,IF(AC$8=$CM$9,$CM146,IF(AC$8=$CN$9,$CN146,IF(AC$8=$CO$9,$CO146,IF(AC$8=$CP$9,$CP146,IF(AC$8=$CQ$9,$CQ146,"НЕТ"))))))))))))))))))))))))</f>
        <v>НЕТ</v>
      </c>
      <c r="AD146" s="37" t="str">
        <f>IF(AC146="НЕТ","Не требуется",$CR146)</f>
        <v>Не требуется</v>
      </c>
      <c r="AE146" s="37"/>
      <c r="AF146" s="37" t="str">
        <f t="shared" ref="AF146:AL146" si="207">IF(AF$8=$BT$9,$BT146,IF(AF$8=$BS$9,$BS146,IF(AF$8=$BU$9,$BU146,IF(AF$8=$BV$9,$BV146,IF(AF$8=$BW$9,$BW146,IF(AF$8=$BX$9,$BX146,IF(AF$8=$BY$9,$BY146,IF(AF$8=$BZ$9,$BZ146,IF(AF$8=$CA$9,$CA146,IF(AF$8=$CC$9,$CC146,IF(AF$8=$CD$9,$CD146,IF(AF$8=$CE$9,$CE146,IF(AF$8=$CF$9,$CF146,IF(AF$8=$CG$9,$CG146,IF(AF$8=$CH$9,$CH146,IF(AF$8=$CI$9,$CI146,IF(AF$8=$CJ$9,$CJ146,IF(AF$8=$CK$9,$CK146,IF(AF$8=$CL$9,$CL146,IF(AF$8=$CM$9,$CM146,IF(AF$8=$CN$9,$CN146,IF(AF$8=$CO$9,$CO146,IF(AF$8=$CP$9,$CP146,IF(AF$8=$CQ$9,$CQ146,"НЕТ"))))))))))))))))))))))))</f>
        <v>НЕТ</v>
      </c>
      <c r="AG146" s="37" t="str">
        <f t="shared" si="207"/>
        <v>НЕТ</v>
      </c>
      <c r="AH146" s="37" t="str">
        <f t="shared" si="207"/>
        <v>НЕТ</v>
      </c>
      <c r="AI146" s="37" t="str">
        <f t="shared" si="207"/>
        <v>НЕТ</v>
      </c>
      <c r="AJ146" s="37" t="str">
        <f t="shared" si="207"/>
        <v>НЕТ</v>
      </c>
      <c r="AK146" s="37" t="str">
        <f t="shared" si="207"/>
        <v>НЕТ</v>
      </c>
      <c r="AL146" s="37" t="str">
        <f t="shared" si="207"/>
        <v>НЕТ</v>
      </c>
      <c r="AM146" s="37" t="str">
        <f>IF(AL146="НЕТ","Не требуется",$CR146)</f>
        <v>Не требуется</v>
      </c>
      <c r="AN146" s="37"/>
      <c r="AQ146" s="200"/>
      <c r="AR146" s="230"/>
      <c r="AS146" s="144" t="str">
        <f>IF(BS146="ДА",$M146,"")</f>
        <v/>
      </c>
      <c r="AT146" s="144" t="str">
        <f t="shared" ref="AT146:AV146" si="208">IF(BT146="ДА",$M146,"")</f>
        <v/>
      </c>
      <c r="AU146" s="144" t="str">
        <f t="shared" si="208"/>
        <v/>
      </c>
      <c r="AV146" s="144" t="str">
        <f t="shared" si="208"/>
        <v/>
      </c>
      <c r="AW146" s="144" t="str">
        <f>IF(BX146="ДА",$M146,"")</f>
        <v/>
      </c>
      <c r="AX146" s="144" t="str">
        <f>IF(BY146="ДА",$M146,"")</f>
        <v/>
      </c>
      <c r="AY146" s="144" t="str">
        <f>IF(BZ146="ДА",$M146,"")</f>
        <v/>
      </c>
      <c r="AZ146" s="201">
        <f>IF(CA146="ДА",$M146,"")</f>
        <v>2</v>
      </c>
      <c r="BA146" s="235"/>
      <c r="BB146" s="144" t="str">
        <f t="shared" ref="BB146:BP146" si="209">IF(CC146="ДА",$M146,"")</f>
        <v/>
      </c>
      <c r="BC146" s="144">
        <f t="shared" si="209"/>
        <v>2</v>
      </c>
      <c r="BD146" s="144" t="str">
        <f t="shared" si="209"/>
        <v/>
      </c>
      <c r="BE146" s="144" t="str">
        <f t="shared" si="209"/>
        <v/>
      </c>
      <c r="BF146" s="201" t="str">
        <f t="shared" si="209"/>
        <v/>
      </c>
      <c r="BG146" s="144" t="str">
        <f t="shared" si="209"/>
        <v/>
      </c>
      <c r="BH146" s="144" t="str">
        <f t="shared" si="209"/>
        <v/>
      </c>
      <c r="BI146" s="144" t="str">
        <f t="shared" si="209"/>
        <v/>
      </c>
      <c r="BJ146" s="144">
        <f t="shared" si="209"/>
        <v>2</v>
      </c>
      <c r="BK146" s="201" t="str">
        <f t="shared" si="209"/>
        <v/>
      </c>
      <c r="BL146" s="144" t="str">
        <f t="shared" si="209"/>
        <v/>
      </c>
      <c r="BM146" s="144" t="str">
        <f t="shared" si="209"/>
        <v/>
      </c>
      <c r="BN146" s="144" t="str">
        <f t="shared" si="209"/>
        <v/>
      </c>
      <c r="BO146" s="144" t="str">
        <f t="shared" si="209"/>
        <v/>
      </c>
      <c r="BP146" s="201" t="str">
        <f t="shared" si="209"/>
        <v/>
      </c>
      <c r="BQ146" s="209"/>
      <c r="BR146" s="388"/>
      <c r="BS146" s="37" t="s">
        <v>255</v>
      </c>
      <c r="BT146" s="37" t="s">
        <v>255</v>
      </c>
      <c r="BU146" s="37" t="s">
        <v>255</v>
      </c>
      <c r="BV146" s="37" t="s">
        <v>255</v>
      </c>
      <c r="BW146" s="37" t="s">
        <v>255</v>
      </c>
      <c r="BX146" s="37" t="s">
        <v>255</v>
      </c>
      <c r="BY146" s="37" t="s">
        <v>255</v>
      </c>
      <c r="BZ146" s="37" t="s">
        <v>255</v>
      </c>
      <c r="CA146" s="123" t="s">
        <v>246</v>
      </c>
      <c r="CB146" s="223"/>
      <c r="CC146" s="37" t="s">
        <v>255</v>
      </c>
      <c r="CD146" s="37" t="s">
        <v>246</v>
      </c>
      <c r="CE146" s="37" t="s">
        <v>255</v>
      </c>
      <c r="CF146" s="37" t="s">
        <v>255</v>
      </c>
      <c r="CG146" s="37" t="s">
        <v>255</v>
      </c>
      <c r="CH146" s="37" t="s">
        <v>255</v>
      </c>
      <c r="CI146" s="37" t="s">
        <v>255</v>
      </c>
      <c r="CJ146" s="37" t="s">
        <v>255</v>
      </c>
      <c r="CK146" s="37" t="s">
        <v>246</v>
      </c>
      <c r="CL146" s="37" t="s">
        <v>255</v>
      </c>
      <c r="CM146" s="37" t="s">
        <v>255</v>
      </c>
      <c r="CN146" s="37" t="s">
        <v>255</v>
      </c>
      <c r="CO146" s="37" t="s">
        <v>255</v>
      </c>
      <c r="CP146" s="37" t="s">
        <v>255</v>
      </c>
      <c r="CQ146" s="37" t="s">
        <v>255</v>
      </c>
      <c r="CR146" s="123" t="s">
        <v>302</v>
      </c>
    </row>
    <row r="147" spans="1:96" ht="15.75" x14ac:dyDescent="0.25">
      <c r="A147" s="54" t="s">
        <v>430</v>
      </c>
      <c r="B147" s="119" t="s">
        <v>121</v>
      </c>
      <c r="C147" s="119"/>
      <c r="D147" s="119"/>
      <c r="E147" s="493"/>
      <c r="F147" s="49" t="s">
        <v>221</v>
      </c>
      <c r="G147" s="49" t="s">
        <v>221</v>
      </c>
      <c r="H147" s="49" t="s">
        <v>221</v>
      </c>
      <c r="I147" s="49" t="s">
        <v>221</v>
      </c>
      <c r="J147" s="49" t="s">
        <v>221</v>
      </c>
      <c r="K147" s="49" t="s">
        <v>221</v>
      </c>
      <c r="L147" s="49" t="s">
        <v>221</v>
      </c>
      <c r="M147" s="81">
        <f>SUM(M148,M153,M161,M165,M170,M175,M176)</f>
        <v>29</v>
      </c>
      <c r="N147" s="81">
        <f>SUM(N148,N153,N161,N165,N170,N175,N176)</f>
        <v>19</v>
      </c>
      <c r="O147" s="81">
        <f t="shared" ref="O147:Z147" si="210">SUM(O148,O153,O161,O165,O170,O175,O176)</f>
        <v>2</v>
      </c>
      <c r="P147" s="81">
        <f t="shared" si="210"/>
        <v>0</v>
      </c>
      <c r="Q147" s="81">
        <f t="shared" si="210"/>
        <v>1</v>
      </c>
      <c r="R147" s="81">
        <f t="shared" si="210"/>
        <v>17</v>
      </c>
      <c r="S147" s="81">
        <f t="shared" si="210"/>
        <v>0</v>
      </c>
      <c r="T147" s="81">
        <f t="shared" si="210"/>
        <v>5</v>
      </c>
      <c r="U147" s="81">
        <f t="shared" si="210"/>
        <v>0</v>
      </c>
      <c r="V147" s="81">
        <f t="shared" si="210"/>
        <v>0</v>
      </c>
      <c r="W147" s="81">
        <f t="shared" si="210"/>
        <v>0</v>
      </c>
      <c r="X147" s="81">
        <f t="shared" si="210"/>
        <v>0</v>
      </c>
      <c r="Y147" s="81">
        <f t="shared" si="210"/>
        <v>0</v>
      </c>
      <c r="Z147" s="81">
        <f t="shared" si="210"/>
        <v>0</v>
      </c>
      <c r="AA147" s="387" t="str">
        <f>IF(N147&gt;0,"ДА","НЕТ")</f>
        <v>ДА</v>
      </c>
      <c r="AB147" s="387"/>
      <c r="AC147" s="140" t="str">
        <f>IF(O147&gt;0,"ДА","НЕТ")</f>
        <v>ДА</v>
      </c>
      <c r="AD147" s="118"/>
      <c r="AE147" s="140"/>
      <c r="AF147" s="140" t="str">
        <f>IF(R147&gt;0,"ДА","НЕТ")</f>
        <v>ДА</v>
      </c>
      <c r="AG147" s="118"/>
      <c r="AH147" s="140"/>
      <c r="AI147" s="140" t="str">
        <f>IF(U147&gt;0,"ДА","НЕТ")</f>
        <v>НЕТ</v>
      </c>
      <c r="AJ147" s="118"/>
      <c r="AK147" s="140"/>
      <c r="AL147" s="140" t="str">
        <f>IF(X147&gt;0,"ДА","НЕТ")</f>
        <v>НЕТ</v>
      </c>
      <c r="AM147" s="118"/>
      <c r="AN147" s="140"/>
      <c r="AQ147" s="199"/>
      <c r="AR147" s="229"/>
      <c r="AS147" s="49">
        <f>SUM(AS148,AS165,AS161,AS170,AS175,AS176)</f>
        <v>2</v>
      </c>
      <c r="AT147" s="49">
        <f t="shared" ref="AT147:AV147" si="211">SUM(AT148,AT165,AT161,AT170,AT175,AT176)</f>
        <v>0</v>
      </c>
      <c r="AU147" s="49">
        <f t="shared" si="211"/>
        <v>2</v>
      </c>
      <c r="AV147" s="49">
        <f t="shared" si="211"/>
        <v>0</v>
      </c>
      <c r="AW147" s="49">
        <f>SUM(AW148,AW165,AW161,AW170,AW175,AW176)</f>
        <v>4</v>
      </c>
      <c r="AX147" s="49">
        <f>SUM(AX148,AX165,AX161,AX170,AX175,AX176)</f>
        <v>12</v>
      </c>
      <c r="AY147" s="49">
        <f>SUM(AY148,AY165,AY161,AY170,AY175,AY176)</f>
        <v>12</v>
      </c>
      <c r="AZ147" s="52">
        <f>SUM(AZ148,AZ165,AZ161,AZ170,AZ175,AZ176)</f>
        <v>24</v>
      </c>
      <c r="BA147" s="81"/>
      <c r="BB147" s="49">
        <f t="shared" ref="BB147:BP147" si="212">SUM(BB148,BB165,BB161,BB170,BB175,BB176)</f>
        <v>3</v>
      </c>
      <c r="BC147" s="49">
        <f t="shared" si="212"/>
        <v>15</v>
      </c>
      <c r="BD147" s="49">
        <f t="shared" si="212"/>
        <v>9</v>
      </c>
      <c r="BE147" s="49">
        <f t="shared" si="212"/>
        <v>22</v>
      </c>
      <c r="BF147" s="52">
        <f t="shared" si="212"/>
        <v>22</v>
      </c>
      <c r="BG147" s="49">
        <f t="shared" si="212"/>
        <v>0</v>
      </c>
      <c r="BH147" s="49">
        <f t="shared" si="212"/>
        <v>0</v>
      </c>
      <c r="BI147" s="49">
        <f t="shared" si="212"/>
        <v>12</v>
      </c>
      <c r="BJ147" s="49">
        <f t="shared" si="212"/>
        <v>0</v>
      </c>
      <c r="BK147" s="52">
        <f t="shared" si="212"/>
        <v>5</v>
      </c>
      <c r="BL147" s="49">
        <f t="shared" si="212"/>
        <v>0</v>
      </c>
      <c r="BM147" s="49">
        <f t="shared" si="212"/>
        <v>0</v>
      </c>
      <c r="BN147" s="49">
        <f t="shared" si="212"/>
        <v>0</v>
      </c>
      <c r="BO147" s="49">
        <f t="shared" si="212"/>
        <v>0</v>
      </c>
      <c r="BP147" s="52">
        <f t="shared" si="212"/>
        <v>0</v>
      </c>
      <c r="BQ147" s="209"/>
      <c r="BR147" s="388"/>
      <c r="BS147" s="140" t="str">
        <f t="shared" ref="BS147:BV147" si="213">IF(AS147&gt;0,"ДА","НЕТ")</f>
        <v>ДА</v>
      </c>
      <c r="BT147" s="140" t="str">
        <f t="shared" si="213"/>
        <v>НЕТ</v>
      </c>
      <c r="BU147" s="140" t="str">
        <f t="shared" si="213"/>
        <v>ДА</v>
      </c>
      <c r="BV147" s="140" t="str">
        <f t="shared" si="213"/>
        <v>НЕТ</v>
      </c>
      <c r="BW147" s="140" t="str">
        <f>IF(AS147&gt;0,"ДА","НЕТ")</f>
        <v>ДА</v>
      </c>
      <c r="BX147" s="140" t="str">
        <f>IF(AW147&gt;0,"ДА","НЕТ")</f>
        <v>ДА</v>
      </c>
      <c r="BY147" s="140" t="str">
        <f>IF(AX147&gt;0,"ДА","НЕТ")</f>
        <v>ДА</v>
      </c>
      <c r="BZ147" s="140" t="str">
        <f>IF(AY147&gt;0,"ДА","НЕТ")</f>
        <v>ДА</v>
      </c>
      <c r="CA147" s="208" t="str">
        <f>IF(AZ147&gt;0,"ДА","НЕТ")</f>
        <v>ДА</v>
      </c>
      <c r="CB147" s="222"/>
      <c r="CC147" s="140" t="str">
        <f t="shared" ref="CC147:CQ147" si="214">IF(BB147&gt;0,"ДА","НЕТ")</f>
        <v>ДА</v>
      </c>
      <c r="CD147" s="140" t="str">
        <f t="shared" si="214"/>
        <v>ДА</v>
      </c>
      <c r="CE147" s="140" t="str">
        <f t="shared" si="214"/>
        <v>ДА</v>
      </c>
      <c r="CF147" s="140" t="str">
        <f t="shared" si="214"/>
        <v>ДА</v>
      </c>
      <c r="CG147" s="140" t="str">
        <f t="shared" si="214"/>
        <v>ДА</v>
      </c>
      <c r="CH147" s="140" t="str">
        <f t="shared" si="214"/>
        <v>НЕТ</v>
      </c>
      <c r="CI147" s="140" t="str">
        <f t="shared" si="214"/>
        <v>НЕТ</v>
      </c>
      <c r="CJ147" s="140" t="str">
        <f t="shared" si="214"/>
        <v>ДА</v>
      </c>
      <c r="CK147" s="140" t="str">
        <f t="shared" si="214"/>
        <v>НЕТ</v>
      </c>
      <c r="CL147" s="140" t="str">
        <f t="shared" si="214"/>
        <v>ДА</v>
      </c>
      <c r="CM147" s="140" t="str">
        <f t="shared" si="214"/>
        <v>НЕТ</v>
      </c>
      <c r="CN147" s="140" t="str">
        <f t="shared" si="214"/>
        <v>НЕТ</v>
      </c>
      <c r="CO147" s="140" t="str">
        <f t="shared" si="214"/>
        <v>НЕТ</v>
      </c>
      <c r="CP147" s="140" t="str">
        <f t="shared" si="214"/>
        <v>НЕТ</v>
      </c>
      <c r="CQ147" s="140" t="str">
        <f t="shared" si="214"/>
        <v>НЕТ</v>
      </c>
      <c r="CR147" s="122"/>
    </row>
    <row r="148" spans="1:96" ht="15.75" outlineLevel="1" collapsed="1" x14ac:dyDescent="0.25">
      <c r="A148" s="131" t="s">
        <v>431</v>
      </c>
      <c r="B148" s="113" t="s">
        <v>1815</v>
      </c>
      <c r="C148" s="113"/>
      <c r="D148" s="113"/>
      <c r="E148" s="490"/>
      <c r="F148" s="108" t="s">
        <v>222</v>
      </c>
      <c r="G148" s="111" t="s">
        <v>563</v>
      </c>
      <c r="H148" s="111" t="s">
        <v>243</v>
      </c>
      <c r="I148" s="111" t="s">
        <v>243</v>
      </c>
      <c r="J148" s="111" t="s">
        <v>242</v>
      </c>
      <c r="K148" s="111" t="s">
        <v>242</v>
      </c>
      <c r="L148" s="108"/>
      <c r="M148" s="108">
        <v>2</v>
      </c>
      <c r="N148" s="235">
        <f t="shared" ref="N148:N176" si="215">SUM(O148,R148,U148,X148)</f>
        <v>4</v>
      </c>
      <c r="O148" s="200">
        <f t="shared" ref="O148" si="216">IF(AC148="ДА",$M148,"")</f>
        <v>2</v>
      </c>
      <c r="P148" s="144"/>
      <c r="Q148" s="357">
        <f>IF(AC148="ДА",ROUNDUP(O148/5,0),0)</f>
        <v>1</v>
      </c>
      <c r="R148" s="356">
        <f>IF(AF148="ДА",$M148,"")</f>
        <v>2</v>
      </c>
      <c r="S148" s="144"/>
      <c r="T148" s="357">
        <f>IF(AF148="ДА",ROUNDUP(R148/5,0),0)</f>
        <v>1</v>
      </c>
      <c r="U148" s="356" t="str">
        <f>IF(AI148="ДА",$M148,"")</f>
        <v/>
      </c>
      <c r="V148" s="144"/>
      <c r="W148" s="357">
        <f>IF(AI148="ДА",ROUNDUP(U148/5,0),0)</f>
        <v>0</v>
      </c>
      <c r="X148" s="356" t="str">
        <f>IF(AL148="ДА",$M148,"")</f>
        <v/>
      </c>
      <c r="Y148" s="144"/>
      <c r="Z148" s="201">
        <f>IF(AL148="ДА",ROUNDUP(X148/5,0),0)</f>
        <v>0</v>
      </c>
      <c r="AA148" s="388" t="str">
        <f>IF(OR(AC148="ДА",AF148="ДА",AI148="ДА",AL148="ДА"),"ДА","НЕТ")</f>
        <v>ДА</v>
      </c>
      <c r="AB148" s="388"/>
      <c r="AC148" s="37" t="str">
        <f>IF(AC$8=$BT$9,$BT148,IF(AC$8=$BS$9,$BS148,IF(AC$8=$BU$9,$BU148,IF(AC$8=$BV$9,$BV148,IF(AC$8=$BW$9,$BW148,IF(AC$8=$BX$9,$BX148,IF(AC$8=$BY$9,$BY148,IF(AC$8=$BZ$9,$BZ148,IF(AC$8=$CA$9,$CA148,IF(AC$8=$CC$9,$CC148,IF(AC$8=$CD$9,$CD148,IF(AC$8=$CE$9,$CE148,IF(AC$8=$CF$9,$CF148,IF(AC$8=$CG$9,$CG148,IF(AC$8=$CH$9,$CH148,IF(AC$8=$CI$9,$CI148,IF(AC$8=$CJ$9,$CJ148,IF(AC$8=$CK$9,$CK148,IF(AC$8=$CL$9,$CL148,IF(AC$8=$CM$9,$CM148,IF(AC$8=$CN$9,$CN148,IF(AC$8=$CO$9,$CO148,IF(AC$8=$CP$9,$CP148,IF(AC$8=$CQ$9,$CQ148,"НЕТ"))))))))))))))))))))))))</f>
        <v>ДА</v>
      </c>
      <c r="AD148" s="37" t="str">
        <f>IF(AC148="НЕТ","Не требуется",$CR148)</f>
        <v>Не требуется</v>
      </c>
      <c r="AE148" s="37"/>
      <c r="AF148" s="37" t="str">
        <f t="shared" ref="AF148:AL148" si="217">IF(AF$8=$BT$9,$BT148,IF(AF$8=$BS$9,$BS148,IF(AF$8=$BU$9,$BU148,IF(AF$8=$BV$9,$BV148,IF(AF$8=$BW$9,$BW148,IF(AF$8=$BX$9,$BX148,IF(AF$8=$BY$9,$BY148,IF(AF$8=$BZ$9,$BZ148,IF(AF$8=$CA$9,$CA148,IF(AF$8=$CC$9,$CC148,IF(AF$8=$CD$9,$CD148,IF(AF$8=$CE$9,$CE148,IF(AF$8=$CF$9,$CF148,IF(AF$8=$CG$9,$CG148,IF(AF$8=$CH$9,$CH148,IF(AF$8=$CI$9,$CI148,IF(AF$8=$CJ$9,$CJ148,IF(AF$8=$CK$9,$CK148,IF(AF$8=$CL$9,$CL148,IF(AF$8=$CM$9,$CM148,IF(AF$8=$CN$9,$CN148,IF(AF$8=$CO$9,$CO148,IF(AF$8=$CP$9,$CP148,IF(AF$8=$CQ$9,$CQ148,"НЕТ"))))))))))))))))))))))))</f>
        <v>ДА</v>
      </c>
      <c r="AG148" s="37" t="str">
        <f t="shared" si="217"/>
        <v>НЕТ</v>
      </c>
      <c r="AH148" s="37" t="str">
        <f t="shared" si="217"/>
        <v>НЕТ</v>
      </c>
      <c r="AI148" s="37" t="str">
        <f t="shared" si="217"/>
        <v>НЕТ</v>
      </c>
      <c r="AJ148" s="37" t="str">
        <f t="shared" si="217"/>
        <v>НЕТ</v>
      </c>
      <c r="AK148" s="37" t="str">
        <f t="shared" si="217"/>
        <v>НЕТ</v>
      </c>
      <c r="AL148" s="37" t="str">
        <f t="shared" si="217"/>
        <v>НЕТ</v>
      </c>
      <c r="AM148" s="37" t="str">
        <f>IF(AL148="НЕТ","Не требуется",$CR148)</f>
        <v>Не требуется</v>
      </c>
      <c r="AN148" s="37"/>
      <c r="AQ148" s="200"/>
      <c r="AR148" s="230"/>
      <c r="AS148" s="144">
        <f>IF(BS148="ДА",$M148,"")</f>
        <v>2</v>
      </c>
      <c r="AT148" s="144" t="str">
        <f t="shared" ref="AT148:AV148" si="218">IF(BT148="ДА",$M148,"")</f>
        <v/>
      </c>
      <c r="AU148" s="144">
        <f t="shared" si="218"/>
        <v>2</v>
      </c>
      <c r="AV148" s="144" t="str">
        <f t="shared" si="218"/>
        <v/>
      </c>
      <c r="AW148" s="144">
        <f>IF(BX148="ДА",$M148,"")</f>
        <v>2</v>
      </c>
      <c r="AX148" s="144">
        <f>IF(BY148="ДА",$M148,"")</f>
        <v>2</v>
      </c>
      <c r="AY148" s="144">
        <f>IF(BZ148="ДА",$M148,"")</f>
        <v>2</v>
      </c>
      <c r="AZ148" s="201">
        <f>IF(CA148="ДА",$M148,"")</f>
        <v>2</v>
      </c>
      <c r="BA148" s="235"/>
      <c r="BB148" s="144" t="str">
        <f t="shared" ref="BB148:BP148" si="219">IF(CC148="ДА",$M148,"")</f>
        <v/>
      </c>
      <c r="BC148" s="144" t="str">
        <f t="shared" si="219"/>
        <v/>
      </c>
      <c r="BD148" s="144">
        <f t="shared" si="219"/>
        <v>2</v>
      </c>
      <c r="BE148" s="144">
        <f t="shared" si="219"/>
        <v>2</v>
      </c>
      <c r="BF148" s="201">
        <f t="shared" si="219"/>
        <v>2</v>
      </c>
      <c r="BG148" s="144" t="str">
        <f t="shared" si="219"/>
        <v/>
      </c>
      <c r="BH148" s="144" t="str">
        <f t="shared" si="219"/>
        <v/>
      </c>
      <c r="BI148" s="144">
        <f t="shared" si="219"/>
        <v>2</v>
      </c>
      <c r="BJ148" s="144" t="str">
        <f t="shared" si="219"/>
        <v/>
      </c>
      <c r="BK148" s="201" t="str">
        <f t="shared" si="219"/>
        <v/>
      </c>
      <c r="BL148" s="144" t="str">
        <f t="shared" si="219"/>
        <v/>
      </c>
      <c r="BM148" s="144" t="str">
        <f t="shared" si="219"/>
        <v/>
      </c>
      <c r="BN148" s="144" t="str">
        <f t="shared" si="219"/>
        <v/>
      </c>
      <c r="BO148" s="144" t="str">
        <f t="shared" si="219"/>
        <v/>
      </c>
      <c r="BP148" s="201" t="str">
        <f t="shared" si="219"/>
        <v/>
      </c>
      <c r="BQ148" s="209"/>
      <c r="BR148" s="388"/>
      <c r="BS148" s="37" t="s">
        <v>246</v>
      </c>
      <c r="BT148" s="37" t="s">
        <v>255</v>
      </c>
      <c r="BU148" s="37" t="s">
        <v>246</v>
      </c>
      <c r="BV148" s="37" t="s">
        <v>255</v>
      </c>
      <c r="BW148" s="37" t="s">
        <v>246</v>
      </c>
      <c r="BX148" s="37" t="s">
        <v>246</v>
      </c>
      <c r="BY148" s="37" t="s">
        <v>246</v>
      </c>
      <c r="BZ148" s="37" t="s">
        <v>246</v>
      </c>
      <c r="CA148" s="123" t="s">
        <v>246</v>
      </c>
      <c r="CB148" s="223"/>
      <c r="CC148" s="37" t="s">
        <v>255</v>
      </c>
      <c r="CD148" s="37" t="s">
        <v>255</v>
      </c>
      <c r="CE148" s="37" t="s">
        <v>246</v>
      </c>
      <c r="CF148" s="37" t="s">
        <v>246</v>
      </c>
      <c r="CG148" s="37" t="s">
        <v>246</v>
      </c>
      <c r="CH148" s="37" t="s">
        <v>255</v>
      </c>
      <c r="CI148" s="37" t="s">
        <v>255</v>
      </c>
      <c r="CJ148" s="37" t="s">
        <v>246</v>
      </c>
      <c r="CK148" s="37" t="s">
        <v>255</v>
      </c>
      <c r="CL148" s="37" t="s">
        <v>255</v>
      </c>
      <c r="CM148" s="37" t="s">
        <v>255</v>
      </c>
      <c r="CN148" s="37" t="s">
        <v>255</v>
      </c>
      <c r="CO148" s="37" t="s">
        <v>255</v>
      </c>
      <c r="CP148" s="37" t="s">
        <v>255</v>
      </c>
      <c r="CQ148" s="37" t="s">
        <v>255</v>
      </c>
      <c r="CR148" s="123" t="s">
        <v>300</v>
      </c>
    </row>
    <row r="149" spans="1:96" hidden="1" outlineLevel="2" x14ac:dyDescent="0.25">
      <c r="A149" s="133"/>
      <c r="B149" s="809" t="s">
        <v>1666</v>
      </c>
      <c r="C149" s="970" t="s">
        <v>243</v>
      </c>
      <c r="D149" s="970"/>
      <c r="E149" s="251"/>
      <c r="F149" s="251"/>
      <c r="G149" s="251"/>
      <c r="H149" s="251"/>
      <c r="I149" s="251"/>
      <c r="J149" s="251"/>
      <c r="K149" s="251"/>
      <c r="L149" s="251"/>
      <c r="M149" s="251"/>
      <c r="N149" s="235">
        <f t="shared" ref="N149" si="220">SUM(O149,R149,U149,X149)</f>
        <v>0</v>
      </c>
      <c r="O149" s="327"/>
      <c r="P149" s="251"/>
      <c r="Q149" s="359"/>
      <c r="R149" s="358"/>
      <c r="S149" s="251"/>
      <c r="T149" s="359"/>
      <c r="U149" s="358"/>
      <c r="V149" s="251"/>
      <c r="W149" s="359"/>
      <c r="X149" s="358"/>
      <c r="Y149" s="251"/>
      <c r="Z149" s="328"/>
      <c r="AA149" s="251"/>
      <c r="AB149" s="796"/>
      <c r="AD149" s="252"/>
      <c r="AE149" s="251"/>
      <c r="AF149" s="251"/>
      <c r="AG149" s="252"/>
      <c r="AH149" s="251"/>
      <c r="AI149" s="251"/>
      <c r="AJ149" s="252"/>
      <c r="AK149" s="251"/>
      <c r="AL149" s="251"/>
      <c r="AM149" s="252"/>
      <c r="AN149" s="251"/>
      <c r="AQ149" s="202"/>
      <c r="AZ149" s="203"/>
      <c r="BF149" s="203"/>
      <c r="BK149" s="203"/>
      <c r="BP149" s="203"/>
      <c r="BQ149" s="202"/>
      <c r="CA149" s="203"/>
      <c r="CR149" s="122"/>
    </row>
    <row r="150" spans="1:96" ht="75" hidden="1" outlineLevel="2" x14ac:dyDescent="0.25">
      <c r="A150" s="133"/>
      <c r="B150" s="250" t="s">
        <v>344</v>
      </c>
      <c r="C150" s="970" t="s">
        <v>2289</v>
      </c>
      <c r="D150" s="251"/>
      <c r="E150" s="251"/>
      <c r="F150" s="251"/>
      <c r="G150" s="251"/>
      <c r="H150" s="251"/>
      <c r="I150" s="251"/>
      <c r="J150" s="251"/>
      <c r="K150" s="251"/>
      <c r="L150" s="251"/>
      <c r="M150" s="251"/>
      <c r="N150" s="235">
        <f t="shared" si="215"/>
        <v>0</v>
      </c>
      <c r="O150" s="327"/>
      <c r="P150" s="251"/>
      <c r="Q150" s="359"/>
      <c r="R150" s="358"/>
      <c r="S150" s="251"/>
      <c r="T150" s="359"/>
      <c r="U150" s="358"/>
      <c r="V150" s="251"/>
      <c r="W150" s="359"/>
      <c r="X150" s="358"/>
      <c r="Y150" s="251"/>
      <c r="Z150" s="328"/>
      <c r="AA150" s="251"/>
      <c r="AB150" s="796"/>
      <c r="AD150" s="252"/>
      <c r="AE150" s="251"/>
      <c r="AF150" s="251"/>
      <c r="AG150" s="252"/>
      <c r="AH150" s="251"/>
      <c r="AI150" s="251"/>
      <c r="AJ150" s="252"/>
      <c r="AK150" s="251"/>
      <c r="AL150" s="251"/>
      <c r="AM150" s="252"/>
      <c r="AN150" s="251"/>
      <c r="AQ150" s="202"/>
      <c r="AZ150" s="203"/>
      <c r="BF150" s="203"/>
      <c r="BK150" s="203"/>
      <c r="BP150" s="203"/>
      <c r="BQ150" s="202"/>
      <c r="CA150" s="203"/>
      <c r="CR150" s="122"/>
    </row>
    <row r="151" spans="1:96" ht="45" hidden="1" outlineLevel="2" x14ac:dyDescent="0.25">
      <c r="A151" s="133"/>
      <c r="B151" s="250" t="s">
        <v>1667</v>
      </c>
      <c r="C151" s="970" t="s">
        <v>2290</v>
      </c>
      <c r="D151" s="251"/>
      <c r="E151" s="251"/>
      <c r="F151" s="251"/>
      <c r="G151" s="251"/>
      <c r="H151" s="251"/>
      <c r="I151" s="251"/>
      <c r="J151" s="251"/>
      <c r="K151" s="251"/>
      <c r="L151" s="251"/>
      <c r="M151" s="251"/>
      <c r="N151" s="235">
        <f t="shared" ref="N151:N152" si="221">SUM(O151,R151,U151,X151)</f>
        <v>0</v>
      </c>
      <c r="O151" s="327"/>
      <c r="P151" s="251"/>
      <c r="Q151" s="359"/>
      <c r="R151" s="358"/>
      <c r="S151" s="251"/>
      <c r="T151" s="359"/>
      <c r="U151" s="358"/>
      <c r="V151" s="251"/>
      <c r="W151" s="359"/>
      <c r="X151" s="358"/>
      <c r="Y151" s="251"/>
      <c r="Z151" s="328"/>
      <c r="AA151" s="251"/>
      <c r="AB151" s="796"/>
      <c r="AD151" s="252"/>
      <c r="AE151" s="251"/>
      <c r="AF151" s="251"/>
      <c r="AG151" s="252"/>
      <c r="AH151" s="251"/>
      <c r="AI151" s="251"/>
      <c r="AJ151" s="252"/>
      <c r="AK151" s="251"/>
      <c r="AL151" s="251"/>
      <c r="AM151" s="252"/>
      <c r="AN151" s="251"/>
      <c r="AQ151" s="202"/>
      <c r="AZ151" s="203"/>
      <c r="BF151" s="203"/>
      <c r="BK151" s="203"/>
      <c r="BP151" s="203"/>
      <c r="BQ151" s="202"/>
      <c r="CA151" s="203"/>
      <c r="CR151" s="122"/>
    </row>
    <row r="152" spans="1:96" ht="105" hidden="1" outlineLevel="2" x14ac:dyDescent="0.25">
      <c r="A152" s="133"/>
      <c r="B152" s="250" t="s">
        <v>573</v>
      </c>
      <c r="C152" s="970" t="s">
        <v>2291</v>
      </c>
      <c r="D152" s="251"/>
      <c r="E152" s="251"/>
      <c r="F152" s="251"/>
      <c r="G152" s="251"/>
      <c r="H152" s="251"/>
      <c r="I152" s="251"/>
      <c r="J152" s="251"/>
      <c r="K152" s="251"/>
      <c r="L152" s="251"/>
      <c r="M152" s="251"/>
      <c r="N152" s="235">
        <f t="shared" si="221"/>
        <v>0</v>
      </c>
      <c r="O152" s="327"/>
      <c r="P152" s="251"/>
      <c r="Q152" s="359"/>
      <c r="R152" s="358"/>
      <c r="S152" s="251"/>
      <c r="T152" s="359"/>
      <c r="U152" s="358"/>
      <c r="V152" s="251"/>
      <c r="W152" s="359"/>
      <c r="X152" s="358"/>
      <c r="Y152" s="251"/>
      <c r="Z152" s="328"/>
      <c r="AA152" s="251"/>
      <c r="AB152" s="796"/>
      <c r="AD152" s="252"/>
      <c r="AE152" s="251"/>
      <c r="AF152" s="251"/>
      <c r="AG152" s="252"/>
      <c r="AH152" s="251"/>
      <c r="AI152" s="251"/>
      <c r="AJ152" s="252"/>
      <c r="AK152" s="251"/>
      <c r="AL152" s="251"/>
      <c r="AM152" s="252"/>
      <c r="AN152" s="251"/>
      <c r="AQ152" s="202"/>
      <c r="AZ152" s="203"/>
      <c r="BF152" s="203"/>
      <c r="BK152" s="203"/>
      <c r="BP152" s="203"/>
      <c r="BQ152" s="202"/>
      <c r="CA152" s="203"/>
      <c r="CR152" s="122"/>
    </row>
    <row r="153" spans="1:96" ht="31.5" outlineLevel="1" collapsed="1" x14ac:dyDescent="0.25">
      <c r="A153" s="134" t="s">
        <v>432</v>
      </c>
      <c r="B153" s="116" t="s">
        <v>1449</v>
      </c>
      <c r="C153" s="1028" t="s">
        <v>243</v>
      </c>
      <c r="D153" s="116"/>
      <c r="E153" s="495"/>
      <c r="F153" s="109" t="s">
        <v>326</v>
      </c>
      <c r="G153" s="109" t="s">
        <v>953</v>
      </c>
      <c r="H153" s="111" t="s">
        <v>243</v>
      </c>
      <c r="I153" s="111" t="s">
        <v>243</v>
      </c>
      <c r="J153" s="111" t="s">
        <v>242</v>
      </c>
      <c r="K153" s="111" t="s">
        <v>242</v>
      </c>
      <c r="L153" s="111" t="s">
        <v>1692</v>
      </c>
      <c r="M153" s="109">
        <v>5</v>
      </c>
      <c r="N153" s="235">
        <f t="shared" ref="N153:N160" si="222">SUM(O153,R153,U153,X153)</f>
        <v>5</v>
      </c>
      <c r="O153" s="200" t="str">
        <f t="shared" ref="O153" si="223">IF(AC153="ДА",$M153,"")</f>
        <v/>
      </c>
      <c r="P153" s="144"/>
      <c r="Q153" s="357">
        <f>IF(AC153="ДА",ROUNDUP(O153/5,0),0)</f>
        <v>0</v>
      </c>
      <c r="R153" s="356">
        <f>IF(AF153="ДА",$M153,"")</f>
        <v>5</v>
      </c>
      <c r="S153" s="144"/>
      <c r="T153" s="357">
        <f>IF(AF153="ДА",ROUNDUP(R153/5,0),0)</f>
        <v>1</v>
      </c>
      <c r="U153" s="356" t="str">
        <f>IF(AI153="ДА",$M153,"")</f>
        <v/>
      </c>
      <c r="V153" s="144"/>
      <c r="W153" s="357">
        <f>IF(AI153="ДА",ROUNDUP(U153/5,0),0)</f>
        <v>0</v>
      </c>
      <c r="X153" s="356" t="str">
        <f>IF(AL153="ДА",$M153,"")</f>
        <v/>
      </c>
      <c r="Y153" s="144"/>
      <c r="Z153" s="201">
        <f>IF(AL153="ДА",ROUNDUP(X153/5,0),0)</f>
        <v>0</v>
      </c>
      <c r="AA153" s="388" t="str">
        <f>IF(OR(AC153="ДА",AF153="ДА",AI153="ДА",AL153="ДА"),"ДА","НЕТ")</f>
        <v>ДА</v>
      </c>
      <c r="AB153" s="388"/>
      <c r="AC153" s="37" t="str">
        <f>IF(AC$8=$BT$9,$BT153,IF(AC$8=$BS$9,$BS153,IF(AC$8=$BU$9,$BU153,IF(AC$8=$BV$9,$BV153,IF(AC$8=$BW$9,$BW153,IF(AC$8=$BX$9,$BX153,IF(AC$8=$BY$9,$BY153,IF(AC$8=$BZ$9,$BZ153,IF(AC$8=$CA$9,$CA153,IF(AC$8=$CC$9,$CC153,IF(AC$8=$CD$9,$CD153,IF(AC$8=$CE$9,$CE153,IF(AC$8=$CF$9,$CF153,IF(AC$8=$CG$9,$CG153,IF(AC$8=$CH$9,$CH153,IF(AC$8=$CI$9,$CI153,IF(AC$8=$CJ$9,$CJ153,IF(AC$8=$CK$9,$CK153,IF(AC$8=$CL$9,$CL153,IF(AC$8=$CM$9,$CM153,IF(AC$8=$CN$9,$CN153,IF(AC$8=$CO$9,$CO153,IF(AC$8=$CP$9,$CP153,IF(AC$8=$CQ$9,$CQ153,"НЕТ"))))))))))))))))))))))))</f>
        <v>НЕТ</v>
      </c>
      <c r="AD153" s="37" t="str">
        <f>IF(AC153="НЕТ","Не требуется",$CR153)</f>
        <v>Не требуется</v>
      </c>
      <c r="AE153" s="37"/>
      <c r="AF153" s="37" t="str">
        <f t="shared" ref="AF153:AL153" si="224">IF(AF$8=$BT$9,$BT153,IF(AF$8=$BS$9,$BS153,IF(AF$8=$BU$9,$BU153,IF(AF$8=$BV$9,$BV153,IF(AF$8=$BW$9,$BW153,IF(AF$8=$BX$9,$BX153,IF(AF$8=$BY$9,$BY153,IF(AF$8=$BZ$9,$BZ153,IF(AF$8=$CA$9,$CA153,IF(AF$8=$CC$9,$CC153,IF(AF$8=$CD$9,$CD153,IF(AF$8=$CE$9,$CE153,IF(AF$8=$CF$9,$CF153,IF(AF$8=$CG$9,$CG153,IF(AF$8=$CH$9,$CH153,IF(AF$8=$CI$9,$CI153,IF(AF$8=$CJ$9,$CJ153,IF(AF$8=$CK$9,$CK153,IF(AF$8=$CL$9,$CL153,IF(AF$8=$CM$9,$CM153,IF(AF$8=$CN$9,$CN153,IF(AF$8=$CO$9,$CO153,IF(AF$8=$CP$9,$CP153,IF(AF$8=$CQ$9,$CQ153,"НЕТ"))))))))))))))))))))))))</f>
        <v>ДА</v>
      </c>
      <c r="AG153" s="37" t="str">
        <f t="shared" si="224"/>
        <v>НЕТ</v>
      </c>
      <c r="AH153" s="37" t="str">
        <f t="shared" si="224"/>
        <v>НЕТ</v>
      </c>
      <c r="AI153" s="37" t="str">
        <f t="shared" si="224"/>
        <v>НЕТ</v>
      </c>
      <c r="AJ153" s="37" t="str">
        <f t="shared" si="224"/>
        <v>НЕТ</v>
      </c>
      <c r="AK153" s="37" t="str">
        <f t="shared" si="224"/>
        <v>НЕТ</v>
      </c>
      <c r="AL153" s="37" t="str">
        <f t="shared" si="224"/>
        <v>НЕТ</v>
      </c>
      <c r="AM153" s="37" t="str">
        <f>IF(AL153="НЕТ","Не требуется",$CR153)</f>
        <v>Не требуется</v>
      </c>
      <c r="AN153" s="37"/>
      <c r="AQ153" s="200"/>
      <c r="AR153" s="230"/>
      <c r="AS153" s="144" t="str">
        <f>IF(BS153="ДА",$M153,"")</f>
        <v/>
      </c>
      <c r="AT153" s="144" t="str">
        <f t="shared" ref="AT153:AV153" si="225">IF(BT153="ДА",$M153,"")</f>
        <v/>
      </c>
      <c r="AU153" s="144" t="str">
        <f t="shared" si="225"/>
        <v/>
      </c>
      <c r="AV153" s="144" t="str">
        <f t="shared" si="225"/>
        <v/>
      </c>
      <c r="AW153" s="144" t="str">
        <f>IF(BX153="ДА",$M153,"")</f>
        <v/>
      </c>
      <c r="AX153" s="144">
        <f>IF(BY153="ДА",$M153,"")</f>
        <v>5</v>
      </c>
      <c r="AY153" s="144">
        <f>IF(BZ153="ДА",$M153,"")</f>
        <v>5</v>
      </c>
      <c r="AZ153" s="201">
        <f>IF(CA153="ДА",$M153,"")</f>
        <v>5</v>
      </c>
      <c r="BA153" s="235"/>
      <c r="BB153" s="144" t="str">
        <f t="shared" ref="BB153" si="226">IF(CC153="ДА",$M153,"")</f>
        <v/>
      </c>
      <c r="BC153" s="144" t="str">
        <f t="shared" ref="BC153" si="227">IF(CD153="ДА",$M153,"")</f>
        <v/>
      </c>
      <c r="BD153" s="144">
        <f t="shared" ref="BD153" si="228">IF(CE153="ДА",$M153,"")</f>
        <v>5</v>
      </c>
      <c r="BE153" s="144">
        <f t="shared" ref="BE153" si="229">IF(CF153="ДА",$M153,"")</f>
        <v>5</v>
      </c>
      <c r="BF153" s="201">
        <f t="shared" ref="BF153" si="230">IF(CG153="ДА",$M153,"")</f>
        <v>5</v>
      </c>
      <c r="BG153" s="144" t="str">
        <f t="shared" ref="BG153" si="231">IF(CH153="ДА",$M153,"")</f>
        <v/>
      </c>
      <c r="BH153" s="144" t="str">
        <f t="shared" ref="BH153" si="232">IF(CI153="ДА",$M153,"")</f>
        <v/>
      </c>
      <c r="BI153" s="144">
        <f t="shared" ref="BI153" si="233">IF(CJ153="ДА",$M153,"")</f>
        <v>5</v>
      </c>
      <c r="BJ153" s="144" t="str">
        <f t="shared" ref="BJ153" si="234">IF(CK153="ДА",$M153,"")</f>
        <v/>
      </c>
      <c r="BK153" s="201" t="str">
        <f t="shared" ref="BK153" si="235">IF(CL153="ДА",$M153,"")</f>
        <v/>
      </c>
      <c r="BL153" s="144" t="str">
        <f t="shared" ref="BL153" si="236">IF(CM153="ДА",$M153,"")</f>
        <v/>
      </c>
      <c r="BM153" s="144" t="str">
        <f t="shared" ref="BM153" si="237">IF(CN153="ДА",$M153,"")</f>
        <v/>
      </c>
      <c r="BN153" s="144" t="str">
        <f t="shared" ref="BN153" si="238">IF(CO153="ДА",$M153,"")</f>
        <v/>
      </c>
      <c r="BO153" s="144" t="str">
        <f t="shared" ref="BO153" si="239">IF(CP153="ДА",$M153,"")</f>
        <v/>
      </c>
      <c r="BP153" s="201" t="str">
        <f t="shared" ref="BP153" si="240">IF(CQ153="ДА",$M153,"")</f>
        <v/>
      </c>
      <c r="BQ153" s="209"/>
      <c r="BR153" s="388"/>
      <c r="BS153" s="37" t="s">
        <v>255</v>
      </c>
      <c r="BT153" s="37" t="s">
        <v>255</v>
      </c>
      <c r="BU153" s="37" t="s">
        <v>255</v>
      </c>
      <c r="BV153" s="37" t="s">
        <v>255</v>
      </c>
      <c r="BW153" s="37" t="s">
        <v>255</v>
      </c>
      <c r="BX153" s="37" t="s">
        <v>255</v>
      </c>
      <c r="BY153" s="37" t="s">
        <v>246</v>
      </c>
      <c r="BZ153" s="37" t="s">
        <v>246</v>
      </c>
      <c r="CA153" s="123" t="s">
        <v>246</v>
      </c>
      <c r="CB153" s="223"/>
      <c r="CC153" s="37" t="s">
        <v>255</v>
      </c>
      <c r="CD153" s="37" t="s">
        <v>255</v>
      </c>
      <c r="CE153" s="37" t="s">
        <v>246</v>
      </c>
      <c r="CF153" s="37" t="s">
        <v>246</v>
      </c>
      <c r="CG153" s="37" t="s">
        <v>246</v>
      </c>
      <c r="CH153" s="37" t="s">
        <v>255</v>
      </c>
      <c r="CI153" s="37" t="s">
        <v>255</v>
      </c>
      <c r="CJ153" s="37" t="s">
        <v>246</v>
      </c>
      <c r="CK153" s="37" t="s">
        <v>255</v>
      </c>
      <c r="CL153" s="37" t="s">
        <v>255</v>
      </c>
      <c r="CM153" s="37" t="s">
        <v>255</v>
      </c>
      <c r="CN153" s="37" t="s">
        <v>255</v>
      </c>
      <c r="CO153" s="37" t="s">
        <v>255</v>
      </c>
      <c r="CP153" s="37" t="s">
        <v>255</v>
      </c>
      <c r="CQ153" s="37" t="s">
        <v>255</v>
      </c>
      <c r="CR153" s="123" t="s">
        <v>300</v>
      </c>
    </row>
    <row r="154" spans="1:96" ht="30" hidden="1" outlineLevel="2" x14ac:dyDescent="0.25">
      <c r="A154" s="133"/>
      <c r="B154" s="250" t="s">
        <v>1450</v>
      </c>
      <c r="C154" s="251"/>
      <c r="D154" s="251"/>
      <c r="E154" s="251"/>
      <c r="F154" s="251"/>
      <c r="G154" s="251"/>
      <c r="H154" s="251"/>
      <c r="I154" s="251"/>
      <c r="J154" s="251"/>
      <c r="K154" s="251"/>
      <c r="L154" s="251"/>
      <c r="M154" s="251"/>
      <c r="N154" s="235">
        <f t="shared" si="222"/>
        <v>0</v>
      </c>
      <c r="O154" s="327"/>
      <c r="P154" s="251"/>
      <c r="Q154" s="359"/>
      <c r="R154" s="358"/>
      <c r="S154" s="251"/>
      <c r="T154" s="359"/>
      <c r="U154" s="358"/>
      <c r="V154" s="251"/>
      <c r="W154" s="359"/>
      <c r="X154" s="358"/>
      <c r="Y154" s="251"/>
      <c r="Z154" s="328"/>
      <c r="AA154" s="251"/>
      <c r="AB154" s="796"/>
      <c r="AD154" s="252"/>
      <c r="AE154" s="251"/>
      <c r="AF154" s="251"/>
      <c r="AG154" s="252"/>
      <c r="AH154" s="251"/>
      <c r="AI154" s="251"/>
      <c r="AJ154" s="252"/>
      <c r="AK154" s="251"/>
      <c r="AL154" s="251"/>
      <c r="AM154" s="252"/>
      <c r="AN154" s="251"/>
      <c r="AQ154" s="202"/>
      <c r="AZ154" s="203"/>
      <c r="BF154" s="203"/>
      <c r="BK154" s="203"/>
      <c r="BP154" s="203"/>
      <c r="BQ154" s="202"/>
      <c r="CA154" s="203"/>
      <c r="CR154" s="122"/>
    </row>
    <row r="155" spans="1:96" ht="30" hidden="1" outlineLevel="2" x14ac:dyDescent="0.25">
      <c r="A155" s="133"/>
      <c r="B155" s="250" t="s">
        <v>1717</v>
      </c>
      <c r="C155" s="251"/>
      <c r="D155" s="251"/>
      <c r="E155" s="251"/>
      <c r="F155" s="251"/>
      <c r="G155" s="251"/>
      <c r="H155" s="251"/>
      <c r="I155" s="251"/>
      <c r="J155" s="251"/>
      <c r="K155" s="251"/>
      <c r="L155" s="251"/>
      <c r="M155" s="251"/>
      <c r="N155" s="235">
        <f t="shared" si="222"/>
        <v>0</v>
      </c>
      <c r="O155" s="327"/>
      <c r="P155" s="251"/>
      <c r="Q155" s="359"/>
      <c r="R155" s="358"/>
      <c r="S155" s="251"/>
      <c r="T155" s="359"/>
      <c r="U155" s="358"/>
      <c r="V155" s="251"/>
      <c r="W155" s="359"/>
      <c r="X155" s="358"/>
      <c r="Y155" s="251"/>
      <c r="Z155" s="328"/>
      <c r="AA155" s="251"/>
      <c r="AB155" s="796"/>
      <c r="AD155" s="252"/>
      <c r="AE155" s="251"/>
      <c r="AF155" s="251"/>
      <c r="AG155" s="252"/>
      <c r="AH155" s="251"/>
      <c r="AI155" s="251"/>
      <c r="AJ155" s="252"/>
      <c r="AK155" s="251"/>
      <c r="AL155" s="251"/>
      <c r="AM155" s="252"/>
      <c r="AN155" s="251"/>
      <c r="AQ155" s="202"/>
      <c r="AZ155" s="203"/>
      <c r="BF155" s="203"/>
      <c r="BK155" s="203"/>
      <c r="BP155" s="203"/>
      <c r="BQ155" s="202"/>
      <c r="CA155" s="203"/>
      <c r="CR155" s="122"/>
    </row>
    <row r="156" spans="1:96" ht="30" hidden="1" outlineLevel="2" x14ac:dyDescent="0.25">
      <c r="A156" s="133"/>
      <c r="B156" s="250" t="s">
        <v>1718</v>
      </c>
      <c r="C156" s="251"/>
      <c r="D156" s="251"/>
      <c r="E156" s="251"/>
      <c r="F156" s="251"/>
      <c r="G156" s="251"/>
      <c r="H156" s="251"/>
      <c r="I156" s="251"/>
      <c r="J156" s="251"/>
      <c r="K156" s="251"/>
      <c r="L156" s="251"/>
      <c r="M156" s="251"/>
      <c r="N156" s="235">
        <f t="shared" si="222"/>
        <v>0</v>
      </c>
      <c r="O156" s="327"/>
      <c r="P156" s="251"/>
      <c r="Q156" s="359"/>
      <c r="R156" s="358"/>
      <c r="S156" s="251"/>
      <c r="T156" s="359"/>
      <c r="U156" s="358"/>
      <c r="V156" s="251"/>
      <c r="W156" s="359"/>
      <c r="X156" s="358"/>
      <c r="Y156" s="251"/>
      <c r="Z156" s="328"/>
      <c r="AA156" s="251"/>
      <c r="AB156" s="796"/>
      <c r="AD156" s="252"/>
      <c r="AE156" s="251"/>
      <c r="AF156" s="251"/>
      <c r="AG156" s="252"/>
      <c r="AH156" s="251"/>
      <c r="AI156" s="251"/>
      <c r="AJ156" s="252"/>
      <c r="AK156" s="251"/>
      <c r="AL156" s="251"/>
      <c r="AM156" s="252"/>
      <c r="AN156" s="251"/>
      <c r="AQ156" s="202"/>
      <c r="AZ156" s="203"/>
      <c r="BF156" s="203"/>
      <c r="BK156" s="203"/>
      <c r="BP156" s="203"/>
      <c r="BQ156" s="202"/>
      <c r="CA156" s="203"/>
      <c r="CR156" s="122"/>
    </row>
    <row r="157" spans="1:96" ht="30" hidden="1" outlineLevel="2" x14ac:dyDescent="0.25">
      <c r="A157" s="133"/>
      <c r="B157" s="250" t="s">
        <v>1719</v>
      </c>
      <c r="C157" s="251"/>
      <c r="D157" s="251"/>
      <c r="E157" s="251"/>
      <c r="F157" s="251"/>
      <c r="G157" s="251"/>
      <c r="H157" s="251"/>
      <c r="I157" s="251"/>
      <c r="J157" s="251"/>
      <c r="K157" s="251"/>
      <c r="L157" s="251"/>
      <c r="M157" s="251"/>
      <c r="N157" s="235"/>
      <c r="O157" s="327"/>
      <c r="P157" s="251"/>
      <c r="Q157" s="359"/>
      <c r="R157" s="358"/>
      <c r="S157" s="251"/>
      <c r="T157" s="359"/>
      <c r="U157" s="358"/>
      <c r="V157" s="251"/>
      <c r="W157" s="359"/>
      <c r="X157" s="358"/>
      <c r="Y157" s="251"/>
      <c r="Z157" s="328"/>
      <c r="AA157" s="251"/>
      <c r="AB157" s="796"/>
      <c r="AD157" s="252"/>
      <c r="AE157" s="251"/>
      <c r="AF157" s="251"/>
      <c r="AG157" s="252"/>
      <c r="AH157" s="251"/>
      <c r="AI157" s="251"/>
      <c r="AJ157" s="252"/>
      <c r="AK157" s="251"/>
      <c r="AL157" s="251"/>
      <c r="AM157" s="252"/>
      <c r="AN157" s="251"/>
      <c r="AQ157" s="202"/>
      <c r="AZ157" s="203"/>
      <c r="BF157" s="203"/>
      <c r="BK157" s="203"/>
      <c r="BP157" s="203"/>
      <c r="BQ157" s="202"/>
      <c r="CA157" s="203"/>
      <c r="CR157" s="122"/>
    </row>
    <row r="158" spans="1:96" hidden="1" outlineLevel="2" x14ac:dyDescent="0.25">
      <c r="A158" s="133"/>
      <c r="B158" s="250" t="s">
        <v>1451</v>
      </c>
      <c r="C158" s="251"/>
      <c r="D158" s="251"/>
      <c r="E158" s="251"/>
      <c r="F158" s="251"/>
      <c r="G158" s="251"/>
      <c r="H158" s="251"/>
      <c r="I158" s="251"/>
      <c r="J158" s="251"/>
      <c r="K158" s="251"/>
      <c r="L158" s="251"/>
      <c r="M158" s="251"/>
      <c r="N158" s="235"/>
      <c r="O158" s="327"/>
      <c r="P158" s="251"/>
      <c r="Q158" s="359"/>
      <c r="R158" s="358"/>
      <c r="S158" s="251"/>
      <c r="T158" s="359"/>
      <c r="U158" s="358"/>
      <c r="V158" s="251"/>
      <c r="W158" s="359"/>
      <c r="X158" s="358"/>
      <c r="Y158" s="251"/>
      <c r="Z158" s="328"/>
      <c r="AA158" s="251"/>
      <c r="AB158" s="796"/>
      <c r="AD158" s="252"/>
      <c r="AE158" s="251"/>
      <c r="AF158" s="251"/>
      <c r="AG158" s="252"/>
      <c r="AH158" s="251"/>
      <c r="AI158" s="251"/>
      <c r="AJ158" s="252"/>
      <c r="AK158" s="251"/>
      <c r="AL158" s="251"/>
      <c r="AM158" s="252"/>
      <c r="AN158" s="251"/>
      <c r="AQ158" s="202"/>
      <c r="AZ158" s="203"/>
      <c r="BF158" s="203"/>
      <c r="BK158" s="203"/>
      <c r="BP158" s="203"/>
      <c r="BQ158" s="202"/>
      <c r="CA158" s="203"/>
      <c r="CR158" s="122"/>
    </row>
    <row r="159" spans="1:96" ht="30" hidden="1" outlineLevel="2" x14ac:dyDescent="0.25">
      <c r="A159" s="133"/>
      <c r="B159" s="250" t="s">
        <v>1452</v>
      </c>
      <c r="C159" s="251"/>
      <c r="D159" s="251"/>
      <c r="E159" s="251"/>
      <c r="F159" s="251"/>
      <c r="G159" s="251"/>
      <c r="H159" s="251"/>
      <c r="I159" s="251"/>
      <c r="J159" s="251"/>
      <c r="K159" s="251"/>
      <c r="L159" s="251"/>
      <c r="M159" s="251"/>
      <c r="N159" s="235">
        <f t="shared" ref="N159" si="241">SUM(O159,R159,U159,X159)</f>
        <v>0</v>
      </c>
      <c r="O159" s="327"/>
      <c r="P159" s="251"/>
      <c r="Q159" s="359"/>
      <c r="R159" s="358"/>
      <c r="S159" s="251"/>
      <c r="T159" s="359"/>
      <c r="U159" s="358"/>
      <c r="V159" s="251"/>
      <c r="W159" s="359"/>
      <c r="X159" s="358"/>
      <c r="Y159" s="251"/>
      <c r="Z159" s="328"/>
      <c r="AA159" s="251"/>
      <c r="AB159" s="796"/>
      <c r="AD159" s="252"/>
      <c r="AE159" s="251"/>
      <c r="AF159" s="251"/>
      <c r="AG159" s="252"/>
      <c r="AH159" s="251"/>
      <c r="AI159" s="251"/>
      <c r="AJ159" s="252"/>
      <c r="AK159" s="251"/>
      <c r="AL159" s="251"/>
      <c r="AM159" s="252"/>
      <c r="AN159" s="251"/>
      <c r="AQ159" s="202"/>
      <c r="AZ159" s="203"/>
      <c r="BF159" s="203"/>
      <c r="BK159" s="203"/>
      <c r="BP159" s="203"/>
      <c r="BQ159" s="202"/>
      <c r="CA159" s="203"/>
      <c r="CR159" s="122"/>
    </row>
    <row r="160" spans="1:96" ht="30" hidden="1" outlineLevel="2" x14ac:dyDescent="0.25">
      <c r="A160" s="133"/>
      <c r="B160" s="250" t="s">
        <v>1453</v>
      </c>
      <c r="C160" s="251"/>
      <c r="D160" s="251"/>
      <c r="E160" s="251"/>
      <c r="F160" s="251"/>
      <c r="G160" s="251"/>
      <c r="H160" s="251"/>
      <c r="I160" s="251"/>
      <c r="J160" s="251"/>
      <c r="K160" s="251"/>
      <c r="L160" s="251"/>
      <c r="M160" s="251"/>
      <c r="N160" s="235">
        <f t="shared" si="222"/>
        <v>0</v>
      </c>
      <c r="O160" s="327"/>
      <c r="P160" s="251"/>
      <c r="Q160" s="359"/>
      <c r="R160" s="358"/>
      <c r="S160" s="251"/>
      <c r="T160" s="359"/>
      <c r="U160" s="358"/>
      <c r="V160" s="251"/>
      <c r="W160" s="359"/>
      <c r="X160" s="358"/>
      <c r="Y160" s="251"/>
      <c r="Z160" s="328"/>
      <c r="AA160" s="251"/>
      <c r="AB160" s="796"/>
      <c r="AD160" s="252"/>
      <c r="AE160" s="251"/>
      <c r="AF160" s="251"/>
      <c r="AG160" s="252"/>
      <c r="AH160" s="251"/>
      <c r="AI160" s="251"/>
      <c r="AJ160" s="252"/>
      <c r="AK160" s="251"/>
      <c r="AL160" s="251"/>
      <c r="AM160" s="252"/>
      <c r="AN160" s="251"/>
      <c r="AQ160" s="202"/>
      <c r="AZ160" s="203"/>
      <c r="BF160" s="203"/>
      <c r="BK160" s="203"/>
      <c r="BP160" s="203"/>
      <c r="BQ160" s="202"/>
      <c r="CA160" s="203"/>
      <c r="CR160" s="122"/>
    </row>
    <row r="161" spans="1:96" ht="47.25" outlineLevel="1" collapsed="1" x14ac:dyDescent="0.25">
      <c r="A161" s="134" t="s">
        <v>433</v>
      </c>
      <c r="B161" s="116" t="s">
        <v>1670</v>
      </c>
      <c r="C161" s="1028" t="s">
        <v>2292</v>
      </c>
      <c r="D161" s="116"/>
      <c r="E161" s="495"/>
      <c r="F161" s="808" t="s">
        <v>326</v>
      </c>
      <c r="G161" s="808" t="s">
        <v>1754</v>
      </c>
      <c r="H161" s="111" t="s">
        <v>243</v>
      </c>
      <c r="I161" s="111" t="s">
        <v>243</v>
      </c>
      <c r="J161" s="111" t="s">
        <v>242</v>
      </c>
      <c r="K161" s="111" t="s">
        <v>242</v>
      </c>
      <c r="L161" s="111" t="s">
        <v>243</v>
      </c>
      <c r="M161" s="109">
        <v>2</v>
      </c>
      <c r="N161" s="235">
        <f>SUM(O161,R161,U161,X161)</f>
        <v>2</v>
      </c>
      <c r="O161" s="200" t="str">
        <f>IF(AC161="ДА",$M161,"")</f>
        <v/>
      </c>
      <c r="P161" s="144"/>
      <c r="Q161" s="357">
        <f>IF(AC161="ДА",ROUNDUP(O161/5,0),0)</f>
        <v>0</v>
      </c>
      <c r="R161" s="356">
        <f>IF(AF161="ДА",$M161,"")</f>
        <v>2</v>
      </c>
      <c r="S161" s="144"/>
      <c r="T161" s="357">
        <f>IF(AF161="ДА",ROUNDUP(R161/5,0),0)</f>
        <v>1</v>
      </c>
      <c r="U161" s="356" t="str">
        <f>IF(AI161="ДА",$M161,"")</f>
        <v/>
      </c>
      <c r="V161" s="144"/>
      <c r="W161" s="357">
        <f>IF(AI161="ДА",ROUNDUP(U161/5,0),0)</f>
        <v>0</v>
      </c>
      <c r="X161" s="356" t="str">
        <f>IF(AL161="ДА",$M161,"")</f>
        <v/>
      </c>
      <c r="Y161" s="144"/>
      <c r="Z161" s="201">
        <f>IF(AL161="ДА",ROUNDUP(X161/5,0),0)</f>
        <v>0</v>
      </c>
      <c r="AA161" s="388" t="str">
        <f>IF(OR(AC161="ДА",AF161="ДА",AI161="ДА",AL161="ДА"),"ДА","НЕТ")</f>
        <v>ДА</v>
      </c>
      <c r="AB161" s="388"/>
      <c r="AC161" s="37" t="str">
        <f>IF(AC$8=$BT$9,$BT161,IF(AC$8=$BS$9,$BS161,IF(AC$8=$BU$9,$BU161,IF(AC$8=$BV$9,$BV161,IF(AC$8=$BW$9,$BW161,IF(AC$8=$BX$9,$BX161,IF(AC$8=$BY$9,$BY161,IF(AC$8=$BZ$9,$BZ161,IF(AC$8=$CA$9,$CA161,IF(AC$8=$CC$9,$CC161,IF(AC$8=$CD$9,$CD161,IF(AC$8=$CE$9,$CE161,IF(AC$8=$CF$9,$CF161,IF(AC$8=$CG$9,$CG161,IF(AC$8=$CH$9,$CH161,IF(AC$8=$CI$9,$CI161,IF(AC$8=$CJ$9,$CJ161,IF(AC$8=$CK$9,$CK161,IF(AC$8=$CL$9,$CL161,IF(AC$8=$CM$9,$CM161,IF(AC$8=$CN$9,$CN161,IF(AC$8=$CO$9,$CO161,IF(AC$8=$CP$9,$CP161,IF(AC$8=$CQ$9,$CQ161,"НЕТ"))))))))))))))))))))))))</f>
        <v>НЕТ</v>
      </c>
      <c r="AD161" s="37" t="str">
        <f>IF(AC161="НЕТ","Не требуется",$CR161)</f>
        <v>Не требуется</v>
      </c>
      <c r="AE161" s="37"/>
      <c r="AF161" s="37" t="str">
        <f t="shared" ref="AF161:AL161" si="242">IF(AF$8=$BT$9,$BT161,IF(AF$8=$BS$9,$BS161,IF(AF$8=$BU$9,$BU161,IF(AF$8=$BV$9,$BV161,IF(AF$8=$BW$9,$BW161,IF(AF$8=$BX$9,$BX161,IF(AF$8=$BY$9,$BY161,IF(AF$8=$BZ$9,$BZ161,IF(AF$8=$CA$9,$CA161,IF(AF$8=$CC$9,$CC161,IF(AF$8=$CD$9,$CD161,IF(AF$8=$CE$9,$CE161,IF(AF$8=$CF$9,$CF161,IF(AF$8=$CG$9,$CG161,IF(AF$8=$CH$9,$CH161,IF(AF$8=$CI$9,$CI161,IF(AF$8=$CJ$9,$CJ161,IF(AF$8=$CK$9,$CK161,IF(AF$8=$CL$9,$CL161,IF(AF$8=$CM$9,$CM161,IF(AF$8=$CN$9,$CN161,IF(AF$8=$CO$9,$CO161,IF(AF$8=$CP$9,$CP161,IF(AF$8=$CQ$9,$CQ161,"НЕТ"))))))))))))))))))))))))</f>
        <v>ДА</v>
      </c>
      <c r="AG161" s="37" t="str">
        <f t="shared" si="242"/>
        <v>НЕТ</v>
      </c>
      <c r="AH161" s="37" t="str">
        <f t="shared" si="242"/>
        <v>НЕТ</v>
      </c>
      <c r="AI161" s="37" t="str">
        <f t="shared" si="242"/>
        <v>НЕТ</v>
      </c>
      <c r="AJ161" s="37" t="str">
        <f t="shared" si="242"/>
        <v>НЕТ</v>
      </c>
      <c r="AK161" s="37" t="str">
        <f t="shared" si="242"/>
        <v>НЕТ</v>
      </c>
      <c r="AL161" s="37" t="str">
        <f t="shared" si="242"/>
        <v>НЕТ</v>
      </c>
      <c r="AM161" s="37" t="str">
        <f>IF(AL161="НЕТ","Не требуется",$CR161)</f>
        <v>Не требуется</v>
      </c>
      <c r="AN161" s="37"/>
      <c r="AQ161" s="200"/>
      <c r="AR161" s="230"/>
      <c r="AS161" s="144" t="str">
        <f>IF(BS161="ДА",$M161,"")</f>
        <v/>
      </c>
      <c r="AT161" s="144" t="str">
        <f t="shared" ref="AT161:AV161" si="243">IF(BT161="ДА",$M161,"")</f>
        <v/>
      </c>
      <c r="AU161" s="144" t="str">
        <f t="shared" si="243"/>
        <v/>
      </c>
      <c r="AV161" s="144" t="str">
        <f t="shared" si="243"/>
        <v/>
      </c>
      <c r="AW161" s="144">
        <f>IF(BX161="ДА",$M161,"")</f>
        <v>2</v>
      </c>
      <c r="AX161" s="144">
        <f>IF(BY161="ДА",$M161,"")</f>
        <v>2</v>
      </c>
      <c r="AY161" s="144">
        <f>IF(BZ161="ДА",$M161,"")</f>
        <v>2</v>
      </c>
      <c r="AZ161" s="201">
        <f>IF(CA161="ДА",$M161,"")</f>
        <v>2</v>
      </c>
      <c r="BA161" s="235"/>
      <c r="BB161" s="144" t="str">
        <f t="shared" ref="BB161:BP161" si="244">IF(CC161="ДА",$M161,"")</f>
        <v/>
      </c>
      <c r="BC161" s="144">
        <f t="shared" si="244"/>
        <v>2</v>
      </c>
      <c r="BD161" s="144">
        <f t="shared" si="244"/>
        <v>2</v>
      </c>
      <c r="BE161" s="144">
        <f t="shared" si="244"/>
        <v>2</v>
      </c>
      <c r="BF161" s="201">
        <f t="shared" si="244"/>
        <v>2</v>
      </c>
      <c r="BG161" s="144" t="str">
        <f t="shared" si="244"/>
        <v/>
      </c>
      <c r="BH161" s="144" t="str">
        <f t="shared" si="244"/>
        <v/>
      </c>
      <c r="BI161" s="144">
        <f t="shared" si="244"/>
        <v>2</v>
      </c>
      <c r="BJ161" s="144" t="str">
        <f t="shared" si="244"/>
        <v/>
      </c>
      <c r="BK161" s="201">
        <f t="shared" si="244"/>
        <v>2</v>
      </c>
      <c r="BL161" s="144" t="str">
        <f t="shared" si="244"/>
        <v/>
      </c>
      <c r="BM161" s="144" t="str">
        <f t="shared" si="244"/>
        <v/>
      </c>
      <c r="BN161" s="144" t="str">
        <f t="shared" si="244"/>
        <v/>
      </c>
      <c r="BO161" s="144" t="str">
        <f t="shared" si="244"/>
        <v/>
      </c>
      <c r="BP161" s="201" t="str">
        <f t="shared" si="244"/>
        <v/>
      </c>
      <c r="BQ161" s="209"/>
      <c r="BR161" s="388"/>
      <c r="BS161" s="37" t="s">
        <v>255</v>
      </c>
      <c r="BT161" s="37" t="s">
        <v>255</v>
      </c>
      <c r="BU161" s="37" t="s">
        <v>255</v>
      </c>
      <c r="BV161" s="37" t="s">
        <v>255</v>
      </c>
      <c r="BW161" s="37" t="s">
        <v>255</v>
      </c>
      <c r="BX161" s="37" t="s">
        <v>246</v>
      </c>
      <c r="BY161" s="37" t="s">
        <v>246</v>
      </c>
      <c r="BZ161" s="37" t="s">
        <v>246</v>
      </c>
      <c r="CA161" s="123" t="s">
        <v>246</v>
      </c>
      <c r="CB161" s="223"/>
      <c r="CC161" s="37" t="s">
        <v>255</v>
      </c>
      <c r="CD161" s="37" t="s">
        <v>246</v>
      </c>
      <c r="CE161" s="37" t="s">
        <v>246</v>
      </c>
      <c r="CF161" s="37" t="s">
        <v>246</v>
      </c>
      <c r="CG161" s="37" t="s">
        <v>246</v>
      </c>
      <c r="CH161" s="37" t="s">
        <v>255</v>
      </c>
      <c r="CI161" s="37" t="s">
        <v>255</v>
      </c>
      <c r="CJ161" s="37" t="s">
        <v>246</v>
      </c>
      <c r="CK161" s="37" t="s">
        <v>255</v>
      </c>
      <c r="CL161" s="37" t="s">
        <v>246</v>
      </c>
      <c r="CM161" s="37" t="s">
        <v>255</v>
      </c>
      <c r="CN161" s="37" t="s">
        <v>255</v>
      </c>
      <c r="CO161" s="37" t="s">
        <v>255</v>
      </c>
      <c r="CP161" s="37" t="s">
        <v>255</v>
      </c>
      <c r="CQ161" s="37" t="s">
        <v>255</v>
      </c>
      <c r="CR161" s="123" t="s">
        <v>300</v>
      </c>
    </row>
    <row r="162" spans="1:96" ht="30" hidden="1" outlineLevel="2" x14ac:dyDescent="0.25">
      <c r="A162" s="133"/>
      <c r="B162" s="250" t="s">
        <v>346</v>
      </c>
      <c r="C162" s="250" t="s">
        <v>346</v>
      </c>
      <c r="D162" s="251"/>
      <c r="E162" s="251"/>
      <c r="F162" s="251"/>
      <c r="G162" s="251"/>
      <c r="H162" s="251"/>
      <c r="I162" s="251"/>
      <c r="J162" s="251"/>
      <c r="K162" s="251"/>
      <c r="L162" s="251"/>
      <c r="M162" s="251"/>
      <c r="N162" s="235">
        <f>SUM(O162,R162,U162,X162)</f>
        <v>0</v>
      </c>
      <c r="O162" s="327"/>
      <c r="P162" s="251"/>
      <c r="Q162" s="359"/>
      <c r="R162" s="358"/>
      <c r="S162" s="251"/>
      <c r="T162" s="359"/>
      <c r="U162" s="358"/>
      <c r="V162" s="251"/>
      <c r="W162" s="359"/>
      <c r="X162" s="358"/>
      <c r="Y162" s="251"/>
      <c r="Z162" s="328"/>
      <c r="AA162" s="251"/>
      <c r="AB162" s="796"/>
      <c r="AD162" s="252"/>
      <c r="AE162" s="251"/>
      <c r="AF162" s="251"/>
      <c r="AG162" s="252"/>
      <c r="AH162" s="251"/>
      <c r="AI162" s="251"/>
      <c r="AJ162" s="252"/>
      <c r="AK162" s="251"/>
      <c r="AL162" s="251"/>
      <c r="AM162" s="252"/>
      <c r="AN162" s="251"/>
      <c r="AQ162" s="202"/>
      <c r="AZ162" s="203"/>
      <c r="BF162" s="203"/>
      <c r="BK162" s="203"/>
      <c r="BP162" s="203"/>
      <c r="BQ162" s="202"/>
      <c r="CA162" s="203"/>
      <c r="CR162" s="122"/>
    </row>
    <row r="163" spans="1:96" ht="45" hidden="1" outlineLevel="2" x14ac:dyDescent="0.25">
      <c r="A163" s="133"/>
      <c r="B163" s="809" t="s">
        <v>345</v>
      </c>
      <c r="C163" s="970" t="s">
        <v>2293</v>
      </c>
      <c r="D163" s="970"/>
      <c r="E163" s="251"/>
      <c r="F163" s="251"/>
      <c r="G163" s="251"/>
      <c r="H163" s="251"/>
      <c r="I163" s="251"/>
      <c r="J163" s="251"/>
      <c r="K163" s="251"/>
      <c r="L163" s="251"/>
      <c r="M163" s="251"/>
      <c r="N163" s="235">
        <f t="shared" ref="N163" si="245">SUM(O163,R163,U163,X163)</f>
        <v>0</v>
      </c>
      <c r="O163" s="327"/>
      <c r="P163" s="251"/>
      <c r="Q163" s="359"/>
      <c r="R163" s="358"/>
      <c r="S163" s="251"/>
      <c r="T163" s="359"/>
      <c r="U163" s="358"/>
      <c r="V163" s="251"/>
      <c r="W163" s="359"/>
      <c r="X163" s="358"/>
      <c r="Y163" s="251"/>
      <c r="Z163" s="328"/>
      <c r="AA163" s="251"/>
      <c r="AB163" s="796"/>
      <c r="AD163" s="252"/>
      <c r="AE163" s="251"/>
      <c r="AF163" s="251"/>
      <c r="AG163" s="252"/>
      <c r="AH163" s="251"/>
      <c r="AI163" s="251"/>
      <c r="AJ163" s="252"/>
      <c r="AK163" s="251"/>
      <c r="AL163" s="251"/>
      <c r="AM163" s="252"/>
      <c r="AN163" s="251"/>
      <c r="AQ163" s="202"/>
      <c r="AZ163" s="203"/>
      <c r="BF163" s="203"/>
      <c r="BK163" s="203"/>
      <c r="BP163" s="203"/>
      <c r="BQ163" s="202"/>
      <c r="CA163" s="203"/>
      <c r="CR163" s="122"/>
    </row>
    <row r="164" spans="1:96" ht="30" hidden="1" outlineLevel="2" x14ac:dyDescent="0.25">
      <c r="A164" s="133"/>
      <c r="B164" s="809" t="s">
        <v>1816</v>
      </c>
      <c r="C164" s="970" t="s">
        <v>243</v>
      </c>
      <c r="D164" s="970"/>
      <c r="E164" s="251"/>
      <c r="F164" s="251"/>
      <c r="G164" s="251"/>
      <c r="H164" s="251"/>
      <c r="I164" s="251"/>
      <c r="J164" s="251"/>
      <c r="K164" s="251"/>
      <c r="L164" s="251"/>
      <c r="M164" s="251"/>
      <c r="N164" s="235">
        <f t="shared" ref="N164" si="246">SUM(O164,R164,U164,X164)</f>
        <v>0</v>
      </c>
      <c r="O164" s="327"/>
      <c r="P164" s="251"/>
      <c r="Q164" s="359"/>
      <c r="R164" s="358"/>
      <c r="S164" s="251"/>
      <c r="T164" s="359"/>
      <c r="U164" s="358"/>
      <c r="V164" s="251"/>
      <c r="W164" s="359"/>
      <c r="X164" s="358"/>
      <c r="Y164" s="251"/>
      <c r="Z164" s="328"/>
      <c r="AA164" s="251"/>
      <c r="AB164" s="796"/>
      <c r="AD164" s="252"/>
      <c r="AE164" s="251"/>
      <c r="AF164" s="251"/>
      <c r="AG164" s="252"/>
      <c r="AH164" s="251"/>
      <c r="AI164" s="251"/>
      <c r="AJ164" s="252"/>
      <c r="AK164" s="251"/>
      <c r="AL164" s="251"/>
      <c r="AM164" s="252"/>
      <c r="AN164" s="251"/>
      <c r="AQ164" s="202"/>
      <c r="AZ164" s="203"/>
      <c r="BF164" s="203"/>
      <c r="BK164" s="203"/>
      <c r="BP164" s="203"/>
      <c r="BQ164" s="202"/>
      <c r="CA164" s="203"/>
      <c r="CR164" s="122"/>
    </row>
    <row r="165" spans="1:96" ht="31.5" outlineLevel="1" collapsed="1" x14ac:dyDescent="0.25">
      <c r="A165" s="134" t="s">
        <v>434</v>
      </c>
      <c r="B165" s="116" t="s">
        <v>1673</v>
      </c>
      <c r="C165" s="1028" t="s">
        <v>243</v>
      </c>
      <c r="D165" s="116"/>
      <c r="E165" s="495"/>
      <c r="F165" s="109" t="s">
        <v>326</v>
      </c>
      <c r="G165" s="109" t="s">
        <v>953</v>
      </c>
      <c r="H165" s="111" t="s">
        <v>243</v>
      </c>
      <c r="I165" s="111" t="s">
        <v>243</v>
      </c>
      <c r="J165" s="111" t="s">
        <v>242</v>
      </c>
      <c r="K165" s="111" t="s">
        <v>242</v>
      </c>
      <c r="L165" s="111" t="s">
        <v>243</v>
      </c>
      <c r="M165" s="109">
        <v>5</v>
      </c>
      <c r="N165" s="235">
        <f t="shared" si="215"/>
        <v>5</v>
      </c>
      <c r="O165" s="200" t="str">
        <f t="shared" ref="O165" si="247">IF(AC165="ДА",$M165,"")</f>
        <v/>
      </c>
      <c r="P165" s="144"/>
      <c r="Q165" s="357">
        <f>IF(AC165="ДА",ROUNDUP(O165/5,0),0)</f>
        <v>0</v>
      </c>
      <c r="R165" s="356">
        <f>IF(AF165="ДА",$M165,"")</f>
        <v>5</v>
      </c>
      <c r="S165" s="144"/>
      <c r="T165" s="357">
        <f>IF(AF165="ДА",ROUNDUP(R165/5,0),0)</f>
        <v>1</v>
      </c>
      <c r="U165" s="356" t="str">
        <f>IF(AI165="ДА",$M165,"")</f>
        <v/>
      </c>
      <c r="V165" s="144"/>
      <c r="W165" s="357">
        <f>IF(AI165="ДА",ROUNDUP(U165/5,0),0)</f>
        <v>0</v>
      </c>
      <c r="X165" s="356" t="str">
        <f>IF(AL165="ДА",$M165,"")</f>
        <v/>
      </c>
      <c r="Y165" s="144"/>
      <c r="Z165" s="201">
        <f>IF(AL165="ДА",ROUNDUP(X165/5,0),0)</f>
        <v>0</v>
      </c>
      <c r="AA165" s="388" t="str">
        <f>IF(OR(AC165="ДА",AF165="ДА",AI165="ДА",AL165="ДА"),"ДА","НЕТ")</f>
        <v>ДА</v>
      </c>
      <c r="AB165" s="388"/>
      <c r="AC165" s="37" t="str">
        <f>IF(AC$8=$BT$9,$BT165,IF(AC$8=$BS$9,$BS165,IF(AC$8=$BU$9,$BU165,IF(AC$8=$BV$9,$BV165,IF(AC$8=$BW$9,$BW165,IF(AC$8=$BX$9,$BX165,IF(AC$8=$BY$9,$BY165,IF(AC$8=$BZ$9,$BZ165,IF(AC$8=$CA$9,$CA165,IF(AC$8=$CC$9,$CC165,IF(AC$8=$CD$9,$CD165,IF(AC$8=$CE$9,$CE165,IF(AC$8=$CF$9,$CF165,IF(AC$8=$CG$9,$CG165,IF(AC$8=$CH$9,$CH165,IF(AC$8=$CI$9,$CI165,IF(AC$8=$CJ$9,$CJ165,IF(AC$8=$CK$9,$CK165,IF(AC$8=$CL$9,$CL165,IF(AC$8=$CM$9,$CM165,IF(AC$8=$CN$9,$CN165,IF(AC$8=$CO$9,$CO165,IF(AC$8=$CP$9,$CP165,IF(AC$8=$CQ$9,$CQ165,"НЕТ"))))))))))))))))))))))))</f>
        <v>НЕТ</v>
      </c>
      <c r="AD165" s="37" t="str">
        <f>IF(AC165="НЕТ","Не требуется",$CR165)</f>
        <v>Не требуется</v>
      </c>
      <c r="AE165" s="37"/>
      <c r="AF165" s="37" t="str">
        <f t="shared" ref="AF165:AL165" si="248">IF(AF$8=$BT$9,$BT165,IF(AF$8=$BS$9,$BS165,IF(AF$8=$BU$9,$BU165,IF(AF$8=$BV$9,$BV165,IF(AF$8=$BW$9,$BW165,IF(AF$8=$BX$9,$BX165,IF(AF$8=$BY$9,$BY165,IF(AF$8=$BZ$9,$BZ165,IF(AF$8=$CA$9,$CA165,IF(AF$8=$CC$9,$CC165,IF(AF$8=$CD$9,$CD165,IF(AF$8=$CE$9,$CE165,IF(AF$8=$CF$9,$CF165,IF(AF$8=$CG$9,$CG165,IF(AF$8=$CH$9,$CH165,IF(AF$8=$CI$9,$CI165,IF(AF$8=$CJ$9,$CJ165,IF(AF$8=$CK$9,$CK165,IF(AF$8=$CL$9,$CL165,IF(AF$8=$CM$9,$CM165,IF(AF$8=$CN$9,$CN165,IF(AF$8=$CO$9,$CO165,IF(AF$8=$CP$9,$CP165,IF(AF$8=$CQ$9,$CQ165,"НЕТ"))))))))))))))))))))))))</f>
        <v>ДА</v>
      </c>
      <c r="AG165" s="37" t="str">
        <f t="shared" si="248"/>
        <v>НЕТ</v>
      </c>
      <c r="AH165" s="37" t="str">
        <f t="shared" si="248"/>
        <v>НЕТ</v>
      </c>
      <c r="AI165" s="37" t="str">
        <f t="shared" si="248"/>
        <v>НЕТ</v>
      </c>
      <c r="AJ165" s="37" t="str">
        <f t="shared" si="248"/>
        <v>НЕТ</v>
      </c>
      <c r="AK165" s="37" t="str">
        <f t="shared" si="248"/>
        <v>НЕТ</v>
      </c>
      <c r="AL165" s="37" t="str">
        <f t="shared" si="248"/>
        <v>НЕТ</v>
      </c>
      <c r="AM165" s="37" t="str">
        <f>IF(AL165="НЕТ","Не требуется",$CR165)</f>
        <v>Не требуется</v>
      </c>
      <c r="AN165" s="37"/>
      <c r="AQ165" s="200"/>
      <c r="AR165" s="230"/>
      <c r="AS165" s="144" t="str">
        <f>IF(BS165="ДА",$M165,"")</f>
        <v/>
      </c>
      <c r="AT165" s="144" t="str">
        <f t="shared" ref="AT165:AV165" si="249">IF(BT165="ДА",$M165,"")</f>
        <v/>
      </c>
      <c r="AU165" s="144" t="str">
        <f t="shared" si="249"/>
        <v/>
      </c>
      <c r="AV165" s="144" t="str">
        <f t="shared" si="249"/>
        <v/>
      </c>
      <c r="AW165" s="144" t="str">
        <f>IF(BX165="ДА",$M165,"")</f>
        <v/>
      </c>
      <c r="AX165" s="144">
        <f>IF(BY165="ДА",$M165,"")</f>
        <v>5</v>
      </c>
      <c r="AY165" s="144">
        <f>IF(BZ165="ДА",$M165,"")</f>
        <v>5</v>
      </c>
      <c r="AZ165" s="201">
        <f>IF(CA165="ДА",$M165,"")</f>
        <v>5</v>
      </c>
      <c r="BA165" s="235"/>
      <c r="BB165" s="144" t="str">
        <f t="shared" ref="BB165:BP165" si="250">IF(CC165="ДА",$M165,"")</f>
        <v/>
      </c>
      <c r="BC165" s="144" t="str">
        <f t="shared" si="250"/>
        <v/>
      </c>
      <c r="BD165" s="144">
        <f t="shared" si="250"/>
        <v>5</v>
      </c>
      <c r="BE165" s="144">
        <f t="shared" si="250"/>
        <v>5</v>
      </c>
      <c r="BF165" s="201">
        <f t="shared" si="250"/>
        <v>5</v>
      </c>
      <c r="BG165" s="144" t="str">
        <f t="shared" si="250"/>
        <v/>
      </c>
      <c r="BH165" s="144" t="str">
        <f t="shared" si="250"/>
        <v/>
      </c>
      <c r="BI165" s="144">
        <f t="shared" si="250"/>
        <v>5</v>
      </c>
      <c r="BJ165" s="144" t="str">
        <f t="shared" si="250"/>
        <v/>
      </c>
      <c r="BK165" s="201" t="str">
        <f t="shared" si="250"/>
        <v/>
      </c>
      <c r="BL165" s="144" t="str">
        <f t="shared" si="250"/>
        <v/>
      </c>
      <c r="BM165" s="144" t="str">
        <f t="shared" si="250"/>
        <v/>
      </c>
      <c r="BN165" s="144" t="str">
        <f t="shared" si="250"/>
        <v/>
      </c>
      <c r="BO165" s="144" t="str">
        <f t="shared" si="250"/>
        <v/>
      </c>
      <c r="BP165" s="201" t="str">
        <f t="shared" si="250"/>
        <v/>
      </c>
      <c r="BQ165" s="209"/>
      <c r="BR165" s="388"/>
      <c r="BS165" s="37" t="s">
        <v>255</v>
      </c>
      <c r="BT165" s="37" t="s">
        <v>255</v>
      </c>
      <c r="BU165" s="37" t="s">
        <v>255</v>
      </c>
      <c r="BV165" s="37" t="s">
        <v>255</v>
      </c>
      <c r="BW165" s="37" t="s">
        <v>255</v>
      </c>
      <c r="BX165" s="37" t="s">
        <v>255</v>
      </c>
      <c r="BY165" s="37" t="s">
        <v>246</v>
      </c>
      <c r="BZ165" s="37" t="s">
        <v>246</v>
      </c>
      <c r="CA165" s="123" t="s">
        <v>246</v>
      </c>
      <c r="CB165" s="223"/>
      <c r="CC165" s="37" t="s">
        <v>255</v>
      </c>
      <c r="CD165" s="37" t="s">
        <v>255</v>
      </c>
      <c r="CE165" s="37" t="s">
        <v>246</v>
      </c>
      <c r="CF165" s="37" t="s">
        <v>246</v>
      </c>
      <c r="CG165" s="37" t="s">
        <v>246</v>
      </c>
      <c r="CH165" s="37" t="s">
        <v>255</v>
      </c>
      <c r="CI165" s="37" t="s">
        <v>255</v>
      </c>
      <c r="CJ165" s="37" t="s">
        <v>246</v>
      </c>
      <c r="CK165" s="37" t="s">
        <v>255</v>
      </c>
      <c r="CL165" s="37" t="s">
        <v>255</v>
      </c>
      <c r="CM165" s="37" t="s">
        <v>255</v>
      </c>
      <c r="CN165" s="37" t="s">
        <v>255</v>
      </c>
      <c r="CO165" s="37" t="s">
        <v>255</v>
      </c>
      <c r="CP165" s="37" t="s">
        <v>255</v>
      </c>
      <c r="CQ165" s="37" t="s">
        <v>255</v>
      </c>
      <c r="CR165" s="123" t="s">
        <v>300</v>
      </c>
    </row>
    <row r="166" spans="1:96" ht="45" hidden="1" outlineLevel="2" x14ac:dyDescent="0.25">
      <c r="A166" s="132"/>
      <c r="B166" s="253" t="s">
        <v>1674</v>
      </c>
      <c r="C166" s="260"/>
      <c r="D166" s="254"/>
      <c r="E166" s="254"/>
      <c r="F166" s="254"/>
      <c r="G166" s="254"/>
      <c r="H166" s="254"/>
      <c r="I166" s="254"/>
      <c r="J166" s="254"/>
      <c r="K166" s="254"/>
      <c r="L166" s="254"/>
      <c r="M166" s="254"/>
      <c r="N166" s="235">
        <f t="shared" si="215"/>
        <v>0</v>
      </c>
      <c r="O166" s="329"/>
      <c r="P166" s="254"/>
      <c r="Q166" s="361"/>
      <c r="R166" s="360"/>
      <c r="S166" s="254"/>
      <c r="T166" s="361"/>
      <c r="U166" s="360"/>
      <c r="V166" s="254"/>
      <c r="W166" s="361"/>
      <c r="X166" s="360"/>
      <c r="Y166" s="254"/>
      <c r="Z166" s="330"/>
      <c r="AA166" s="254"/>
      <c r="AB166" s="793"/>
      <c r="AD166" s="255"/>
      <c r="AE166" s="254"/>
      <c r="AF166" s="254"/>
      <c r="AG166" s="255"/>
      <c r="AH166" s="254"/>
      <c r="AI166" s="254"/>
      <c r="AJ166" s="255"/>
      <c r="AK166" s="254"/>
      <c r="AL166" s="254"/>
      <c r="AM166" s="255"/>
      <c r="AN166" s="254"/>
      <c r="AQ166" s="202"/>
      <c r="AZ166" s="203"/>
      <c r="BF166" s="203"/>
      <c r="BK166" s="203"/>
      <c r="BP166" s="203"/>
      <c r="BQ166" s="202"/>
      <c r="CA166" s="203"/>
      <c r="CR166" s="125"/>
    </row>
    <row r="167" spans="1:96" ht="30" hidden="1" outlineLevel="2" x14ac:dyDescent="0.25">
      <c r="A167" s="133"/>
      <c r="B167" s="250" t="s">
        <v>1720</v>
      </c>
      <c r="C167" s="970"/>
      <c r="D167" s="251"/>
      <c r="E167" s="251"/>
      <c r="F167" s="251"/>
      <c r="G167" s="251"/>
      <c r="H167" s="251"/>
      <c r="I167" s="251"/>
      <c r="J167" s="251"/>
      <c r="K167" s="251"/>
      <c r="L167" s="251"/>
      <c r="M167" s="251"/>
      <c r="N167" s="235">
        <f t="shared" si="215"/>
        <v>0</v>
      </c>
      <c r="O167" s="327"/>
      <c r="P167" s="251"/>
      <c r="Q167" s="359"/>
      <c r="R167" s="358"/>
      <c r="S167" s="251"/>
      <c r="T167" s="359"/>
      <c r="U167" s="358"/>
      <c r="V167" s="251"/>
      <c r="W167" s="359"/>
      <c r="X167" s="358"/>
      <c r="Y167" s="251"/>
      <c r="Z167" s="328"/>
      <c r="AA167" s="251"/>
      <c r="AB167" s="796"/>
      <c r="AD167" s="252"/>
      <c r="AE167" s="251"/>
      <c r="AF167" s="251"/>
      <c r="AG167" s="252"/>
      <c r="AH167" s="251"/>
      <c r="AI167" s="251"/>
      <c r="AJ167" s="252"/>
      <c r="AK167" s="251"/>
      <c r="AL167" s="251"/>
      <c r="AM167" s="252"/>
      <c r="AN167" s="251"/>
      <c r="AQ167" s="202"/>
      <c r="AZ167" s="203"/>
      <c r="BF167" s="203"/>
      <c r="BK167" s="203"/>
      <c r="BP167" s="203"/>
      <c r="BQ167" s="202"/>
      <c r="CA167" s="203"/>
      <c r="CR167" s="122"/>
    </row>
    <row r="168" spans="1:96" ht="45" hidden="1" outlineLevel="2" x14ac:dyDescent="0.25">
      <c r="A168" s="133"/>
      <c r="B168" s="250" t="s">
        <v>574</v>
      </c>
      <c r="C168" s="970"/>
      <c r="D168" s="251"/>
      <c r="E168" s="251"/>
      <c r="F168" s="251"/>
      <c r="G168" s="251"/>
      <c r="H168" s="251"/>
      <c r="I168" s="251"/>
      <c r="J168" s="251"/>
      <c r="K168" s="251"/>
      <c r="L168" s="251"/>
      <c r="M168" s="251"/>
      <c r="N168" s="235">
        <f t="shared" si="215"/>
        <v>0</v>
      </c>
      <c r="O168" s="327"/>
      <c r="P168" s="251"/>
      <c r="Q168" s="359"/>
      <c r="R168" s="358"/>
      <c r="S168" s="251"/>
      <c r="T168" s="359"/>
      <c r="U168" s="358"/>
      <c r="V168" s="251"/>
      <c r="W168" s="359"/>
      <c r="X168" s="358"/>
      <c r="Y168" s="251"/>
      <c r="Z168" s="328"/>
      <c r="AA168" s="251"/>
      <c r="AB168" s="796"/>
      <c r="AD168" s="252"/>
      <c r="AE168" s="251"/>
      <c r="AF168" s="251"/>
      <c r="AG168" s="252"/>
      <c r="AH168" s="251"/>
      <c r="AI168" s="251"/>
      <c r="AJ168" s="252"/>
      <c r="AK168" s="251"/>
      <c r="AL168" s="251"/>
      <c r="AM168" s="252"/>
      <c r="AN168" s="251"/>
      <c r="AQ168" s="202"/>
      <c r="AZ168" s="203"/>
      <c r="BF168" s="203"/>
      <c r="BK168" s="203"/>
      <c r="BP168" s="203"/>
      <c r="BQ168" s="202"/>
      <c r="CA168" s="203"/>
      <c r="CR168" s="122"/>
    </row>
    <row r="169" spans="1:96" ht="45" hidden="1" outlineLevel="2" x14ac:dyDescent="0.25">
      <c r="A169" s="133"/>
      <c r="B169" s="250" t="s">
        <v>1675</v>
      </c>
      <c r="C169" s="970"/>
      <c r="D169" s="251"/>
      <c r="E169" s="251"/>
      <c r="F169" s="251"/>
      <c r="G169" s="251"/>
      <c r="H169" s="251"/>
      <c r="I169" s="251"/>
      <c r="J169" s="251"/>
      <c r="K169" s="251"/>
      <c r="L169" s="251"/>
      <c r="M169" s="251"/>
      <c r="N169" s="235">
        <f t="shared" si="215"/>
        <v>0</v>
      </c>
      <c r="O169" s="327"/>
      <c r="P169" s="251"/>
      <c r="Q169" s="359"/>
      <c r="R169" s="358"/>
      <c r="S169" s="251"/>
      <c r="T169" s="359"/>
      <c r="U169" s="358"/>
      <c r="V169" s="251"/>
      <c r="W169" s="359"/>
      <c r="X169" s="358"/>
      <c r="Y169" s="251"/>
      <c r="Z169" s="328"/>
      <c r="AA169" s="251"/>
      <c r="AB169" s="796"/>
      <c r="AD169" s="252"/>
      <c r="AE169" s="251"/>
      <c r="AF169" s="251"/>
      <c r="AG169" s="252"/>
      <c r="AH169" s="251"/>
      <c r="AI169" s="251"/>
      <c r="AJ169" s="252"/>
      <c r="AK169" s="251"/>
      <c r="AL169" s="251"/>
      <c r="AM169" s="252"/>
      <c r="AN169" s="251"/>
      <c r="AQ169" s="202"/>
      <c r="AZ169" s="203"/>
      <c r="BF169" s="203"/>
      <c r="BK169" s="203"/>
      <c r="BP169" s="203"/>
      <c r="BQ169" s="202"/>
      <c r="CA169" s="203"/>
      <c r="CR169" s="122"/>
    </row>
    <row r="170" spans="1:96" ht="110.25" outlineLevel="1" collapsed="1" x14ac:dyDescent="0.25">
      <c r="A170" s="134" t="s">
        <v>435</v>
      </c>
      <c r="B170" s="116" t="s">
        <v>1817</v>
      </c>
      <c r="C170" s="1028" t="s">
        <v>243</v>
      </c>
      <c r="D170" s="116"/>
      <c r="E170" s="495"/>
      <c r="F170" s="107" t="s">
        <v>326</v>
      </c>
      <c r="G170" s="109" t="s">
        <v>953</v>
      </c>
      <c r="H170" s="111" t="s">
        <v>243</v>
      </c>
      <c r="I170" s="111" t="s">
        <v>243</v>
      </c>
      <c r="J170" s="111" t="s">
        <v>243</v>
      </c>
      <c r="K170" s="111" t="s">
        <v>243</v>
      </c>
      <c r="L170" s="111" t="s">
        <v>243</v>
      </c>
      <c r="M170" s="107">
        <v>3</v>
      </c>
      <c r="N170" s="235">
        <f t="shared" si="215"/>
        <v>3</v>
      </c>
      <c r="O170" s="200" t="str">
        <f t="shared" ref="O170" si="251">IF(AC170="ДА",$M170,"")</f>
        <v/>
      </c>
      <c r="P170" s="144"/>
      <c r="Q170" s="357">
        <f>IF(AC170="ДА",ROUNDUP(O170/5,0),0)</f>
        <v>0</v>
      </c>
      <c r="R170" s="356">
        <f>IF(AF170="ДА",$M170,"")</f>
        <v>3</v>
      </c>
      <c r="S170" s="144"/>
      <c r="T170" s="357">
        <f>IF(AF170="ДА",ROUNDUP(R170/5,0),0)</f>
        <v>1</v>
      </c>
      <c r="U170" s="356" t="str">
        <f>IF(AI170="ДА",$M170,"")</f>
        <v/>
      </c>
      <c r="V170" s="144"/>
      <c r="W170" s="357">
        <f>IF(AI170="ДА",ROUNDUP(U170/5,0),0)</f>
        <v>0</v>
      </c>
      <c r="X170" s="356" t="str">
        <f>IF(AL170="ДА",$M170,"")</f>
        <v/>
      </c>
      <c r="Y170" s="144"/>
      <c r="Z170" s="201">
        <f>IF(AL170="ДА",ROUNDUP(X170/5,0),0)</f>
        <v>0</v>
      </c>
      <c r="AA170" s="388" t="str">
        <f>IF(OR(AC170="ДА",AF170="ДА",AI170="ДА",AL170="ДА"),"ДА","НЕТ")</f>
        <v>ДА</v>
      </c>
      <c r="AB170" s="388"/>
      <c r="AC170" s="37" t="str">
        <f>IF(AC$8=$BT$9,$BT170,IF(AC$8=$BS$9,$BS170,IF(AC$8=$BU$9,$BU170,IF(AC$8=$BV$9,$BV170,IF(AC$8=$BW$9,$BW170,IF(AC$8=$BX$9,$BX170,IF(AC$8=$BY$9,$BY170,IF(AC$8=$BZ$9,$BZ170,IF(AC$8=$CA$9,$CA170,IF(AC$8=$CC$9,$CC170,IF(AC$8=$CD$9,$CD170,IF(AC$8=$CE$9,$CE170,IF(AC$8=$CF$9,$CF170,IF(AC$8=$CG$9,$CG170,IF(AC$8=$CH$9,$CH170,IF(AC$8=$CI$9,$CI170,IF(AC$8=$CJ$9,$CJ170,IF(AC$8=$CK$9,$CK170,IF(AC$8=$CL$9,$CL170,IF(AC$8=$CM$9,$CM170,IF(AC$8=$CN$9,$CN170,IF(AC$8=$CO$9,$CO170,IF(AC$8=$CP$9,$CP170,IF(AC$8=$CQ$9,$CQ170,"НЕТ"))))))))))))))))))))))))</f>
        <v>НЕТ</v>
      </c>
      <c r="AD170" s="37" t="str">
        <f>IF(AC170="НЕТ","Не требуется",$CR170)</f>
        <v>Не требуется</v>
      </c>
      <c r="AE170" s="37"/>
      <c r="AF170" s="37" t="str">
        <f t="shared" ref="AF170:AL170" si="252">IF(AF$8=$BT$9,$BT170,IF(AF$8=$BS$9,$BS170,IF(AF$8=$BU$9,$BU170,IF(AF$8=$BV$9,$BV170,IF(AF$8=$BW$9,$BW170,IF(AF$8=$BX$9,$BX170,IF(AF$8=$BY$9,$BY170,IF(AF$8=$BZ$9,$BZ170,IF(AF$8=$CA$9,$CA170,IF(AF$8=$CC$9,$CC170,IF(AF$8=$CD$9,$CD170,IF(AF$8=$CE$9,$CE170,IF(AF$8=$CF$9,$CF170,IF(AF$8=$CG$9,$CG170,IF(AF$8=$CH$9,$CH170,IF(AF$8=$CI$9,$CI170,IF(AF$8=$CJ$9,$CJ170,IF(AF$8=$CK$9,$CK170,IF(AF$8=$CL$9,$CL170,IF(AF$8=$CM$9,$CM170,IF(AF$8=$CN$9,$CN170,IF(AF$8=$CO$9,$CO170,IF(AF$8=$CP$9,$CP170,IF(AF$8=$CQ$9,$CQ170,"НЕТ"))))))))))))))))))))))))</f>
        <v>ДА</v>
      </c>
      <c r="AG170" s="37" t="str">
        <f t="shared" si="252"/>
        <v>НЕТ</v>
      </c>
      <c r="AH170" s="37" t="str">
        <f t="shared" si="252"/>
        <v>НЕТ</v>
      </c>
      <c r="AI170" s="37" t="str">
        <f t="shared" si="252"/>
        <v>НЕТ</v>
      </c>
      <c r="AJ170" s="37" t="str">
        <f t="shared" si="252"/>
        <v>НЕТ</v>
      </c>
      <c r="AK170" s="37" t="str">
        <f t="shared" si="252"/>
        <v>НЕТ</v>
      </c>
      <c r="AL170" s="37" t="str">
        <f t="shared" si="252"/>
        <v>НЕТ</v>
      </c>
      <c r="AM170" s="37" t="str">
        <f>IF(AL170="НЕТ","Не требуется",$CR170)</f>
        <v>Не требуется</v>
      </c>
      <c r="AN170" s="37"/>
      <c r="AQ170" s="200"/>
      <c r="AR170" s="230"/>
      <c r="AS170" s="144" t="str">
        <f>IF(BS170="ДА",$M170,"")</f>
        <v/>
      </c>
      <c r="AT170" s="144" t="str">
        <f t="shared" ref="AT170:AV170" si="253">IF(BT170="ДА",$M170,"")</f>
        <v/>
      </c>
      <c r="AU170" s="144" t="str">
        <f t="shared" si="253"/>
        <v/>
      </c>
      <c r="AV170" s="144" t="str">
        <f t="shared" si="253"/>
        <v/>
      </c>
      <c r="AW170" s="144" t="str">
        <f>IF(BX170="ДА",$M170,"")</f>
        <v/>
      </c>
      <c r="AX170" s="144">
        <f>IF(BY170="ДА",$M170,"")</f>
        <v>3</v>
      </c>
      <c r="AY170" s="144">
        <f>IF(BZ170="ДА",$M170,"")</f>
        <v>3</v>
      </c>
      <c r="AZ170" s="201">
        <f>IF(CA170="ДА",$M170,"")</f>
        <v>3</v>
      </c>
      <c r="BA170" s="235"/>
      <c r="BB170" s="144">
        <f t="shared" ref="BB170:BP170" si="254">IF(CC170="ДА",$M170,"")</f>
        <v>3</v>
      </c>
      <c r="BC170" s="144">
        <f t="shared" si="254"/>
        <v>3</v>
      </c>
      <c r="BD170" s="144" t="str">
        <f t="shared" si="254"/>
        <v/>
      </c>
      <c r="BE170" s="144">
        <f t="shared" si="254"/>
        <v>3</v>
      </c>
      <c r="BF170" s="201">
        <f t="shared" si="254"/>
        <v>3</v>
      </c>
      <c r="BG170" s="144" t="str">
        <f t="shared" si="254"/>
        <v/>
      </c>
      <c r="BH170" s="144" t="str">
        <f t="shared" si="254"/>
        <v/>
      </c>
      <c r="BI170" s="144">
        <f t="shared" si="254"/>
        <v>3</v>
      </c>
      <c r="BJ170" s="144" t="str">
        <f t="shared" si="254"/>
        <v/>
      </c>
      <c r="BK170" s="201">
        <f t="shared" si="254"/>
        <v>3</v>
      </c>
      <c r="BL170" s="144" t="str">
        <f t="shared" si="254"/>
        <v/>
      </c>
      <c r="BM170" s="144" t="str">
        <f t="shared" si="254"/>
        <v/>
      </c>
      <c r="BN170" s="144" t="str">
        <f t="shared" si="254"/>
        <v/>
      </c>
      <c r="BO170" s="144" t="str">
        <f t="shared" si="254"/>
        <v/>
      </c>
      <c r="BP170" s="201" t="str">
        <f t="shared" si="254"/>
        <v/>
      </c>
      <c r="BQ170" s="209"/>
      <c r="BR170" s="388"/>
      <c r="BS170" s="37" t="s">
        <v>255</v>
      </c>
      <c r="BT170" s="37" t="s">
        <v>255</v>
      </c>
      <c r="BU170" s="37" t="s">
        <v>255</v>
      </c>
      <c r="BV170" s="37" t="s">
        <v>255</v>
      </c>
      <c r="BW170" s="37" t="s">
        <v>255</v>
      </c>
      <c r="BX170" s="37" t="s">
        <v>255</v>
      </c>
      <c r="BY170" s="37" t="s">
        <v>246</v>
      </c>
      <c r="BZ170" s="37" t="s">
        <v>246</v>
      </c>
      <c r="CA170" s="123" t="s">
        <v>246</v>
      </c>
      <c r="CB170" s="223"/>
      <c r="CC170" s="37" t="s">
        <v>246</v>
      </c>
      <c r="CD170" s="37" t="s">
        <v>246</v>
      </c>
      <c r="CE170" s="37" t="s">
        <v>255</v>
      </c>
      <c r="CF170" s="37" t="s">
        <v>246</v>
      </c>
      <c r="CG170" s="37" t="s">
        <v>246</v>
      </c>
      <c r="CH170" s="37" t="s">
        <v>255</v>
      </c>
      <c r="CI170" s="37" t="s">
        <v>255</v>
      </c>
      <c r="CJ170" s="37" t="s">
        <v>246</v>
      </c>
      <c r="CK170" s="37" t="s">
        <v>255</v>
      </c>
      <c r="CL170" s="37" t="s">
        <v>246</v>
      </c>
      <c r="CM170" s="37" t="s">
        <v>255</v>
      </c>
      <c r="CN170" s="37" t="s">
        <v>255</v>
      </c>
      <c r="CO170" s="37" t="s">
        <v>255</v>
      </c>
      <c r="CP170" s="37" t="s">
        <v>255</v>
      </c>
      <c r="CQ170" s="37" t="s">
        <v>255</v>
      </c>
      <c r="CR170" s="123" t="s">
        <v>300</v>
      </c>
    </row>
    <row r="171" spans="1:96" ht="30" hidden="1" outlineLevel="2" x14ac:dyDescent="0.25">
      <c r="A171" s="133"/>
      <c r="B171" s="250" t="s">
        <v>347</v>
      </c>
      <c r="C171" s="251"/>
      <c r="D171" s="251"/>
      <c r="E171" s="251"/>
      <c r="F171" s="251"/>
      <c r="G171" s="251"/>
      <c r="H171" s="251"/>
      <c r="I171" s="251"/>
      <c r="J171" s="251"/>
      <c r="K171" s="251"/>
      <c r="L171" s="251"/>
      <c r="M171" s="251"/>
      <c r="N171" s="235">
        <f t="shared" si="215"/>
        <v>0</v>
      </c>
      <c r="O171" s="327"/>
      <c r="P171" s="251"/>
      <c r="Q171" s="359"/>
      <c r="R171" s="358"/>
      <c r="S171" s="251"/>
      <c r="T171" s="359"/>
      <c r="U171" s="358"/>
      <c r="V171" s="251"/>
      <c r="W171" s="359"/>
      <c r="X171" s="358"/>
      <c r="Y171" s="251"/>
      <c r="Z171" s="328"/>
      <c r="AA171" s="251"/>
      <c r="AB171" s="796"/>
      <c r="AD171" s="252"/>
      <c r="AE171" s="251"/>
      <c r="AF171" s="251"/>
      <c r="AG171" s="252"/>
      <c r="AH171" s="251"/>
      <c r="AI171" s="251"/>
      <c r="AJ171" s="252"/>
      <c r="AK171" s="251"/>
      <c r="AL171" s="251"/>
      <c r="AM171" s="252"/>
      <c r="AN171" s="251"/>
      <c r="AQ171" s="202"/>
      <c r="AZ171" s="203"/>
      <c r="BF171" s="203"/>
      <c r="BK171" s="203"/>
      <c r="BP171" s="203"/>
      <c r="BQ171" s="202"/>
      <c r="CA171" s="203"/>
      <c r="CR171" s="122"/>
    </row>
    <row r="172" spans="1:96" ht="45" hidden="1" outlineLevel="2" x14ac:dyDescent="0.25">
      <c r="A172" s="133"/>
      <c r="B172" s="250" t="s">
        <v>348</v>
      </c>
      <c r="C172" s="251"/>
      <c r="D172" s="251"/>
      <c r="E172" s="251"/>
      <c r="F172" s="251"/>
      <c r="G172" s="251"/>
      <c r="H172" s="251"/>
      <c r="I172" s="251"/>
      <c r="J172" s="251"/>
      <c r="K172" s="251"/>
      <c r="L172" s="251"/>
      <c r="M172" s="251"/>
      <c r="N172" s="235">
        <f t="shared" si="215"/>
        <v>0</v>
      </c>
      <c r="O172" s="327"/>
      <c r="P172" s="251"/>
      <c r="Q172" s="359"/>
      <c r="R172" s="358"/>
      <c r="S172" s="251"/>
      <c r="T172" s="359"/>
      <c r="U172" s="358"/>
      <c r="V172" s="251"/>
      <c r="W172" s="359"/>
      <c r="X172" s="358"/>
      <c r="Y172" s="251"/>
      <c r="Z172" s="328"/>
      <c r="AA172" s="251"/>
      <c r="AB172" s="796"/>
      <c r="AD172" s="252"/>
      <c r="AE172" s="251"/>
      <c r="AF172" s="251"/>
      <c r="AG172" s="252"/>
      <c r="AH172" s="251"/>
      <c r="AI172" s="251"/>
      <c r="AJ172" s="252"/>
      <c r="AK172" s="251"/>
      <c r="AL172" s="251"/>
      <c r="AM172" s="252"/>
      <c r="AN172" s="251"/>
      <c r="AQ172" s="202"/>
      <c r="AZ172" s="203"/>
      <c r="BF172" s="203"/>
      <c r="BK172" s="203"/>
      <c r="BP172" s="203"/>
      <c r="BQ172" s="202"/>
      <c r="CA172" s="203"/>
      <c r="CR172" s="122"/>
    </row>
    <row r="173" spans="1:96" hidden="1" outlineLevel="2" x14ac:dyDescent="0.25">
      <c r="A173" s="133"/>
      <c r="B173" s="250"/>
      <c r="C173" s="251"/>
      <c r="D173" s="251"/>
      <c r="E173" s="251"/>
      <c r="F173" s="251"/>
      <c r="G173" s="251"/>
      <c r="H173" s="251"/>
      <c r="I173" s="251"/>
      <c r="J173" s="251"/>
      <c r="K173" s="251"/>
      <c r="L173" s="251"/>
      <c r="M173" s="251"/>
      <c r="N173" s="235">
        <f t="shared" si="215"/>
        <v>0</v>
      </c>
      <c r="O173" s="327"/>
      <c r="P173" s="251"/>
      <c r="Q173" s="359"/>
      <c r="R173" s="358"/>
      <c r="S173" s="251"/>
      <c r="T173" s="359"/>
      <c r="U173" s="358"/>
      <c r="V173" s="251"/>
      <c r="W173" s="359"/>
      <c r="X173" s="358"/>
      <c r="Y173" s="251"/>
      <c r="Z173" s="328"/>
      <c r="AA173" s="251"/>
      <c r="AB173" s="796"/>
      <c r="AD173" s="252"/>
      <c r="AE173" s="251"/>
      <c r="AF173" s="251"/>
      <c r="AG173" s="252"/>
      <c r="AH173" s="251"/>
      <c r="AI173" s="251"/>
      <c r="AJ173" s="252"/>
      <c r="AK173" s="251"/>
      <c r="AL173" s="251"/>
      <c r="AM173" s="252"/>
      <c r="AN173" s="251"/>
      <c r="AQ173" s="202"/>
      <c r="AZ173" s="203"/>
      <c r="BF173" s="203"/>
      <c r="BK173" s="203"/>
      <c r="BP173" s="203"/>
      <c r="BQ173" s="202"/>
      <c r="CA173" s="203"/>
      <c r="CR173" s="122"/>
    </row>
    <row r="174" spans="1:96" hidden="1" outlineLevel="2" x14ac:dyDescent="0.25">
      <c r="A174" s="133"/>
      <c r="B174" s="250"/>
      <c r="C174" s="251"/>
      <c r="D174" s="251"/>
      <c r="E174" s="251"/>
      <c r="F174" s="251"/>
      <c r="G174" s="251"/>
      <c r="H174" s="251"/>
      <c r="I174" s="251"/>
      <c r="J174" s="251"/>
      <c r="K174" s="251"/>
      <c r="L174" s="251"/>
      <c r="M174" s="251"/>
      <c r="N174" s="235">
        <f t="shared" si="215"/>
        <v>0</v>
      </c>
      <c r="O174" s="327"/>
      <c r="P174" s="251"/>
      <c r="Q174" s="359"/>
      <c r="R174" s="358"/>
      <c r="S174" s="251"/>
      <c r="T174" s="359"/>
      <c r="U174" s="358"/>
      <c r="V174" s="251"/>
      <c r="W174" s="359"/>
      <c r="X174" s="358"/>
      <c r="Y174" s="251"/>
      <c r="Z174" s="328"/>
      <c r="AA174" s="251"/>
      <c r="AB174" s="796"/>
      <c r="AD174" s="252"/>
      <c r="AE174" s="251"/>
      <c r="AF174" s="251"/>
      <c r="AG174" s="252"/>
      <c r="AH174" s="251"/>
      <c r="AI174" s="251"/>
      <c r="AJ174" s="252"/>
      <c r="AK174" s="251"/>
      <c r="AL174" s="251"/>
      <c r="AM174" s="252"/>
      <c r="AN174" s="251"/>
      <c r="AQ174" s="202"/>
      <c r="AZ174" s="203"/>
      <c r="BF174" s="203"/>
      <c r="BK174" s="203"/>
      <c r="BP174" s="203"/>
      <c r="BQ174" s="202"/>
      <c r="CA174" s="203"/>
      <c r="CR174" s="122"/>
    </row>
    <row r="175" spans="1:96" ht="30" outlineLevel="1" x14ac:dyDescent="0.25">
      <c r="A175" s="112" t="s">
        <v>436</v>
      </c>
      <c r="B175" s="120" t="s">
        <v>393</v>
      </c>
      <c r="C175" s="861" t="s">
        <v>1095</v>
      </c>
      <c r="D175" s="120"/>
      <c r="E175" s="121"/>
      <c r="F175" s="35" t="s">
        <v>225</v>
      </c>
      <c r="G175" s="120" t="s">
        <v>579</v>
      </c>
      <c r="H175" s="111" t="s">
        <v>243</v>
      </c>
      <c r="I175" s="111" t="s">
        <v>243</v>
      </c>
      <c r="J175" s="111" t="s">
        <v>243</v>
      </c>
      <c r="K175" s="111" t="s">
        <v>242</v>
      </c>
      <c r="L175" s="111" t="s">
        <v>243</v>
      </c>
      <c r="M175" s="34">
        <v>2</v>
      </c>
      <c r="N175" s="235">
        <f t="shared" si="215"/>
        <v>0</v>
      </c>
      <c r="O175" s="200" t="str">
        <f t="shared" ref="O175:O176" si="255">IF(AC175="ДА",$M175,"")</f>
        <v/>
      </c>
      <c r="P175" s="144"/>
      <c r="Q175" s="357">
        <f>IF(AC175="ДА",ROUNDUP(O175/5,0),0)</f>
        <v>0</v>
      </c>
      <c r="R175" s="356" t="str">
        <f>IF(AF175="ДА",$M175,"")</f>
        <v/>
      </c>
      <c r="S175" s="144"/>
      <c r="T175" s="357">
        <f>IF(AF175="ДА",ROUNDUP(R175/5,0),0)</f>
        <v>0</v>
      </c>
      <c r="U175" s="356" t="str">
        <f>IF(AI175="ДА",$M175,"")</f>
        <v/>
      </c>
      <c r="V175" s="144"/>
      <c r="W175" s="357">
        <f>IF(AI175="ДА",ROUNDUP(U175/5,0),0)</f>
        <v>0</v>
      </c>
      <c r="X175" s="356" t="str">
        <f>IF(AL175="ДА",$M175,"")</f>
        <v/>
      </c>
      <c r="Y175" s="144"/>
      <c r="Z175" s="201">
        <f>IF(AL175="ДА",ROUNDUP(X175/5,0),0)</f>
        <v>0</v>
      </c>
      <c r="AA175" s="388" t="str">
        <f>IF(OR(AC175="ДА",AF175="ДА",AI175="ДА",AL175="ДА"),"ДА","НЕТ")</f>
        <v>НЕТ</v>
      </c>
      <c r="AB175" s="388"/>
      <c r="AC175" s="37" t="str">
        <f>IF(AC$8=$BT$9,$BT175,IF(AC$8=$BS$9,$BS175,IF(AC$8=$BU$9,$BU175,IF(AC$8=$BV$9,$BV175,IF(AC$8=$BW$9,$BW175,IF(AC$8=$BX$9,$BX175,IF(AC$8=$BY$9,$BY175,IF(AC$8=$BZ$9,$BZ175,IF(AC$8=$CA$9,$CA175,IF(AC$8=$CC$9,$CC175,IF(AC$8=$CD$9,$CD175,IF(AC$8=$CE$9,$CE175,IF(AC$8=$CF$9,$CF175,IF(AC$8=$CG$9,$CG175,IF(AC$8=$CH$9,$CH175,IF(AC$8=$CI$9,$CI175,IF(AC$8=$CJ$9,$CJ175,IF(AC$8=$CK$9,$CK175,IF(AC$8=$CL$9,$CL175,IF(AC$8=$CM$9,$CM175,IF(AC$8=$CN$9,$CN175,IF(AC$8=$CO$9,$CO175,IF(AC$8=$CP$9,$CP175,IF(AC$8=$CQ$9,$CQ175,"НЕТ"))))))))))))))))))))))))</f>
        <v>НЕТ</v>
      </c>
      <c r="AD175" s="37" t="str">
        <f>IF(AC175="НЕТ","Не требуется",$CR175)</f>
        <v>Не требуется</v>
      </c>
      <c r="AE175" s="37"/>
      <c r="AF175" s="37" t="str">
        <f t="shared" ref="AF175:AL176" si="256">IF(AF$8=$BT$9,$BT175,IF(AF$8=$BS$9,$BS175,IF(AF$8=$BU$9,$BU175,IF(AF$8=$BV$9,$BV175,IF(AF$8=$BW$9,$BW175,IF(AF$8=$BX$9,$BX175,IF(AF$8=$BY$9,$BY175,IF(AF$8=$BZ$9,$BZ175,IF(AF$8=$CA$9,$CA175,IF(AF$8=$CC$9,$CC175,IF(AF$8=$CD$9,$CD175,IF(AF$8=$CE$9,$CE175,IF(AF$8=$CF$9,$CF175,IF(AF$8=$CG$9,$CG175,IF(AF$8=$CH$9,$CH175,IF(AF$8=$CI$9,$CI175,IF(AF$8=$CJ$9,$CJ175,IF(AF$8=$CK$9,$CK175,IF(AF$8=$CL$9,$CL175,IF(AF$8=$CM$9,$CM175,IF(AF$8=$CN$9,$CN175,IF(AF$8=$CO$9,$CO175,IF(AF$8=$CP$9,$CP175,IF(AF$8=$CQ$9,$CQ175,"НЕТ"))))))))))))))))))))))))</f>
        <v>НЕТ</v>
      </c>
      <c r="AG175" s="37" t="str">
        <f t="shared" si="256"/>
        <v>НЕТ</v>
      </c>
      <c r="AH175" s="37" t="str">
        <f t="shared" si="256"/>
        <v>НЕТ</v>
      </c>
      <c r="AI175" s="37" t="str">
        <f t="shared" si="256"/>
        <v>НЕТ</v>
      </c>
      <c r="AJ175" s="37" t="str">
        <f t="shared" si="256"/>
        <v>НЕТ</v>
      </c>
      <c r="AK175" s="37" t="str">
        <f t="shared" si="256"/>
        <v>НЕТ</v>
      </c>
      <c r="AL175" s="37" t="str">
        <f t="shared" si="256"/>
        <v>НЕТ</v>
      </c>
      <c r="AM175" s="37" t="str">
        <f>IF(AL175="НЕТ","Не требуется",$CR175)</f>
        <v>Не требуется</v>
      </c>
      <c r="AN175" s="37"/>
      <c r="AQ175" s="200"/>
      <c r="AR175" s="230"/>
      <c r="AS175" s="144" t="str">
        <f t="shared" ref="AS175:AS176" si="257">IF(BS175="ДА",$M175,"")</f>
        <v/>
      </c>
      <c r="AT175" s="144" t="str">
        <f t="shared" ref="AT175:AT176" si="258">IF(BT175="ДА",$M175,"")</f>
        <v/>
      </c>
      <c r="AU175" s="144" t="str">
        <f t="shared" ref="AU175:AU176" si="259">IF(BU175="ДА",$M175,"")</f>
        <v/>
      </c>
      <c r="AV175" s="144" t="str">
        <f t="shared" ref="AV175:AV176" si="260">IF(BV175="ДА",$M175,"")</f>
        <v/>
      </c>
      <c r="AW175" s="144" t="str">
        <f t="shared" ref="AW175:AZ176" si="261">IF(BX175="ДА",$M175,"")</f>
        <v/>
      </c>
      <c r="AX175" s="144" t="str">
        <f t="shared" si="261"/>
        <v/>
      </c>
      <c r="AY175" s="144" t="str">
        <f t="shared" si="261"/>
        <v/>
      </c>
      <c r="AZ175" s="201">
        <f t="shared" si="261"/>
        <v>2</v>
      </c>
      <c r="BA175" s="235"/>
      <c r="BB175" s="144" t="str">
        <f t="shared" ref="BB175:BP176" si="262">IF(CC175="ДА",$M175,"")</f>
        <v/>
      </c>
      <c r="BC175" s="144" t="str">
        <f t="shared" si="262"/>
        <v/>
      </c>
      <c r="BD175" s="144" t="str">
        <f t="shared" si="262"/>
        <v/>
      </c>
      <c r="BE175" s="144" t="str">
        <f t="shared" si="262"/>
        <v/>
      </c>
      <c r="BF175" s="201" t="str">
        <f t="shared" si="262"/>
        <v/>
      </c>
      <c r="BG175" s="144" t="str">
        <f t="shared" si="262"/>
        <v/>
      </c>
      <c r="BH175" s="144" t="str">
        <f t="shared" si="262"/>
        <v/>
      </c>
      <c r="BI175" s="144" t="str">
        <f t="shared" si="262"/>
        <v/>
      </c>
      <c r="BJ175" s="144" t="str">
        <f t="shared" si="262"/>
        <v/>
      </c>
      <c r="BK175" s="201" t="str">
        <f t="shared" si="262"/>
        <v/>
      </c>
      <c r="BL175" s="144" t="str">
        <f t="shared" si="262"/>
        <v/>
      </c>
      <c r="BM175" s="144" t="str">
        <f t="shared" si="262"/>
        <v/>
      </c>
      <c r="BN175" s="144" t="str">
        <f t="shared" si="262"/>
        <v/>
      </c>
      <c r="BO175" s="144" t="str">
        <f t="shared" si="262"/>
        <v/>
      </c>
      <c r="BP175" s="201" t="str">
        <f t="shared" si="262"/>
        <v/>
      </c>
      <c r="BQ175" s="209"/>
      <c r="BR175" s="388"/>
      <c r="BS175" s="37" t="s">
        <v>255</v>
      </c>
      <c r="BT175" s="37" t="s">
        <v>255</v>
      </c>
      <c r="BU175" s="37" t="s">
        <v>255</v>
      </c>
      <c r="BV175" s="37" t="s">
        <v>255</v>
      </c>
      <c r="BW175" s="37" t="s">
        <v>255</v>
      </c>
      <c r="BX175" s="37" t="s">
        <v>255</v>
      </c>
      <c r="BY175" s="37" t="s">
        <v>255</v>
      </c>
      <c r="BZ175" s="37" t="s">
        <v>255</v>
      </c>
      <c r="CA175" s="123" t="s">
        <v>246</v>
      </c>
      <c r="CB175" s="223"/>
      <c r="CC175" s="37" t="s">
        <v>255</v>
      </c>
      <c r="CD175" s="37" t="s">
        <v>255</v>
      </c>
      <c r="CE175" s="37" t="s">
        <v>255</v>
      </c>
      <c r="CF175" s="37" t="s">
        <v>255</v>
      </c>
      <c r="CG175" s="37" t="s">
        <v>255</v>
      </c>
      <c r="CH175" s="37" t="s">
        <v>255</v>
      </c>
      <c r="CI175" s="37" t="s">
        <v>255</v>
      </c>
      <c r="CJ175" s="37" t="s">
        <v>255</v>
      </c>
      <c r="CK175" s="37" t="s">
        <v>255</v>
      </c>
      <c r="CL175" s="37" t="s">
        <v>255</v>
      </c>
      <c r="CM175" s="37" t="s">
        <v>255</v>
      </c>
      <c r="CN175" s="37" t="s">
        <v>255</v>
      </c>
      <c r="CO175" s="37" t="s">
        <v>255</v>
      </c>
      <c r="CP175" s="37" t="s">
        <v>255</v>
      </c>
      <c r="CQ175" s="37" t="s">
        <v>255</v>
      </c>
      <c r="CR175" s="123" t="s">
        <v>302</v>
      </c>
    </row>
    <row r="176" spans="1:96" ht="30" outlineLevel="1" x14ac:dyDescent="0.25">
      <c r="A176" s="112" t="s">
        <v>1448</v>
      </c>
      <c r="B176" s="120" t="s">
        <v>231</v>
      </c>
      <c r="C176" s="861" t="s">
        <v>243</v>
      </c>
      <c r="D176" s="120"/>
      <c r="E176" s="121"/>
      <c r="F176" s="35" t="s">
        <v>225</v>
      </c>
      <c r="G176" s="120" t="s">
        <v>579</v>
      </c>
      <c r="H176" s="111" t="s">
        <v>1693</v>
      </c>
      <c r="I176" s="111" t="s">
        <v>1693</v>
      </c>
      <c r="J176" s="111" t="s">
        <v>1693</v>
      </c>
      <c r="K176" s="111" t="s">
        <v>1693</v>
      </c>
      <c r="L176" s="111" t="s">
        <v>1693</v>
      </c>
      <c r="M176" s="34">
        <v>10</v>
      </c>
      <c r="N176" s="235">
        <f t="shared" si="215"/>
        <v>0</v>
      </c>
      <c r="O176" s="200" t="str">
        <f t="shared" si="255"/>
        <v/>
      </c>
      <c r="P176" s="144"/>
      <c r="Q176" s="357">
        <f>IF(AC176="ДА",ROUNDUP(O176/5,0),0)</f>
        <v>0</v>
      </c>
      <c r="R176" s="356" t="str">
        <f>IF(AF176="ДА",$M176,"")</f>
        <v/>
      </c>
      <c r="S176" s="144"/>
      <c r="T176" s="357">
        <f>IF(AF176="ДА",ROUNDUP(R176/5,0),0)</f>
        <v>0</v>
      </c>
      <c r="U176" s="356" t="str">
        <f>IF(AI176="ДА",$M176,"")</f>
        <v/>
      </c>
      <c r="V176" s="144"/>
      <c r="W176" s="357">
        <f>IF(AI176="ДА",ROUNDUP(U176/5,0),0)</f>
        <v>0</v>
      </c>
      <c r="X176" s="356" t="str">
        <f>IF(AL176="ДА",$M176,"")</f>
        <v/>
      </c>
      <c r="Y176" s="144"/>
      <c r="Z176" s="201">
        <f>IF(AL176="ДА",ROUNDUP(X176/5,0),0)</f>
        <v>0</v>
      </c>
      <c r="AA176" s="388" t="str">
        <f>IF(OR(AC176="ДА",AF176="ДА",AI176="ДА",AL176="ДА"),"ДА","НЕТ")</f>
        <v>НЕТ</v>
      </c>
      <c r="AB176" s="388"/>
      <c r="AC176" s="37" t="str">
        <f>IF(AC$8=$BT$9,$BT176,IF(AC$8=$BS$9,$BS176,IF(AC$8=$BU$9,$BU176,IF(AC$8=$BV$9,$BV176,IF(AC$8=$BW$9,$BW176,IF(AC$8=$BX$9,$BX176,IF(AC$8=$BY$9,$BY176,IF(AC$8=$BZ$9,$BZ176,IF(AC$8=$CA$9,$CA176,IF(AC$8=$CC$9,$CC176,IF(AC$8=$CD$9,$CD176,IF(AC$8=$CE$9,$CE176,IF(AC$8=$CF$9,$CF176,IF(AC$8=$CG$9,$CG176,IF(AC$8=$CH$9,$CH176,IF(AC$8=$CI$9,$CI176,IF(AC$8=$CJ$9,$CJ176,IF(AC$8=$CK$9,$CK176,IF(AC$8=$CL$9,$CL176,IF(AC$8=$CM$9,$CM176,IF(AC$8=$CN$9,$CN176,IF(AC$8=$CO$9,$CO176,IF(AC$8=$CP$9,$CP176,IF(AC$8=$CQ$9,$CQ176,"НЕТ"))))))))))))))))))))))))</f>
        <v>НЕТ</v>
      </c>
      <c r="AD176" s="37" t="str">
        <f>IF(AC176="НЕТ","Не требуется",$CR176)</f>
        <v>Не требуется</v>
      </c>
      <c r="AE176" s="37"/>
      <c r="AF176" s="37" t="str">
        <f t="shared" si="256"/>
        <v>НЕТ</v>
      </c>
      <c r="AG176" s="37" t="str">
        <f t="shared" si="256"/>
        <v>НЕТ</v>
      </c>
      <c r="AH176" s="37" t="str">
        <f t="shared" si="256"/>
        <v>НЕТ</v>
      </c>
      <c r="AI176" s="37" t="str">
        <f t="shared" si="256"/>
        <v>НЕТ</v>
      </c>
      <c r="AJ176" s="37" t="str">
        <f t="shared" si="256"/>
        <v>НЕТ</v>
      </c>
      <c r="AK176" s="37" t="str">
        <f t="shared" si="256"/>
        <v>НЕТ</v>
      </c>
      <c r="AL176" s="37" t="str">
        <f t="shared" si="256"/>
        <v>НЕТ</v>
      </c>
      <c r="AM176" s="37" t="str">
        <f>IF(AL176="НЕТ","Не требуется",$CR176)</f>
        <v>Не требуется</v>
      </c>
      <c r="AN176" s="37"/>
      <c r="AQ176" s="200"/>
      <c r="AR176" s="230"/>
      <c r="AS176" s="144" t="str">
        <f t="shared" si="257"/>
        <v/>
      </c>
      <c r="AT176" s="144" t="str">
        <f t="shared" si="258"/>
        <v/>
      </c>
      <c r="AU176" s="144" t="str">
        <f t="shared" si="259"/>
        <v/>
      </c>
      <c r="AV176" s="144" t="str">
        <f t="shared" si="260"/>
        <v/>
      </c>
      <c r="AW176" s="144" t="str">
        <f t="shared" si="261"/>
        <v/>
      </c>
      <c r="AX176" s="144" t="str">
        <f t="shared" si="261"/>
        <v/>
      </c>
      <c r="AY176" s="144" t="str">
        <f t="shared" si="261"/>
        <v/>
      </c>
      <c r="AZ176" s="201">
        <f t="shared" si="261"/>
        <v>10</v>
      </c>
      <c r="BA176" s="235"/>
      <c r="BB176" s="144" t="str">
        <f t="shared" si="262"/>
        <v/>
      </c>
      <c r="BC176" s="144">
        <f t="shared" si="262"/>
        <v>10</v>
      </c>
      <c r="BD176" s="144" t="str">
        <f t="shared" si="262"/>
        <v/>
      </c>
      <c r="BE176" s="144">
        <f t="shared" si="262"/>
        <v>10</v>
      </c>
      <c r="BF176" s="201">
        <f t="shared" si="262"/>
        <v>10</v>
      </c>
      <c r="BG176" s="144" t="str">
        <f t="shared" si="262"/>
        <v/>
      </c>
      <c r="BH176" s="144" t="str">
        <f t="shared" si="262"/>
        <v/>
      </c>
      <c r="BI176" s="144" t="str">
        <f t="shared" si="262"/>
        <v/>
      </c>
      <c r="BJ176" s="144" t="str">
        <f t="shared" si="262"/>
        <v/>
      </c>
      <c r="BK176" s="201" t="str">
        <f t="shared" si="262"/>
        <v/>
      </c>
      <c r="BL176" s="144" t="str">
        <f t="shared" si="262"/>
        <v/>
      </c>
      <c r="BM176" s="144" t="str">
        <f t="shared" si="262"/>
        <v/>
      </c>
      <c r="BN176" s="144" t="str">
        <f t="shared" si="262"/>
        <v/>
      </c>
      <c r="BO176" s="144" t="str">
        <f t="shared" si="262"/>
        <v/>
      </c>
      <c r="BP176" s="201" t="str">
        <f t="shared" si="262"/>
        <v/>
      </c>
      <c r="BQ176" s="209"/>
      <c r="BR176" s="388"/>
      <c r="BS176" s="37" t="s">
        <v>255</v>
      </c>
      <c r="BT176" s="37" t="s">
        <v>255</v>
      </c>
      <c r="BU176" s="37" t="s">
        <v>255</v>
      </c>
      <c r="BV176" s="37" t="s">
        <v>255</v>
      </c>
      <c r="BW176" s="37" t="s">
        <v>255</v>
      </c>
      <c r="BX176" s="37" t="s">
        <v>255</v>
      </c>
      <c r="BY176" s="37" t="s">
        <v>255</v>
      </c>
      <c r="BZ176" s="37" t="s">
        <v>255</v>
      </c>
      <c r="CA176" s="123" t="s">
        <v>246</v>
      </c>
      <c r="CB176" s="223"/>
      <c r="CC176" s="37" t="s">
        <v>255</v>
      </c>
      <c r="CD176" s="37" t="s">
        <v>246</v>
      </c>
      <c r="CE176" s="37" t="s">
        <v>255</v>
      </c>
      <c r="CF176" s="37" t="s">
        <v>246</v>
      </c>
      <c r="CG176" s="37" t="s">
        <v>246</v>
      </c>
      <c r="CH176" s="37" t="s">
        <v>255</v>
      </c>
      <c r="CI176" s="37" t="s">
        <v>255</v>
      </c>
      <c r="CJ176" s="37" t="s">
        <v>255</v>
      </c>
      <c r="CK176" s="37" t="s">
        <v>255</v>
      </c>
      <c r="CL176" s="37" t="s">
        <v>255</v>
      </c>
      <c r="CM176" s="37" t="s">
        <v>255</v>
      </c>
      <c r="CN176" s="37" t="s">
        <v>255</v>
      </c>
      <c r="CO176" s="37" t="s">
        <v>255</v>
      </c>
      <c r="CP176" s="37" t="s">
        <v>255</v>
      </c>
      <c r="CQ176" s="37" t="s">
        <v>255</v>
      </c>
      <c r="CR176" s="123" t="s">
        <v>302</v>
      </c>
    </row>
    <row r="177" spans="1:96" ht="31.5" x14ac:dyDescent="0.25">
      <c r="A177" s="54" t="s">
        <v>437</v>
      </c>
      <c r="B177" s="119" t="s">
        <v>1680</v>
      </c>
      <c r="C177" s="1030" t="s">
        <v>243</v>
      </c>
      <c r="D177" s="119"/>
      <c r="E177" s="493"/>
      <c r="F177" s="49" t="s">
        <v>221</v>
      </c>
      <c r="G177" s="49" t="s">
        <v>221</v>
      </c>
      <c r="H177" s="49" t="s">
        <v>221</v>
      </c>
      <c r="I177" s="49" t="s">
        <v>221</v>
      </c>
      <c r="J177" s="49" t="s">
        <v>221</v>
      </c>
      <c r="K177" s="49" t="s">
        <v>221</v>
      </c>
      <c r="L177" s="49" t="s">
        <v>221</v>
      </c>
      <c r="M177" s="81">
        <f>SUM(M178,M183,M187,M190,M200,M209,M210)</f>
        <v>42</v>
      </c>
      <c r="N177" s="81">
        <f>SUM(N178,N183,N187,N190,N200,N209,N210)</f>
        <v>27</v>
      </c>
      <c r="O177" s="81">
        <f t="shared" ref="O177:Z177" si="263">SUM(O178,O183,O187,O190,O200,O209,O210)</f>
        <v>0</v>
      </c>
      <c r="P177" s="81">
        <f t="shared" si="263"/>
        <v>0</v>
      </c>
      <c r="Q177" s="81">
        <f t="shared" si="263"/>
        <v>0</v>
      </c>
      <c r="R177" s="81">
        <f t="shared" si="263"/>
        <v>27</v>
      </c>
      <c r="S177" s="81">
        <f t="shared" si="263"/>
        <v>0</v>
      </c>
      <c r="T177" s="81">
        <f t="shared" si="263"/>
        <v>6</v>
      </c>
      <c r="U177" s="81">
        <f t="shared" si="263"/>
        <v>0</v>
      </c>
      <c r="V177" s="81">
        <f t="shared" si="263"/>
        <v>0</v>
      </c>
      <c r="W177" s="81">
        <f t="shared" si="263"/>
        <v>0</v>
      </c>
      <c r="X177" s="81">
        <f t="shared" si="263"/>
        <v>0</v>
      </c>
      <c r="Y177" s="81">
        <f t="shared" si="263"/>
        <v>0</v>
      </c>
      <c r="Z177" s="81">
        <f t="shared" si="263"/>
        <v>0</v>
      </c>
      <c r="AA177" s="387" t="str">
        <f>IF(N177&gt;0,"ДА","НЕТ")</f>
        <v>ДА</v>
      </c>
      <c r="AB177" s="387"/>
      <c r="AC177" s="140" t="str">
        <f>IF(O177&gt;0,"ДА","НЕТ")</f>
        <v>НЕТ</v>
      </c>
      <c r="AD177" s="118"/>
      <c r="AE177" s="140"/>
      <c r="AF177" s="140" t="str">
        <f>IF(R177&gt;0,"ДА","НЕТ")</f>
        <v>ДА</v>
      </c>
      <c r="AG177" s="118"/>
      <c r="AH177" s="140"/>
      <c r="AI177" s="140" t="str">
        <f>IF(U177&gt;0,"ДА","НЕТ")</f>
        <v>НЕТ</v>
      </c>
      <c r="AJ177" s="118"/>
      <c r="AK177" s="140"/>
      <c r="AL177" s="140" t="str">
        <f>IF(X177&gt;0,"ДА","НЕТ")</f>
        <v>НЕТ</v>
      </c>
      <c r="AM177" s="118"/>
      <c r="AN177" s="140"/>
      <c r="AQ177" s="199"/>
      <c r="AR177" s="229"/>
      <c r="AS177" s="49">
        <f>SUM(AS178,AS183,AS187,AS190,AS200,AS209,AS210)</f>
        <v>0</v>
      </c>
      <c r="AT177" s="49">
        <f t="shared" ref="AT177:AV177" si="264">SUM(AT178,AT183,AT187,AT190,AT200,AT209,AT210)</f>
        <v>0</v>
      </c>
      <c r="AU177" s="49">
        <f t="shared" si="264"/>
        <v>0</v>
      </c>
      <c r="AV177" s="49">
        <f t="shared" si="264"/>
        <v>0</v>
      </c>
      <c r="AW177" s="49">
        <f>SUM(AW178,AW183,AW187,AW190,AW200,AW209,AW210)</f>
        <v>0</v>
      </c>
      <c r="AX177" s="49">
        <f>SUM(AX178,AX183,AX187,AX190,AX200,AX209,AX210)</f>
        <v>10</v>
      </c>
      <c r="AY177" s="49">
        <f>SUM(AY178,AY183,AY187,AY190,AY200,AY209,AY210)</f>
        <v>27</v>
      </c>
      <c r="AZ177" s="52">
        <f>SUM(AZ178,AZ183,AZ187,AZ190,AZ200,AZ209,AZ210)</f>
        <v>42</v>
      </c>
      <c r="BA177" s="81"/>
      <c r="BB177" s="49">
        <f t="shared" ref="BB177:BP177" si="265">SUM(BB178,BB183,BB187,BB190,BB200,BB209,BB210)</f>
        <v>0</v>
      </c>
      <c r="BC177" s="49">
        <f t="shared" si="265"/>
        <v>17</v>
      </c>
      <c r="BD177" s="49">
        <f t="shared" si="265"/>
        <v>0</v>
      </c>
      <c r="BE177" s="49">
        <f t="shared" si="265"/>
        <v>5</v>
      </c>
      <c r="BF177" s="52">
        <f t="shared" si="265"/>
        <v>15</v>
      </c>
      <c r="BG177" s="49">
        <f t="shared" si="265"/>
        <v>25</v>
      </c>
      <c r="BH177" s="49">
        <f t="shared" si="265"/>
        <v>0</v>
      </c>
      <c r="BI177" s="49">
        <f t="shared" si="265"/>
        <v>0</v>
      </c>
      <c r="BJ177" s="49">
        <f t="shared" si="265"/>
        <v>0</v>
      </c>
      <c r="BK177" s="52">
        <f t="shared" si="265"/>
        <v>0</v>
      </c>
      <c r="BL177" s="49">
        <f t="shared" si="265"/>
        <v>0</v>
      </c>
      <c r="BM177" s="49">
        <f t="shared" si="265"/>
        <v>0</v>
      </c>
      <c r="BN177" s="49">
        <f t="shared" si="265"/>
        <v>0</v>
      </c>
      <c r="BO177" s="49">
        <f t="shared" si="265"/>
        <v>0</v>
      </c>
      <c r="BP177" s="52">
        <f t="shared" si="265"/>
        <v>0</v>
      </c>
      <c r="BQ177" s="209"/>
      <c r="BR177" s="388"/>
      <c r="BS177" s="140" t="str">
        <f t="shared" ref="BS177:BV177" si="266">IF(AS177&gt;0,"ДА","НЕТ")</f>
        <v>НЕТ</v>
      </c>
      <c r="BT177" s="140" t="str">
        <f t="shared" si="266"/>
        <v>НЕТ</v>
      </c>
      <c r="BU177" s="140" t="str">
        <f t="shared" si="266"/>
        <v>НЕТ</v>
      </c>
      <c r="BV177" s="140" t="str">
        <f t="shared" si="266"/>
        <v>НЕТ</v>
      </c>
      <c r="BW177" s="140" t="str">
        <f>IF(AS177&gt;0,"ДА","НЕТ")</f>
        <v>НЕТ</v>
      </c>
      <c r="BX177" s="140" t="str">
        <f>IF(AW177&gt;0,"ДА","НЕТ")</f>
        <v>НЕТ</v>
      </c>
      <c r="BY177" s="140" t="str">
        <f>IF(AX177&gt;0,"ДА","НЕТ")</f>
        <v>ДА</v>
      </c>
      <c r="BZ177" s="140" t="str">
        <f>IF(AY177&gt;0,"ДА","НЕТ")</f>
        <v>ДА</v>
      </c>
      <c r="CA177" s="208" t="str">
        <f>IF(AZ177&gt;0,"ДА","НЕТ")</f>
        <v>ДА</v>
      </c>
      <c r="CB177" s="222"/>
      <c r="CC177" s="140" t="str">
        <f t="shared" ref="CC177:CQ177" si="267">IF(BB177&gt;0,"ДА","НЕТ")</f>
        <v>НЕТ</v>
      </c>
      <c r="CD177" s="140" t="str">
        <f t="shared" si="267"/>
        <v>ДА</v>
      </c>
      <c r="CE177" s="140" t="str">
        <f t="shared" si="267"/>
        <v>НЕТ</v>
      </c>
      <c r="CF177" s="140" t="str">
        <f t="shared" si="267"/>
        <v>ДА</v>
      </c>
      <c r="CG177" s="140" t="str">
        <f t="shared" si="267"/>
        <v>ДА</v>
      </c>
      <c r="CH177" s="140" t="str">
        <f t="shared" si="267"/>
        <v>ДА</v>
      </c>
      <c r="CI177" s="140" t="str">
        <f t="shared" si="267"/>
        <v>НЕТ</v>
      </c>
      <c r="CJ177" s="140" t="str">
        <f t="shared" si="267"/>
        <v>НЕТ</v>
      </c>
      <c r="CK177" s="140" t="str">
        <f t="shared" si="267"/>
        <v>НЕТ</v>
      </c>
      <c r="CL177" s="140" t="str">
        <f t="shared" si="267"/>
        <v>НЕТ</v>
      </c>
      <c r="CM177" s="140" t="str">
        <f t="shared" si="267"/>
        <v>НЕТ</v>
      </c>
      <c r="CN177" s="140" t="str">
        <f t="shared" si="267"/>
        <v>НЕТ</v>
      </c>
      <c r="CO177" s="140" t="str">
        <f t="shared" si="267"/>
        <v>НЕТ</v>
      </c>
      <c r="CP177" s="140" t="str">
        <f t="shared" si="267"/>
        <v>НЕТ</v>
      </c>
      <c r="CQ177" s="140" t="str">
        <f t="shared" si="267"/>
        <v>НЕТ</v>
      </c>
      <c r="CR177" s="122"/>
    </row>
    <row r="178" spans="1:96" ht="15.75" outlineLevel="1" collapsed="1" x14ac:dyDescent="0.25">
      <c r="A178" s="134" t="s">
        <v>438</v>
      </c>
      <c r="B178" s="115" t="s">
        <v>1681</v>
      </c>
      <c r="C178" s="115"/>
      <c r="D178" s="115"/>
      <c r="E178" s="146"/>
      <c r="F178" s="109" t="s">
        <v>326</v>
      </c>
      <c r="G178" s="109" t="s">
        <v>953</v>
      </c>
      <c r="H178" s="111" t="s">
        <v>243</v>
      </c>
      <c r="I178" s="111" t="s">
        <v>242</v>
      </c>
      <c r="J178" s="111" t="s">
        <v>243</v>
      </c>
      <c r="K178" s="111" t="s">
        <v>242</v>
      </c>
      <c r="L178" s="111" t="s">
        <v>243</v>
      </c>
      <c r="M178" s="109">
        <v>5</v>
      </c>
      <c r="N178" s="235">
        <f t="shared" ref="N178:N210" si="268">SUM(O178,R178,U178,X178)</f>
        <v>5</v>
      </c>
      <c r="O178" s="200" t="str">
        <f t="shared" ref="O178" si="269">IF(AC178="ДА",$M178,"")</f>
        <v/>
      </c>
      <c r="P178" s="144"/>
      <c r="Q178" s="357">
        <f>IF(AC178="ДА",ROUNDUP(O178/5,0),0)</f>
        <v>0</v>
      </c>
      <c r="R178" s="356">
        <f>IF(AF178="ДА",$M178,"")</f>
        <v>5</v>
      </c>
      <c r="S178" s="144"/>
      <c r="T178" s="357">
        <f>IF(AF178="ДА",ROUNDUP(R178/5,0),0)</f>
        <v>1</v>
      </c>
      <c r="U178" s="356" t="str">
        <f>IF(AI178="ДА",$M178,"")</f>
        <v/>
      </c>
      <c r="V178" s="144"/>
      <c r="W178" s="357">
        <f>IF(AI178="ДА",ROUNDUP(U178/5,0),0)</f>
        <v>0</v>
      </c>
      <c r="X178" s="356" t="str">
        <f>IF(AL178="ДА",$M178,"")</f>
        <v/>
      </c>
      <c r="Y178" s="144"/>
      <c r="Z178" s="201">
        <f>IF(AL178="ДА",ROUNDUP(X178/5,0),0)</f>
        <v>0</v>
      </c>
      <c r="AA178" s="388" t="str">
        <f>IF(OR(AC178="ДА",AF178="ДА",AI178="ДА",AL178="ДА"),"ДА","НЕТ")</f>
        <v>ДА</v>
      </c>
      <c r="AB178" s="388"/>
      <c r="AC178" s="37" t="str">
        <f>IF(AC$8=$BT$9,$BT178,IF(AC$8=$BS$9,$BS178,IF(AC$8=$BU$9,$BU178,IF(AC$8=$BV$9,$BV178,IF(AC$8=$BW$9,$BW178,IF(AC$8=$BX$9,$BX178,IF(AC$8=$BY$9,$BY178,IF(AC$8=$BZ$9,$BZ178,IF(AC$8=$CA$9,$CA178,IF(AC$8=$CC$9,$CC178,IF(AC$8=$CD$9,$CD178,IF(AC$8=$CE$9,$CE178,IF(AC$8=$CF$9,$CF178,IF(AC$8=$CG$9,$CG178,IF(AC$8=$CH$9,$CH178,IF(AC$8=$CI$9,$CI178,IF(AC$8=$CJ$9,$CJ178,IF(AC$8=$CK$9,$CK178,IF(AC$8=$CL$9,$CL178,IF(AC$8=$CM$9,$CM178,IF(AC$8=$CN$9,$CN178,IF(AC$8=$CO$9,$CO178,IF(AC$8=$CP$9,$CP178,IF(AC$8=$CQ$9,$CQ178,"НЕТ"))))))))))))))))))))))))</f>
        <v>НЕТ</v>
      </c>
      <c r="AD178" s="37" t="str">
        <f>IF(AC178="НЕТ","Не требуется",$CR178)</f>
        <v>Не требуется</v>
      </c>
      <c r="AE178" s="37"/>
      <c r="AF178" s="37" t="str">
        <f t="shared" ref="AF178:AL178" si="270">IF(AF$8=$BT$9,$BT178,IF(AF$8=$BS$9,$BS178,IF(AF$8=$BU$9,$BU178,IF(AF$8=$BV$9,$BV178,IF(AF$8=$BW$9,$BW178,IF(AF$8=$BX$9,$BX178,IF(AF$8=$BY$9,$BY178,IF(AF$8=$BZ$9,$BZ178,IF(AF$8=$CA$9,$CA178,IF(AF$8=$CC$9,$CC178,IF(AF$8=$CD$9,$CD178,IF(AF$8=$CE$9,$CE178,IF(AF$8=$CF$9,$CF178,IF(AF$8=$CG$9,$CG178,IF(AF$8=$CH$9,$CH178,IF(AF$8=$CI$9,$CI178,IF(AF$8=$CJ$9,$CJ178,IF(AF$8=$CK$9,$CK178,IF(AF$8=$CL$9,$CL178,IF(AF$8=$CM$9,$CM178,IF(AF$8=$CN$9,$CN178,IF(AF$8=$CO$9,$CO178,IF(AF$8=$CP$9,$CP178,IF(AF$8=$CQ$9,$CQ178,"НЕТ"))))))))))))))))))))))))</f>
        <v>ДА</v>
      </c>
      <c r="AG178" s="37" t="str">
        <f t="shared" si="270"/>
        <v>НЕТ</v>
      </c>
      <c r="AH178" s="37" t="str">
        <f t="shared" si="270"/>
        <v>НЕТ</v>
      </c>
      <c r="AI178" s="37" t="str">
        <f t="shared" si="270"/>
        <v>НЕТ</v>
      </c>
      <c r="AJ178" s="37" t="str">
        <f t="shared" si="270"/>
        <v>НЕТ</v>
      </c>
      <c r="AK178" s="37" t="str">
        <f t="shared" si="270"/>
        <v>НЕТ</v>
      </c>
      <c r="AL178" s="37" t="str">
        <f t="shared" si="270"/>
        <v>НЕТ</v>
      </c>
      <c r="AM178" s="37" t="str">
        <f>IF(AL178="НЕТ","Не требуется",$CR178)</f>
        <v>Не требуется</v>
      </c>
      <c r="AN178" s="37"/>
      <c r="AQ178" s="200"/>
      <c r="AR178" s="230"/>
      <c r="AS178" s="144" t="str">
        <f>IF(BS178="ДА",$M178,"")</f>
        <v/>
      </c>
      <c r="AT178" s="144" t="str">
        <f t="shared" ref="AT178:AV178" si="271">IF(BT178="ДА",$M178,"")</f>
        <v/>
      </c>
      <c r="AU178" s="144" t="str">
        <f t="shared" si="271"/>
        <v/>
      </c>
      <c r="AV178" s="144" t="str">
        <f t="shared" si="271"/>
        <v/>
      </c>
      <c r="AW178" s="144" t="str">
        <f>IF(BX178="ДА",$M178,"")</f>
        <v/>
      </c>
      <c r="AX178" s="144" t="str">
        <f>IF(BY178="ДА",$M178,"")</f>
        <v/>
      </c>
      <c r="AY178" s="144">
        <f>IF(BZ178="ДА",$M178,"")</f>
        <v>5</v>
      </c>
      <c r="AZ178" s="201">
        <f>IF(CA178="ДА",$M178,"")</f>
        <v>5</v>
      </c>
      <c r="BA178" s="235"/>
      <c r="BB178" s="144" t="str">
        <f t="shared" ref="BB178:BP178" si="272">IF(CC178="ДА",$M178,"")</f>
        <v/>
      </c>
      <c r="BC178" s="144">
        <f t="shared" si="272"/>
        <v>5</v>
      </c>
      <c r="BD178" s="144" t="str">
        <f t="shared" si="272"/>
        <v/>
      </c>
      <c r="BE178" s="144">
        <f t="shared" si="272"/>
        <v>5</v>
      </c>
      <c r="BF178" s="201">
        <f t="shared" si="272"/>
        <v>5</v>
      </c>
      <c r="BG178" s="144">
        <f t="shared" si="272"/>
        <v>5</v>
      </c>
      <c r="BH178" s="144" t="str">
        <f t="shared" si="272"/>
        <v/>
      </c>
      <c r="BI178" s="144" t="str">
        <f t="shared" si="272"/>
        <v/>
      </c>
      <c r="BJ178" s="144" t="str">
        <f t="shared" si="272"/>
        <v/>
      </c>
      <c r="BK178" s="201" t="str">
        <f t="shared" si="272"/>
        <v/>
      </c>
      <c r="BL178" s="144" t="str">
        <f t="shared" si="272"/>
        <v/>
      </c>
      <c r="BM178" s="144" t="str">
        <f t="shared" si="272"/>
        <v/>
      </c>
      <c r="BN178" s="144" t="str">
        <f t="shared" si="272"/>
        <v/>
      </c>
      <c r="BO178" s="144" t="str">
        <f t="shared" si="272"/>
        <v/>
      </c>
      <c r="BP178" s="201" t="str">
        <f t="shared" si="272"/>
        <v/>
      </c>
      <c r="BQ178" s="209"/>
      <c r="BR178" s="388"/>
      <c r="BS178" s="37" t="s">
        <v>255</v>
      </c>
      <c r="BT178" s="37" t="s">
        <v>255</v>
      </c>
      <c r="BU178" s="37" t="s">
        <v>255</v>
      </c>
      <c r="BV178" s="37" t="s">
        <v>255</v>
      </c>
      <c r="BW178" s="37" t="s">
        <v>255</v>
      </c>
      <c r="BX178" s="37" t="s">
        <v>255</v>
      </c>
      <c r="BY178" s="37" t="s">
        <v>255</v>
      </c>
      <c r="BZ178" s="37" t="s">
        <v>246</v>
      </c>
      <c r="CA178" s="123" t="s">
        <v>246</v>
      </c>
      <c r="CB178" s="223"/>
      <c r="CC178" s="37" t="s">
        <v>255</v>
      </c>
      <c r="CD178" s="37" t="s">
        <v>246</v>
      </c>
      <c r="CE178" s="37" t="s">
        <v>255</v>
      </c>
      <c r="CF178" s="37" t="s">
        <v>246</v>
      </c>
      <c r="CG178" s="37" t="s">
        <v>246</v>
      </c>
      <c r="CH178" s="37" t="s">
        <v>246</v>
      </c>
      <c r="CI178" s="37" t="s">
        <v>255</v>
      </c>
      <c r="CJ178" s="37" t="s">
        <v>255</v>
      </c>
      <c r="CK178" s="37" t="s">
        <v>255</v>
      </c>
      <c r="CL178" s="37" t="s">
        <v>255</v>
      </c>
      <c r="CM178" s="37" t="s">
        <v>255</v>
      </c>
      <c r="CN178" s="37" t="s">
        <v>255</v>
      </c>
      <c r="CO178" s="37" t="s">
        <v>255</v>
      </c>
      <c r="CP178" s="37" t="s">
        <v>255</v>
      </c>
      <c r="CQ178" s="37" t="s">
        <v>255</v>
      </c>
      <c r="CR178" s="123" t="s">
        <v>300</v>
      </c>
    </row>
    <row r="179" spans="1:96" ht="30" hidden="1" outlineLevel="2" x14ac:dyDescent="0.25">
      <c r="A179" s="133"/>
      <c r="B179" s="277" t="s">
        <v>349</v>
      </c>
      <c r="C179" s="278"/>
      <c r="D179" s="278"/>
      <c r="E179" s="278"/>
      <c r="F179" s="278"/>
      <c r="G179" s="278"/>
      <c r="H179" s="278"/>
      <c r="I179" s="278"/>
      <c r="J179" s="278"/>
      <c r="K179" s="278"/>
      <c r="L179" s="278"/>
      <c r="M179" s="278"/>
      <c r="N179" s="235">
        <f t="shared" si="268"/>
        <v>0</v>
      </c>
      <c r="O179" s="346"/>
      <c r="P179" s="278"/>
      <c r="Q179" s="378"/>
      <c r="R179" s="377"/>
      <c r="S179" s="278"/>
      <c r="T179" s="378"/>
      <c r="U179" s="377"/>
      <c r="V179" s="278"/>
      <c r="W179" s="378"/>
      <c r="X179" s="377"/>
      <c r="Y179" s="278"/>
      <c r="Z179" s="347"/>
      <c r="AA179" s="278"/>
      <c r="AB179" s="800"/>
      <c r="AD179" s="279"/>
      <c r="AE179" s="278"/>
      <c r="AF179" s="278"/>
      <c r="AG179" s="279"/>
      <c r="AH179" s="278"/>
      <c r="AI179" s="278"/>
      <c r="AJ179" s="279"/>
      <c r="AK179" s="278"/>
      <c r="AL179" s="278"/>
      <c r="AM179" s="279"/>
      <c r="AN179" s="278"/>
      <c r="AQ179" s="202"/>
      <c r="AZ179" s="203"/>
      <c r="BF179" s="203"/>
      <c r="BK179" s="203"/>
      <c r="BP179" s="203"/>
      <c r="BQ179" s="202"/>
      <c r="CA179" s="203"/>
      <c r="CR179" s="122"/>
    </row>
    <row r="180" spans="1:96" ht="30" hidden="1" outlineLevel="2" x14ac:dyDescent="0.25">
      <c r="A180" s="133"/>
      <c r="B180" s="277" t="s">
        <v>575</v>
      </c>
      <c r="C180" s="278"/>
      <c r="D180" s="278"/>
      <c r="E180" s="278"/>
      <c r="F180" s="278"/>
      <c r="G180" s="278"/>
      <c r="H180" s="278"/>
      <c r="I180" s="278"/>
      <c r="J180" s="278"/>
      <c r="K180" s="278"/>
      <c r="L180" s="278"/>
      <c r="M180" s="278"/>
      <c r="N180" s="235">
        <f t="shared" si="268"/>
        <v>0</v>
      </c>
      <c r="O180" s="346"/>
      <c r="P180" s="278"/>
      <c r="Q180" s="378"/>
      <c r="R180" s="377"/>
      <c r="S180" s="278"/>
      <c r="T180" s="378"/>
      <c r="U180" s="377"/>
      <c r="V180" s="278"/>
      <c r="W180" s="378"/>
      <c r="X180" s="377"/>
      <c r="Y180" s="278"/>
      <c r="Z180" s="347"/>
      <c r="AA180" s="278"/>
      <c r="AB180" s="800"/>
      <c r="AD180" s="279"/>
      <c r="AE180" s="278"/>
      <c r="AF180" s="278"/>
      <c r="AG180" s="279"/>
      <c r="AH180" s="278"/>
      <c r="AI180" s="278"/>
      <c r="AJ180" s="279"/>
      <c r="AK180" s="278"/>
      <c r="AL180" s="278"/>
      <c r="AM180" s="279"/>
      <c r="AN180" s="278"/>
      <c r="AQ180" s="202"/>
      <c r="AZ180" s="203"/>
      <c r="BF180" s="203"/>
      <c r="BK180" s="203"/>
      <c r="BP180" s="203"/>
      <c r="BQ180" s="202"/>
      <c r="CA180" s="203"/>
      <c r="CR180" s="122"/>
    </row>
    <row r="181" spans="1:96" ht="75" hidden="1" outlineLevel="2" x14ac:dyDescent="0.25">
      <c r="A181" s="133"/>
      <c r="B181" s="283" t="s">
        <v>556</v>
      </c>
      <c r="C181" s="284"/>
      <c r="D181" s="284"/>
      <c r="E181" s="284"/>
      <c r="F181" s="284"/>
      <c r="G181" s="284"/>
      <c r="H181" s="284"/>
      <c r="I181" s="284"/>
      <c r="J181" s="284"/>
      <c r="K181" s="284"/>
      <c r="L181" s="284"/>
      <c r="M181" s="284"/>
      <c r="N181" s="235">
        <f t="shared" si="268"/>
        <v>0</v>
      </c>
      <c r="O181" s="348"/>
      <c r="P181" s="284"/>
      <c r="Q181" s="380"/>
      <c r="R181" s="379"/>
      <c r="S181" s="284"/>
      <c r="T181" s="380"/>
      <c r="U181" s="379"/>
      <c r="V181" s="284"/>
      <c r="W181" s="380"/>
      <c r="X181" s="379"/>
      <c r="Y181" s="284"/>
      <c r="Z181" s="349"/>
      <c r="AA181" s="284"/>
      <c r="AB181" s="801"/>
      <c r="AD181" s="285"/>
      <c r="AE181" s="284"/>
      <c r="AF181" s="284"/>
      <c r="AG181" s="285"/>
      <c r="AH181" s="284"/>
      <c r="AI181" s="284"/>
      <c r="AJ181" s="285"/>
      <c r="AK181" s="284"/>
      <c r="AL181" s="284"/>
      <c r="AM181" s="285"/>
      <c r="AN181" s="284"/>
      <c r="AQ181" s="202"/>
      <c r="AZ181" s="203"/>
      <c r="BF181" s="203"/>
      <c r="BK181" s="203"/>
      <c r="BP181" s="203"/>
      <c r="BQ181" s="202"/>
      <c r="CA181" s="203"/>
      <c r="CR181" s="122"/>
    </row>
    <row r="182" spans="1:96" ht="30" hidden="1" outlineLevel="2" x14ac:dyDescent="0.25">
      <c r="A182" s="133"/>
      <c r="B182" s="277" t="s">
        <v>350</v>
      </c>
      <c r="C182" s="278"/>
      <c r="D182" s="278"/>
      <c r="E182" s="278"/>
      <c r="F182" s="278"/>
      <c r="G182" s="278"/>
      <c r="H182" s="278"/>
      <c r="I182" s="278"/>
      <c r="J182" s="278"/>
      <c r="K182" s="278"/>
      <c r="L182" s="278"/>
      <c r="M182" s="278"/>
      <c r="N182" s="235">
        <f t="shared" si="268"/>
        <v>0</v>
      </c>
      <c r="O182" s="346"/>
      <c r="P182" s="278"/>
      <c r="Q182" s="378"/>
      <c r="R182" s="377"/>
      <c r="S182" s="278"/>
      <c r="T182" s="378"/>
      <c r="U182" s="377"/>
      <c r="V182" s="278"/>
      <c r="W182" s="378"/>
      <c r="X182" s="377"/>
      <c r="Y182" s="278"/>
      <c r="Z182" s="347"/>
      <c r="AA182" s="278"/>
      <c r="AB182" s="800"/>
      <c r="AD182" s="279"/>
      <c r="AE182" s="278"/>
      <c r="AF182" s="278"/>
      <c r="AG182" s="279"/>
      <c r="AH182" s="278"/>
      <c r="AI182" s="278"/>
      <c r="AJ182" s="279"/>
      <c r="AK182" s="278"/>
      <c r="AL182" s="278"/>
      <c r="AM182" s="279"/>
      <c r="AN182" s="278"/>
      <c r="AQ182" s="202"/>
      <c r="AZ182" s="203"/>
      <c r="BF182" s="203"/>
      <c r="BK182" s="203"/>
      <c r="BP182" s="203"/>
      <c r="BQ182" s="202"/>
      <c r="CA182" s="203"/>
      <c r="CR182" s="122"/>
    </row>
    <row r="183" spans="1:96" ht="15.75" outlineLevel="1" collapsed="1" x14ac:dyDescent="0.25">
      <c r="A183" s="134" t="s">
        <v>439</v>
      </c>
      <c r="B183" s="114" t="s">
        <v>146</v>
      </c>
      <c r="C183" s="114"/>
      <c r="D183" s="114"/>
      <c r="E183" s="491"/>
      <c r="F183" s="109" t="s">
        <v>326</v>
      </c>
      <c r="G183" s="109" t="s">
        <v>953</v>
      </c>
      <c r="H183" s="111" t="s">
        <v>243</v>
      </c>
      <c r="I183" s="111" t="s">
        <v>242</v>
      </c>
      <c r="J183" s="111" t="s">
        <v>243</v>
      </c>
      <c r="K183" s="111" t="s">
        <v>242</v>
      </c>
      <c r="L183" s="111" t="s">
        <v>243</v>
      </c>
      <c r="M183" s="109">
        <v>10</v>
      </c>
      <c r="N183" s="235">
        <f t="shared" si="268"/>
        <v>10</v>
      </c>
      <c r="O183" s="200" t="str">
        <f t="shared" ref="O183" si="273">IF(AC183="ДА",$M183,"")</f>
        <v/>
      </c>
      <c r="P183" s="144"/>
      <c r="Q183" s="357">
        <f>IF(AC183="ДА",ROUNDUP(O183/5,0),0)</f>
        <v>0</v>
      </c>
      <c r="R183" s="356">
        <f>IF(AF183="ДА",$M183,"")</f>
        <v>10</v>
      </c>
      <c r="S183" s="144"/>
      <c r="T183" s="357">
        <f>IF(AF183="ДА",ROUNDUP(R183/5,0),0)</f>
        <v>2</v>
      </c>
      <c r="U183" s="356" t="str">
        <f>IF(AI183="ДА",$M183,"")</f>
        <v/>
      </c>
      <c r="V183" s="144"/>
      <c r="W183" s="357">
        <f>IF(AI183="ДА",ROUNDUP(U183/5,0),0)</f>
        <v>0</v>
      </c>
      <c r="X183" s="356" t="str">
        <f>IF(AL183="ДА",$M183,"")</f>
        <v/>
      </c>
      <c r="Y183" s="144"/>
      <c r="Z183" s="201">
        <f>IF(AL183="ДА",ROUNDUP(X183/5,0),0)</f>
        <v>0</v>
      </c>
      <c r="AA183" s="388" t="str">
        <f>IF(OR(AC183="ДА",AF183="ДА",AI183="ДА",AL183="ДА"),"ДА","НЕТ")</f>
        <v>ДА</v>
      </c>
      <c r="AB183" s="388"/>
      <c r="AC183" s="37" t="str">
        <f>IF(AC$8=$BT$9,$BT183,IF(AC$8=$BS$9,$BS183,IF(AC$8=$BU$9,$BU183,IF(AC$8=$BV$9,$BV183,IF(AC$8=$BW$9,$BW183,IF(AC$8=$BX$9,$BX183,IF(AC$8=$BY$9,$BY183,IF(AC$8=$BZ$9,$BZ183,IF(AC$8=$CA$9,$CA183,IF(AC$8=$CC$9,$CC183,IF(AC$8=$CD$9,$CD183,IF(AC$8=$CE$9,$CE183,IF(AC$8=$CF$9,$CF183,IF(AC$8=$CG$9,$CG183,IF(AC$8=$CH$9,$CH183,IF(AC$8=$CI$9,$CI183,IF(AC$8=$CJ$9,$CJ183,IF(AC$8=$CK$9,$CK183,IF(AC$8=$CL$9,$CL183,IF(AC$8=$CM$9,$CM183,IF(AC$8=$CN$9,$CN183,IF(AC$8=$CO$9,$CO183,IF(AC$8=$CP$9,$CP183,IF(AC$8=$CQ$9,$CQ183,"НЕТ"))))))))))))))))))))))))</f>
        <v>НЕТ</v>
      </c>
      <c r="AD183" s="37" t="str">
        <f>IF(AC183="НЕТ","Не требуется",$CR183)</f>
        <v>Не требуется</v>
      </c>
      <c r="AE183" s="37"/>
      <c r="AF183" s="37" t="str">
        <f t="shared" ref="AF183:AL183" si="274">IF(AF$8=$BT$9,$BT183,IF(AF$8=$BS$9,$BS183,IF(AF$8=$BU$9,$BU183,IF(AF$8=$BV$9,$BV183,IF(AF$8=$BW$9,$BW183,IF(AF$8=$BX$9,$BX183,IF(AF$8=$BY$9,$BY183,IF(AF$8=$BZ$9,$BZ183,IF(AF$8=$CA$9,$CA183,IF(AF$8=$CC$9,$CC183,IF(AF$8=$CD$9,$CD183,IF(AF$8=$CE$9,$CE183,IF(AF$8=$CF$9,$CF183,IF(AF$8=$CG$9,$CG183,IF(AF$8=$CH$9,$CH183,IF(AF$8=$CI$9,$CI183,IF(AF$8=$CJ$9,$CJ183,IF(AF$8=$CK$9,$CK183,IF(AF$8=$CL$9,$CL183,IF(AF$8=$CM$9,$CM183,IF(AF$8=$CN$9,$CN183,IF(AF$8=$CO$9,$CO183,IF(AF$8=$CP$9,$CP183,IF(AF$8=$CQ$9,$CQ183,"НЕТ"))))))))))))))))))))))))</f>
        <v>ДА</v>
      </c>
      <c r="AG183" s="37" t="str">
        <f t="shared" si="274"/>
        <v>НЕТ</v>
      </c>
      <c r="AH183" s="37" t="str">
        <f t="shared" si="274"/>
        <v>НЕТ</v>
      </c>
      <c r="AI183" s="37" t="str">
        <f t="shared" si="274"/>
        <v>НЕТ</v>
      </c>
      <c r="AJ183" s="37" t="str">
        <f t="shared" si="274"/>
        <v>НЕТ</v>
      </c>
      <c r="AK183" s="37" t="str">
        <f t="shared" si="274"/>
        <v>НЕТ</v>
      </c>
      <c r="AL183" s="37" t="str">
        <f t="shared" si="274"/>
        <v>НЕТ</v>
      </c>
      <c r="AM183" s="37" t="str">
        <f>IF(AL183="НЕТ","Не требуется",$CR183)</f>
        <v>Не требуется</v>
      </c>
      <c r="AN183" s="37"/>
      <c r="AQ183" s="200"/>
      <c r="AR183" s="230"/>
      <c r="AS183" s="144" t="str">
        <f>IF(BS183="ДА",$M183,"")</f>
        <v/>
      </c>
      <c r="AT183" s="144" t="str">
        <f t="shared" ref="AT183:AV183" si="275">IF(BT183="ДА",$M183,"")</f>
        <v/>
      </c>
      <c r="AU183" s="144" t="str">
        <f t="shared" si="275"/>
        <v/>
      </c>
      <c r="AV183" s="144" t="str">
        <f t="shared" si="275"/>
        <v/>
      </c>
      <c r="AW183" s="144" t="str">
        <f>IF(BX183="ДА",$M183,"")</f>
        <v/>
      </c>
      <c r="AX183" s="144" t="str">
        <f>IF(BY183="ДА",$M183,"")</f>
        <v/>
      </c>
      <c r="AY183" s="144">
        <f>IF(BZ183="ДА",$M183,"")</f>
        <v>10</v>
      </c>
      <c r="AZ183" s="201">
        <f>IF(CA183="ДА",$M183,"")</f>
        <v>10</v>
      </c>
      <c r="BA183" s="235"/>
      <c r="BB183" s="144" t="str">
        <f t="shared" ref="BB183:BP183" si="276">IF(CC183="ДА",$M183,"")</f>
        <v/>
      </c>
      <c r="BC183" s="144">
        <f t="shared" si="276"/>
        <v>10</v>
      </c>
      <c r="BD183" s="144" t="str">
        <f t="shared" si="276"/>
        <v/>
      </c>
      <c r="BE183" s="144" t="str">
        <f t="shared" si="276"/>
        <v/>
      </c>
      <c r="BF183" s="201" t="str">
        <f t="shared" si="276"/>
        <v/>
      </c>
      <c r="BG183" s="144">
        <f t="shared" si="276"/>
        <v>10</v>
      </c>
      <c r="BH183" s="144" t="str">
        <f t="shared" si="276"/>
        <v/>
      </c>
      <c r="BI183" s="144" t="str">
        <f t="shared" si="276"/>
        <v/>
      </c>
      <c r="BJ183" s="144" t="str">
        <f t="shared" si="276"/>
        <v/>
      </c>
      <c r="BK183" s="201" t="str">
        <f t="shared" si="276"/>
        <v/>
      </c>
      <c r="BL183" s="144" t="str">
        <f t="shared" si="276"/>
        <v/>
      </c>
      <c r="BM183" s="144" t="str">
        <f t="shared" si="276"/>
        <v/>
      </c>
      <c r="BN183" s="144" t="str">
        <f t="shared" si="276"/>
        <v/>
      </c>
      <c r="BO183" s="144" t="str">
        <f t="shared" si="276"/>
        <v/>
      </c>
      <c r="BP183" s="201" t="str">
        <f t="shared" si="276"/>
        <v/>
      </c>
      <c r="BQ183" s="209"/>
      <c r="BR183" s="388"/>
      <c r="BS183" s="37" t="s">
        <v>255</v>
      </c>
      <c r="BT183" s="37" t="s">
        <v>255</v>
      </c>
      <c r="BU183" s="37" t="s">
        <v>255</v>
      </c>
      <c r="BV183" s="37" t="s">
        <v>255</v>
      </c>
      <c r="BW183" s="37" t="s">
        <v>255</v>
      </c>
      <c r="BX183" s="37" t="s">
        <v>255</v>
      </c>
      <c r="BY183" s="37" t="s">
        <v>255</v>
      </c>
      <c r="BZ183" s="37" t="s">
        <v>246</v>
      </c>
      <c r="CA183" s="123" t="s">
        <v>246</v>
      </c>
      <c r="CB183" s="223"/>
      <c r="CC183" s="37" t="s">
        <v>255</v>
      </c>
      <c r="CD183" s="37" t="s">
        <v>246</v>
      </c>
      <c r="CE183" s="37" t="s">
        <v>255</v>
      </c>
      <c r="CF183" s="37" t="s">
        <v>255</v>
      </c>
      <c r="CG183" s="37" t="s">
        <v>255</v>
      </c>
      <c r="CH183" s="37" t="s">
        <v>246</v>
      </c>
      <c r="CI183" s="37" t="s">
        <v>255</v>
      </c>
      <c r="CJ183" s="37" t="s">
        <v>255</v>
      </c>
      <c r="CK183" s="37" t="s">
        <v>255</v>
      </c>
      <c r="CL183" s="37" t="s">
        <v>255</v>
      </c>
      <c r="CM183" s="37" t="s">
        <v>255</v>
      </c>
      <c r="CN183" s="37" t="s">
        <v>255</v>
      </c>
      <c r="CO183" s="37" t="s">
        <v>255</v>
      </c>
      <c r="CP183" s="37" t="s">
        <v>255</v>
      </c>
      <c r="CQ183" s="37" t="s">
        <v>255</v>
      </c>
      <c r="CR183" s="123" t="s">
        <v>300</v>
      </c>
    </row>
    <row r="184" spans="1:96" ht="30" hidden="1" outlineLevel="2" x14ac:dyDescent="0.25">
      <c r="A184" s="133"/>
      <c r="B184" s="253" t="s">
        <v>351</v>
      </c>
      <c r="C184" s="254"/>
      <c r="D184" s="254"/>
      <c r="E184" s="254"/>
      <c r="F184" s="254"/>
      <c r="G184" s="254"/>
      <c r="H184" s="254"/>
      <c r="I184" s="254"/>
      <c r="J184" s="254"/>
      <c r="K184" s="254"/>
      <c r="L184" s="254"/>
      <c r="M184" s="254"/>
      <c r="N184" s="235">
        <f t="shared" si="268"/>
        <v>0</v>
      </c>
      <c r="O184" s="329"/>
      <c r="P184" s="254"/>
      <c r="Q184" s="361"/>
      <c r="R184" s="360"/>
      <c r="S184" s="254"/>
      <c r="T184" s="361"/>
      <c r="U184" s="360"/>
      <c r="V184" s="254"/>
      <c r="W184" s="361"/>
      <c r="X184" s="360"/>
      <c r="Y184" s="254"/>
      <c r="Z184" s="330"/>
      <c r="AA184" s="254"/>
      <c r="AB184" s="793"/>
      <c r="AD184" s="255"/>
      <c r="AE184" s="254"/>
      <c r="AF184" s="254"/>
      <c r="AG184" s="255"/>
      <c r="AH184" s="254"/>
      <c r="AI184" s="254"/>
      <c r="AJ184" s="255"/>
      <c r="AK184" s="254"/>
      <c r="AL184" s="254"/>
      <c r="AM184" s="255"/>
      <c r="AN184" s="254"/>
      <c r="AQ184" s="202"/>
      <c r="AZ184" s="203"/>
      <c r="BF184" s="203"/>
      <c r="BK184" s="203"/>
      <c r="BP184" s="203"/>
      <c r="BQ184" s="202"/>
      <c r="CA184" s="203"/>
      <c r="CR184" s="123" t="s">
        <v>300</v>
      </c>
    </row>
    <row r="185" spans="1:96" ht="30" hidden="1" outlineLevel="2" x14ac:dyDescent="0.25">
      <c r="A185" s="133"/>
      <c r="B185" s="280" t="s">
        <v>148</v>
      </c>
      <c r="C185" s="281"/>
      <c r="D185" s="281"/>
      <c r="E185" s="281"/>
      <c r="F185" s="281"/>
      <c r="G185" s="281"/>
      <c r="H185" s="281"/>
      <c r="I185" s="281"/>
      <c r="J185" s="281"/>
      <c r="K185" s="281"/>
      <c r="L185" s="281"/>
      <c r="M185" s="281"/>
      <c r="N185" s="235">
        <f t="shared" si="268"/>
        <v>0</v>
      </c>
      <c r="O185" s="350"/>
      <c r="P185" s="281"/>
      <c r="Q185" s="382"/>
      <c r="R185" s="381"/>
      <c r="S185" s="281"/>
      <c r="T185" s="382"/>
      <c r="U185" s="381"/>
      <c r="V185" s="281"/>
      <c r="W185" s="382"/>
      <c r="X185" s="381"/>
      <c r="Y185" s="281"/>
      <c r="Z185" s="351"/>
      <c r="AA185" s="281"/>
      <c r="AB185" s="802"/>
      <c r="AD185" s="282"/>
      <c r="AE185" s="281"/>
      <c r="AF185" s="281"/>
      <c r="AG185" s="282"/>
      <c r="AH185" s="281"/>
      <c r="AI185" s="281"/>
      <c r="AJ185" s="282"/>
      <c r="AK185" s="281"/>
      <c r="AL185" s="281"/>
      <c r="AM185" s="282"/>
      <c r="AN185" s="281"/>
      <c r="AQ185" s="202"/>
      <c r="AZ185" s="203"/>
      <c r="BF185" s="203"/>
      <c r="BK185" s="203"/>
      <c r="BP185" s="203"/>
      <c r="BQ185" s="202"/>
      <c r="CA185" s="203"/>
      <c r="CR185" s="123" t="s">
        <v>300</v>
      </c>
    </row>
    <row r="186" spans="1:96" ht="30" hidden="1" outlineLevel="2" x14ac:dyDescent="0.25">
      <c r="A186" s="133"/>
      <c r="B186" s="280" t="s">
        <v>352</v>
      </c>
      <c r="C186" s="281"/>
      <c r="D186" s="281"/>
      <c r="E186" s="281"/>
      <c r="F186" s="281"/>
      <c r="G186" s="281"/>
      <c r="H186" s="281"/>
      <c r="I186" s="281"/>
      <c r="J186" s="281"/>
      <c r="K186" s="281"/>
      <c r="L186" s="281"/>
      <c r="M186" s="281"/>
      <c r="N186" s="235">
        <f t="shared" si="268"/>
        <v>0</v>
      </c>
      <c r="O186" s="350"/>
      <c r="P186" s="281"/>
      <c r="Q186" s="382"/>
      <c r="R186" s="381"/>
      <c r="S186" s="281"/>
      <c r="T186" s="382"/>
      <c r="U186" s="381"/>
      <c r="V186" s="281"/>
      <c r="W186" s="382"/>
      <c r="X186" s="381"/>
      <c r="Y186" s="281"/>
      <c r="Z186" s="351"/>
      <c r="AA186" s="281"/>
      <c r="AB186" s="802"/>
      <c r="AD186" s="282"/>
      <c r="AE186" s="281"/>
      <c r="AF186" s="281"/>
      <c r="AG186" s="282"/>
      <c r="AH186" s="281"/>
      <c r="AI186" s="281"/>
      <c r="AJ186" s="282"/>
      <c r="AK186" s="281"/>
      <c r="AL186" s="281"/>
      <c r="AM186" s="282"/>
      <c r="AN186" s="281"/>
      <c r="AQ186" s="202"/>
      <c r="AZ186" s="203"/>
      <c r="BF186" s="203"/>
      <c r="BK186" s="203"/>
      <c r="BP186" s="203"/>
      <c r="BQ186" s="202"/>
      <c r="CA186" s="203"/>
      <c r="CR186" s="123" t="s">
        <v>300</v>
      </c>
    </row>
    <row r="187" spans="1:96" ht="15.75" outlineLevel="1" collapsed="1" x14ac:dyDescent="0.25">
      <c r="A187" s="134" t="s">
        <v>440</v>
      </c>
      <c r="B187" s="114" t="s">
        <v>149</v>
      </c>
      <c r="C187" s="114"/>
      <c r="D187" s="114"/>
      <c r="E187" s="491"/>
      <c r="F187" s="109" t="s">
        <v>326</v>
      </c>
      <c r="G187" s="109" t="s">
        <v>953</v>
      </c>
      <c r="H187" s="111" t="s">
        <v>243</v>
      </c>
      <c r="I187" s="111" t="s">
        <v>242</v>
      </c>
      <c r="J187" s="111" t="s">
        <v>243</v>
      </c>
      <c r="K187" s="111" t="s">
        <v>242</v>
      </c>
      <c r="L187" s="111" t="s">
        <v>243</v>
      </c>
      <c r="M187" s="109">
        <v>2</v>
      </c>
      <c r="N187" s="235">
        <f t="shared" si="268"/>
        <v>2</v>
      </c>
      <c r="O187" s="200" t="str">
        <f t="shared" ref="O187" si="277">IF(AC187="ДА",$M187,"")</f>
        <v/>
      </c>
      <c r="P187" s="144"/>
      <c r="Q187" s="357">
        <f>IF(AC187="ДА",ROUNDUP(O187/5,0),0)</f>
        <v>0</v>
      </c>
      <c r="R187" s="356">
        <f>IF(AF187="ДА",$M187,"")</f>
        <v>2</v>
      </c>
      <c r="S187" s="144"/>
      <c r="T187" s="357">
        <f>IF(AF187="ДА",ROUNDUP(R187/5,0),0)</f>
        <v>1</v>
      </c>
      <c r="U187" s="356" t="str">
        <f>IF(AI187="ДА",$M187,"")</f>
        <v/>
      </c>
      <c r="V187" s="144"/>
      <c r="W187" s="357">
        <f>IF(AI187="ДА",ROUNDUP(U187/5,0),0)</f>
        <v>0</v>
      </c>
      <c r="X187" s="356" t="str">
        <f>IF(AL187="ДА",$M187,"")</f>
        <v/>
      </c>
      <c r="Y187" s="144"/>
      <c r="Z187" s="201">
        <f>IF(AL187="ДА",ROUNDUP(X187/5,0),0)</f>
        <v>0</v>
      </c>
      <c r="AA187" s="388" t="str">
        <f>IF(OR(AC187="ДА",AF187="ДА",AI187="ДА",AL187="ДА"),"ДА","НЕТ")</f>
        <v>ДА</v>
      </c>
      <c r="AB187" s="388"/>
      <c r="AC187" s="37" t="str">
        <f>IF(AC$8=$BT$9,$BT187,IF(AC$8=$BS$9,$BS187,IF(AC$8=$BU$9,$BU187,IF(AC$8=$BV$9,$BV187,IF(AC$8=$BW$9,$BW187,IF(AC$8=$BX$9,$BX187,IF(AC$8=$BY$9,$BY187,IF(AC$8=$BZ$9,$BZ187,IF(AC$8=$CA$9,$CA187,IF(AC$8=$CC$9,$CC187,IF(AC$8=$CD$9,$CD187,IF(AC$8=$CE$9,$CE187,IF(AC$8=$CF$9,$CF187,IF(AC$8=$CG$9,$CG187,IF(AC$8=$CH$9,$CH187,IF(AC$8=$CI$9,$CI187,IF(AC$8=$CJ$9,$CJ187,IF(AC$8=$CK$9,$CK187,IF(AC$8=$CL$9,$CL187,IF(AC$8=$CM$9,$CM187,IF(AC$8=$CN$9,$CN187,IF(AC$8=$CO$9,$CO187,IF(AC$8=$CP$9,$CP187,IF(AC$8=$CQ$9,$CQ187,"НЕТ"))))))))))))))))))))))))</f>
        <v>НЕТ</v>
      </c>
      <c r="AD187" s="37" t="str">
        <f>IF(AC187="НЕТ","Не требуется",$CR187)</f>
        <v>Не требуется</v>
      </c>
      <c r="AE187" s="37"/>
      <c r="AF187" s="37" t="str">
        <f t="shared" ref="AF187:AL187" si="278">IF(AF$8=$BT$9,$BT187,IF(AF$8=$BS$9,$BS187,IF(AF$8=$BU$9,$BU187,IF(AF$8=$BV$9,$BV187,IF(AF$8=$BW$9,$BW187,IF(AF$8=$BX$9,$BX187,IF(AF$8=$BY$9,$BY187,IF(AF$8=$BZ$9,$BZ187,IF(AF$8=$CA$9,$CA187,IF(AF$8=$CC$9,$CC187,IF(AF$8=$CD$9,$CD187,IF(AF$8=$CE$9,$CE187,IF(AF$8=$CF$9,$CF187,IF(AF$8=$CG$9,$CG187,IF(AF$8=$CH$9,$CH187,IF(AF$8=$CI$9,$CI187,IF(AF$8=$CJ$9,$CJ187,IF(AF$8=$CK$9,$CK187,IF(AF$8=$CL$9,$CL187,IF(AF$8=$CM$9,$CM187,IF(AF$8=$CN$9,$CN187,IF(AF$8=$CO$9,$CO187,IF(AF$8=$CP$9,$CP187,IF(AF$8=$CQ$9,$CQ187,"НЕТ"))))))))))))))))))))))))</f>
        <v>ДА</v>
      </c>
      <c r="AG187" s="37" t="str">
        <f t="shared" si="278"/>
        <v>НЕТ</v>
      </c>
      <c r="AH187" s="37" t="str">
        <f t="shared" si="278"/>
        <v>НЕТ</v>
      </c>
      <c r="AI187" s="37" t="str">
        <f t="shared" si="278"/>
        <v>НЕТ</v>
      </c>
      <c r="AJ187" s="37" t="str">
        <f t="shared" si="278"/>
        <v>НЕТ</v>
      </c>
      <c r="AK187" s="37" t="str">
        <f t="shared" si="278"/>
        <v>НЕТ</v>
      </c>
      <c r="AL187" s="37" t="str">
        <f t="shared" si="278"/>
        <v>НЕТ</v>
      </c>
      <c r="AM187" s="37" t="str">
        <f>IF(AL187="НЕТ","Не требуется",$CR187)</f>
        <v>Не требуется</v>
      </c>
      <c r="AN187" s="37"/>
      <c r="AQ187" s="200"/>
      <c r="AR187" s="230"/>
      <c r="AS187" s="144" t="str">
        <f>IF(BS187="ДА",$M187,"")</f>
        <v/>
      </c>
      <c r="AT187" s="144" t="str">
        <f t="shared" ref="AT187:AV187" si="279">IF(BT187="ДА",$M187,"")</f>
        <v/>
      </c>
      <c r="AU187" s="144" t="str">
        <f t="shared" si="279"/>
        <v/>
      </c>
      <c r="AV187" s="144" t="str">
        <f t="shared" si="279"/>
        <v/>
      </c>
      <c r="AW187" s="144" t="str">
        <f>IF(BX187="ДА",$M187,"")</f>
        <v/>
      </c>
      <c r="AX187" s="144" t="str">
        <f>IF(BY187="ДА",$M187,"")</f>
        <v/>
      </c>
      <c r="AY187" s="144">
        <f>IF(BZ187="ДА",$M187,"")</f>
        <v>2</v>
      </c>
      <c r="AZ187" s="201">
        <f>IF(CA187="ДА",$M187,"")</f>
        <v>2</v>
      </c>
      <c r="BA187" s="235"/>
      <c r="BB187" s="144" t="str">
        <f t="shared" ref="BB187:BP187" si="280">IF(CC187="ДА",$M187,"")</f>
        <v/>
      </c>
      <c r="BC187" s="144">
        <f t="shared" si="280"/>
        <v>2</v>
      </c>
      <c r="BD187" s="144" t="str">
        <f t="shared" si="280"/>
        <v/>
      </c>
      <c r="BE187" s="144" t="str">
        <f t="shared" si="280"/>
        <v/>
      </c>
      <c r="BF187" s="201" t="str">
        <f t="shared" si="280"/>
        <v/>
      </c>
      <c r="BG187" s="144" t="str">
        <f t="shared" si="280"/>
        <v/>
      </c>
      <c r="BH187" s="144" t="str">
        <f t="shared" si="280"/>
        <v/>
      </c>
      <c r="BI187" s="144" t="str">
        <f t="shared" si="280"/>
        <v/>
      </c>
      <c r="BJ187" s="144" t="str">
        <f t="shared" si="280"/>
        <v/>
      </c>
      <c r="BK187" s="201" t="str">
        <f t="shared" si="280"/>
        <v/>
      </c>
      <c r="BL187" s="144" t="str">
        <f t="shared" si="280"/>
        <v/>
      </c>
      <c r="BM187" s="144" t="str">
        <f t="shared" si="280"/>
        <v/>
      </c>
      <c r="BN187" s="144" t="str">
        <f t="shared" si="280"/>
        <v/>
      </c>
      <c r="BO187" s="144" t="str">
        <f t="shared" si="280"/>
        <v/>
      </c>
      <c r="BP187" s="201" t="str">
        <f t="shared" si="280"/>
        <v/>
      </c>
      <c r="BQ187" s="209"/>
      <c r="BR187" s="388"/>
      <c r="BS187" s="37" t="s">
        <v>255</v>
      </c>
      <c r="BT187" s="37" t="s">
        <v>255</v>
      </c>
      <c r="BU187" s="37" t="s">
        <v>255</v>
      </c>
      <c r="BV187" s="37" t="s">
        <v>255</v>
      </c>
      <c r="BW187" s="37" t="s">
        <v>255</v>
      </c>
      <c r="BX187" s="37" t="s">
        <v>255</v>
      </c>
      <c r="BY187" s="37" t="s">
        <v>255</v>
      </c>
      <c r="BZ187" s="37" t="s">
        <v>246</v>
      </c>
      <c r="CA187" s="123" t="s">
        <v>246</v>
      </c>
      <c r="CB187" s="223"/>
      <c r="CC187" s="37" t="s">
        <v>255</v>
      </c>
      <c r="CD187" s="37" t="s">
        <v>246</v>
      </c>
      <c r="CE187" s="37" t="s">
        <v>255</v>
      </c>
      <c r="CF187" s="37" t="s">
        <v>255</v>
      </c>
      <c r="CG187" s="37" t="s">
        <v>255</v>
      </c>
      <c r="CH187" s="37" t="s">
        <v>255</v>
      </c>
      <c r="CI187" s="37" t="s">
        <v>255</v>
      </c>
      <c r="CJ187" s="37" t="s">
        <v>255</v>
      </c>
      <c r="CK187" s="37" t="s">
        <v>255</v>
      </c>
      <c r="CL187" s="37" t="s">
        <v>255</v>
      </c>
      <c r="CM187" s="37" t="s">
        <v>255</v>
      </c>
      <c r="CN187" s="37" t="s">
        <v>255</v>
      </c>
      <c r="CO187" s="37" t="s">
        <v>255</v>
      </c>
      <c r="CP187" s="37" t="s">
        <v>255</v>
      </c>
      <c r="CQ187" s="37" t="s">
        <v>255</v>
      </c>
      <c r="CR187" s="123" t="s">
        <v>300</v>
      </c>
    </row>
    <row r="188" spans="1:96" hidden="1" outlineLevel="2" x14ac:dyDescent="0.25">
      <c r="A188" s="133"/>
      <c r="B188" s="253" t="s">
        <v>150</v>
      </c>
      <c r="C188" s="254"/>
      <c r="D188" s="254"/>
      <c r="E188" s="254"/>
      <c r="F188" s="254"/>
      <c r="G188" s="254"/>
      <c r="H188" s="254"/>
      <c r="I188" s="254"/>
      <c r="J188" s="254"/>
      <c r="K188" s="254"/>
      <c r="L188" s="254"/>
      <c r="M188" s="254"/>
      <c r="N188" s="235">
        <f t="shared" si="268"/>
        <v>0</v>
      </c>
      <c r="O188" s="329"/>
      <c r="P188" s="254"/>
      <c r="Q188" s="361"/>
      <c r="R188" s="360"/>
      <c r="S188" s="254"/>
      <c r="T188" s="361"/>
      <c r="U188" s="360"/>
      <c r="V188" s="254"/>
      <c r="W188" s="361"/>
      <c r="X188" s="360"/>
      <c r="Y188" s="254"/>
      <c r="Z188" s="330"/>
      <c r="AA188" s="254"/>
      <c r="AB188" s="793"/>
      <c r="AD188" s="255"/>
      <c r="AE188" s="254"/>
      <c r="AF188" s="254"/>
      <c r="AG188" s="255"/>
      <c r="AH188" s="254"/>
      <c r="AI188" s="254"/>
      <c r="AJ188" s="255"/>
      <c r="AK188" s="254"/>
      <c r="AL188" s="254"/>
      <c r="AM188" s="255"/>
      <c r="AN188" s="254"/>
      <c r="AQ188" s="202"/>
      <c r="AZ188" s="203"/>
      <c r="BF188" s="203"/>
      <c r="BK188" s="203"/>
      <c r="BP188" s="203"/>
      <c r="BQ188" s="202"/>
      <c r="CA188" s="203"/>
      <c r="CR188" s="123" t="s">
        <v>300</v>
      </c>
    </row>
    <row r="189" spans="1:96" ht="30" hidden="1" outlineLevel="2" x14ac:dyDescent="0.25">
      <c r="A189" s="133"/>
      <c r="B189" s="253" t="s">
        <v>353</v>
      </c>
      <c r="C189" s="254"/>
      <c r="D189" s="254"/>
      <c r="E189" s="254"/>
      <c r="F189" s="254"/>
      <c r="G189" s="254"/>
      <c r="H189" s="254"/>
      <c r="I189" s="254"/>
      <c r="J189" s="254"/>
      <c r="K189" s="254"/>
      <c r="L189" s="254"/>
      <c r="M189" s="254"/>
      <c r="N189" s="235">
        <f t="shared" si="268"/>
        <v>0</v>
      </c>
      <c r="O189" s="329"/>
      <c r="P189" s="254"/>
      <c r="Q189" s="361"/>
      <c r="R189" s="360"/>
      <c r="S189" s="254"/>
      <c r="T189" s="361"/>
      <c r="U189" s="360"/>
      <c r="V189" s="254"/>
      <c r="W189" s="361"/>
      <c r="X189" s="360"/>
      <c r="Y189" s="254"/>
      <c r="Z189" s="330"/>
      <c r="AA189" s="254"/>
      <c r="AB189" s="793"/>
      <c r="AD189" s="255"/>
      <c r="AE189" s="254"/>
      <c r="AF189" s="254"/>
      <c r="AG189" s="255"/>
      <c r="AH189" s="254"/>
      <c r="AI189" s="254"/>
      <c r="AJ189" s="255"/>
      <c r="AK189" s="254"/>
      <c r="AL189" s="254"/>
      <c r="AM189" s="255"/>
      <c r="AN189" s="254"/>
      <c r="AQ189" s="202"/>
      <c r="AZ189" s="203"/>
      <c r="BF189" s="203"/>
      <c r="BK189" s="203"/>
      <c r="BP189" s="203"/>
      <c r="BQ189" s="202"/>
      <c r="CA189" s="203"/>
      <c r="CR189" s="123" t="s">
        <v>300</v>
      </c>
    </row>
    <row r="190" spans="1:96" ht="15.75" outlineLevel="1" collapsed="1" x14ac:dyDescent="0.25">
      <c r="A190" s="134" t="s">
        <v>441</v>
      </c>
      <c r="B190" s="115" t="s">
        <v>152</v>
      </c>
      <c r="C190" s="115"/>
      <c r="D190" s="115"/>
      <c r="E190" s="146"/>
      <c r="F190" s="109" t="s">
        <v>326</v>
      </c>
      <c r="G190" s="109" t="s">
        <v>953</v>
      </c>
      <c r="H190" s="111" t="s">
        <v>243</v>
      </c>
      <c r="I190" s="111" t="s">
        <v>242</v>
      </c>
      <c r="J190" s="111" t="s">
        <v>243</v>
      </c>
      <c r="K190" s="111" t="s">
        <v>242</v>
      </c>
      <c r="L190" s="111" t="s">
        <v>243</v>
      </c>
      <c r="M190" s="109">
        <v>5</v>
      </c>
      <c r="N190" s="235">
        <f t="shared" si="268"/>
        <v>5</v>
      </c>
      <c r="O190" s="200" t="str">
        <f t="shared" ref="O190" si="281">IF(AC190="ДА",$M190,"")</f>
        <v/>
      </c>
      <c r="P190" s="144"/>
      <c r="Q190" s="357">
        <f>IF(AC190="ДА",ROUNDUP(O190/5,0),0)</f>
        <v>0</v>
      </c>
      <c r="R190" s="356">
        <f>IF(AF190="ДА",$M190,"")</f>
        <v>5</v>
      </c>
      <c r="S190" s="144"/>
      <c r="T190" s="357">
        <f>IF(AF190="ДА",ROUNDUP(R190/5,0),0)</f>
        <v>1</v>
      </c>
      <c r="U190" s="356" t="str">
        <f>IF(AI190="ДА",$M190,"")</f>
        <v/>
      </c>
      <c r="V190" s="144"/>
      <c r="W190" s="357">
        <f>IF(AI190="ДА",ROUNDUP(U190/5,0),0)</f>
        <v>0</v>
      </c>
      <c r="X190" s="356" t="str">
        <f>IF(AL190="ДА",$M190,"")</f>
        <v/>
      </c>
      <c r="Y190" s="144"/>
      <c r="Z190" s="201">
        <f>IF(AL190="ДА",ROUNDUP(X190/5,0),0)</f>
        <v>0</v>
      </c>
      <c r="AA190" s="388" t="str">
        <f>IF(OR(AC190="ДА",AF190="ДА",AI190="ДА",AL190="ДА"),"ДА","НЕТ")</f>
        <v>ДА</v>
      </c>
      <c r="AB190" s="388"/>
      <c r="AC190" s="37" t="str">
        <f>IF(AC$8=$BT$9,$BT190,IF(AC$8=$BS$9,$BS190,IF(AC$8=$BU$9,$BU190,IF(AC$8=$BV$9,$BV190,IF(AC$8=$BW$9,$BW190,IF(AC$8=$BX$9,$BX190,IF(AC$8=$BY$9,$BY190,IF(AC$8=$BZ$9,$BZ190,IF(AC$8=$CA$9,$CA190,IF(AC$8=$CC$9,$CC190,IF(AC$8=$CD$9,$CD190,IF(AC$8=$CE$9,$CE190,IF(AC$8=$CF$9,$CF190,IF(AC$8=$CG$9,$CG190,IF(AC$8=$CH$9,$CH190,IF(AC$8=$CI$9,$CI190,IF(AC$8=$CJ$9,$CJ190,IF(AC$8=$CK$9,$CK190,IF(AC$8=$CL$9,$CL190,IF(AC$8=$CM$9,$CM190,IF(AC$8=$CN$9,$CN190,IF(AC$8=$CO$9,$CO190,IF(AC$8=$CP$9,$CP190,IF(AC$8=$CQ$9,$CQ190,"НЕТ"))))))))))))))))))))))))</f>
        <v>НЕТ</v>
      </c>
      <c r="AD190" s="37" t="str">
        <f>IF(AC190="НЕТ","Не требуется",$CR190)</f>
        <v>Не требуется</v>
      </c>
      <c r="AE190" s="37"/>
      <c r="AF190" s="37" t="str">
        <f t="shared" ref="AF190:AL190" si="282">IF(AF$8=$BT$9,$BT190,IF(AF$8=$BS$9,$BS190,IF(AF$8=$BU$9,$BU190,IF(AF$8=$BV$9,$BV190,IF(AF$8=$BW$9,$BW190,IF(AF$8=$BX$9,$BX190,IF(AF$8=$BY$9,$BY190,IF(AF$8=$BZ$9,$BZ190,IF(AF$8=$CA$9,$CA190,IF(AF$8=$CC$9,$CC190,IF(AF$8=$CD$9,$CD190,IF(AF$8=$CE$9,$CE190,IF(AF$8=$CF$9,$CF190,IF(AF$8=$CG$9,$CG190,IF(AF$8=$CH$9,$CH190,IF(AF$8=$CI$9,$CI190,IF(AF$8=$CJ$9,$CJ190,IF(AF$8=$CK$9,$CK190,IF(AF$8=$CL$9,$CL190,IF(AF$8=$CM$9,$CM190,IF(AF$8=$CN$9,$CN190,IF(AF$8=$CO$9,$CO190,IF(AF$8=$CP$9,$CP190,IF(AF$8=$CQ$9,$CQ190,"НЕТ"))))))))))))))))))))))))</f>
        <v>ДА</v>
      </c>
      <c r="AG190" s="37" t="str">
        <f t="shared" si="282"/>
        <v>НЕТ</v>
      </c>
      <c r="AH190" s="37" t="str">
        <f t="shared" si="282"/>
        <v>НЕТ</v>
      </c>
      <c r="AI190" s="37" t="str">
        <f t="shared" si="282"/>
        <v>НЕТ</v>
      </c>
      <c r="AJ190" s="37" t="str">
        <f t="shared" si="282"/>
        <v>НЕТ</v>
      </c>
      <c r="AK190" s="37" t="str">
        <f t="shared" si="282"/>
        <v>НЕТ</v>
      </c>
      <c r="AL190" s="37" t="str">
        <f t="shared" si="282"/>
        <v>НЕТ</v>
      </c>
      <c r="AM190" s="37" t="str">
        <f>IF(AL190="НЕТ","Не требуется",$CR190)</f>
        <v>Не требуется</v>
      </c>
      <c r="AN190" s="37"/>
      <c r="AQ190" s="200"/>
      <c r="AR190" s="230"/>
      <c r="AS190" s="144" t="str">
        <f>IF(BS190="ДА",$M190,"")</f>
        <v/>
      </c>
      <c r="AT190" s="144" t="str">
        <f t="shared" ref="AT190:AV190" si="283">IF(BT190="ДА",$M190,"")</f>
        <v/>
      </c>
      <c r="AU190" s="144" t="str">
        <f t="shared" si="283"/>
        <v/>
      </c>
      <c r="AV190" s="144" t="str">
        <f t="shared" si="283"/>
        <v/>
      </c>
      <c r="AW190" s="144" t="str">
        <f>IF(BX190="ДА",$M190,"")</f>
        <v/>
      </c>
      <c r="AX190" s="144">
        <f>IF(BY190="ДА",$M190,"")</f>
        <v>5</v>
      </c>
      <c r="AY190" s="144">
        <f>IF(BZ190="ДА",$M190,"")</f>
        <v>5</v>
      </c>
      <c r="AZ190" s="201">
        <f>IF(CA190="ДА",$M190,"")</f>
        <v>5</v>
      </c>
      <c r="BA190" s="235"/>
      <c r="BB190" s="144" t="str">
        <f t="shared" ref="BB190:BP190" si="284">IF(CC190="ДА",$M190,"")</f>
        <v/>
      </c>
      <c r="BC190" s="144" t="str">
        <f t="shared" si="284"/>
        <v/>
      </c>
      <c r="BD190" s="144" t="str">
        <f t="shared" si="284"/>
        <v/>
      </c>
      <c r="BE190" s="144" t="str">
        <f t="shared" si="284"/>
        <v/>
      </c>
      <c r="BF190" s="201">
        <f t="shared" si="284"/>
        <v>5</v>
      </c>
      <c r="BG190" s="144">
        <f t="shared" si="284"/>
        <v>5</v>
      </c>
      <c r="BH190" s="144" t="str">
        <f t="shared" si="284"/>
        <v/>
      </c>
      <c r="BI190" s="144" t="str">
        <f t="shared" si="284"/>
        <v/>
      </c>
      <c r="BJ190" s="144" t="str">
        <f t="shared" si="284"/>
        <v/>
      </c>
      <c r="BK190" s="201" t="str">
        <f t="shared" si="284"/>
        <v/>
      </c>
      <c r="BL190" s="144" t="str">
        <f t="shared" si="284"/>
        <v/>
      </c>
      <c r="BM190" s="144" t="str">
        <f t="shared" si="284"/>
        <v/>
      </c>
      <c r="BN190" s="144" t="str">
        <f t="shared" si="284"/>
        <v/>
      </c>
      <c r="BO190" s="144" t="str">
        <f t="shared" si="284"/>
        <v/>
      </c>
      <c r="BP190" s="201" t="str">
        <f t="shared" si="284"/>
        <v/>
      </c>
      <c r="BQ190" s="209"/>
      <c r="BR190" s="388"/>
      <c r="BS190" s="37" t="s">
        <v>255</v>
      </c>
      <c r="BT190" s="37" t="s">
        <v>255</v>
      </c>
      <c r="BU190" s="37" t="s">
        <v>255</v>
      </c>
      <c r="BV190" s="37" t="s">
        <v>255</v>
      </c>
      <c r="BW190" s="37" t="s">
        <v>255</v>
      </c>
      <c r="BX190" s="37" t="s">
        <v>255</v>
      </c>
      <c r="BY190" s="37" t="s">
        <v>246</v>
      </c>
      <c r="BZ190" s="37" t="s">
        <v>246</v>
      </c>
      <c r="CA190" s="123" t="s">
        <v>246</v>
      </c>
      <c r="CB190" s="223"/>
      <c r="CC190" s="37" t="s">
        <v>255</v>
      </c>
      <c r="CD190" s="37" t="s">
        <v>255</v>
      </c>
      <c r="CE190" s="37" t="s">
        <v>255</v>
      </c>
      <c r="CF190" s="37" t="s">
        <v>255</v>
      </c>
      <c r="CG190" s="37" t="s">
        <v>246</v>
      </c>
      <c r="CH190" s="37" t="s">
        <v>246</v>
      </c>
      <c r="CI190" s="37" t="s">
        <v>255</v>
      </c>
      <c r="CJ190" s="37" t="s">
        <v>255</v>
      </c>
      <c r="CK190" s="37" t="s">
        <v>255</v>
      </c>
      <c r="CL190" s="37" t="s">
        <v>255</v>
      </c>
      <c r="CM190" s="37" t="s">
        <v>255</v>
      </c>
      <c r="CN190" s="37" t="s">
        <v>255</v>
      </c>
      <c r="CO190" s="37" t="s">
        <v>255</v>
      </c>
      <c r="CP190" s="37" t="s">
        <v>255</v>
      </c>
      <c r="CQ190" s="37" t="s">
        <v>255</v>
      </c>
      <c r="CR190" s="123" t="s">
        <v>300</v>
      </c>
    </row>
    <row r="191" spans="1:96" ht="45" hidden="1" outlineLevel="2" x14ac:dyDescent="0.25">
      <c r="A191" s="133"/>
      <c r="B191" s="277" t="s">
        <v>354</v>
      </c>
      <c r="C191" s="278"/>
      <c r="D191" s="278"/>
      <c r="E191" s="278"/>
      <c r="F191" s="278"/>
      <c r="G191" s="278"/>
      <c r="H191" s="278"/>
      <c r="I191" s="278"/>
      <c r="J191" s="278"/>
      <c r="K191" s="278"/>
      <c r="L191" s="278"/>
      <c r="M191" s="278"/>
      <c r="N191" s="235">
        <f t="shared" si="268"/>
        <v>0</v>
      </c>
      <c r="O191" s="346"/>
      <c r="P191" s="278"/>
      <c r="Q191" s="378"/>
      <c r="R191" s="377"/>
      <c r="S191" s="278"/>
      <c r="T191" s="378"/>
      <c r="U191" s="377"/>
      <c r="V191" s="278"/>
      <c r="W191" s="378"/>
      <c r="X191" s="377"/>
      <c r="Y191" s="278"/>
      <c r="Z191" s="347"/>
      <c r="AA191" s="278"/>
      <c r="AB191" s="800"/>
      <c r="AD191" s="279"/>
      <c r="AE191" s="278"/>
      <c r="AF191" s="278"/>
      <c r="AG191" s="279"/>
      <c r="AH191" s="278"/>
      <c r="AI191" s="278"/>
      <c r="AJ191" s="279"/>
      <c r="AK191" s="278"/>
      <c r="AL191" s="278"/>
      <c r="AM191" s="279"/>
      <c r="AN191" s="278"/>
      <c r="AQ191" s="202"/>
      <c r="AZ191" s="203"/>
      <c r="BF191" s="203"/>
      <c r="BK191" s="203"/>
      <c r="BP191" s="203"/>
      <c r="BQ191" s="202"/>
      <c r="CA191" s="203"/>
      <c r="CR191" s="123" t="s">
        <v>300</v>
      </c>
    </row>
    <row r="192" spans="1:96" ht="30" hidden="1" outlineLevel="2" x14ac:dyDescent="0.25">
      <c r="A192" s="133"/>
      <c r="B192" s="277" t="s">
        <v>355</v>
      </c>
      <c r="C192" s="278"/>
      <c r="D192" s="278"/>
      <c r="E192" s="278"/>
      <c r="F192" s="278"/>
      <c r="G192" s="278"/>
      <c r="H192" s="278"/>
      <c r="I192" s="278"/>
      <c r="J192" s="278"/>
      <c r="K192" s="278"/>
      <c r="L192" s="278"/>
      <c r="M192" s="278"/>
      <c r="N192" s="235">
        <f t="shared" si="268"/>
        <v>0</v>
      </c>
      <c r="O192" s="346"/>
      <c r="P192" s="278"/>
      <c r="Q192" s="378"/>
      <c r="R192" s="377"/>
      <c r="S192" s="278"/>
      <c r="T192" s="378"/>
      <c r="U192" s="377"/>
      <c r="V192" s="278"/>
      <c r="W192" s="378"/>
      <c r="X192" s="377"/>
      <c r="Y192" s="278"/>
      <c r="Z192" s="347"/>
      <c r="AA192" s="278"/>
      <c r="AB192" s="800"/>
      <c r="AD192" s="279"/>
      <c r="AE192" s="278"/>
      <c r="AF192" s="278"/>
      <c r="AG192" s="279"/>
      <c r="AH192" s="278"/>
      <c r="AI192" s="278"/>
      <c r="AJ192" s="279"/>
      <c r="AK192" s="278"/>
      <c r="AL192" s="278"/>
      <c r="AM192" s="279"/>
      <c r="AN192" s="278"/>
      <c r="AQ192" s="202"/>
      <c r="AZ192" s="203"/>
      <c r="BF192" s="203"/>
      <c r="BK192" s="203"/>
      <c r="BP192" s="203"/>
      <c r="BQ192" s="202"/>
      <c r="CA192" s="203"/>
      <c r="CR192" s="123" t="s">
        <v>300</v>
      </c>
    </row>
    <row r="193" spans="1:96" ht="45" hidden="1" outlineLevel="2" x14ac:dyDescent="0.25">
      <c r="A193" s="133"/>
      <c r="B193" s="277" t="s">
        <v>356</v>
      </c>
      <c r="C193" s="278"/>
      <c r="D193" s="278"/>
      <c r="E193" s="278"/>
      <c r="F193" s="278"/>
      <c r="G193" s="278"/>
      <c r="H193" s="278"/>
      <c r="I193" s="278"/>
      <c r="J193" s="278"/>
      <c r="K193" s="278"/>
      <c r="L193" s="278"/>
      <c r="M193" s="278"/>
      <c r="N193" s="235">
        <f t="shared" si="268"/>
        <v>0</v>
      </c>
      <c r="O193" s="346"/>
      <c r="P193" s="278"/>
      <c r="Q193" s="378"/>
      <c r="R193" s="377"/>
      <c r="S193" s="278"/>
      <c r="T193" s="378"/>
      <c r="U193" s="377"/>
      <c r="V193" s="278"/>
      <c r="W193" s="378"/>
      <c r="X193" s="377"/>
      <c r="Y193" s="278"/>
      <c r="Z193" s="347"/>
      <c r="AA193" s="278"/>
      <c r="AB193" s="800"/>
      <c r="AD193" s="279"/>
      <c r="AE193" s="278"/>
      <c r="AF193" s="278"/>
      <c r="AG193" s="279"/>
      <c r="AH193" s="278"/>
      <c r="AI193" s="278"/>
      <c r="AJ193" s="279"/>
      <c r="AK193" s="278"/>
      <c r="AL193" s="278"/>
      <c r="AM193" s="279"/>
      <c r="AN193" s="278"/>
      <c r="AQ193" s="202"/>
      <c r="AZ193" s="203"/>
      <c r="BF193" s="203"/>
      <c r="BK193" s="203"/>
      <c r="BP193" s="203"/>
      <c r="BQ193" s="202"/>
      <c r="CA193" s="203"/>
      <c r="CR193" s="123" t="s">
        <v>300</v>
      </c>
    </row>
    <row r="194" spans="1:96" hidden="1" outlineLevel="2" x14ac:dyDescent="0.25">
      <c r="A194" s="133"/>
      <c r="B194" s="277" t="s">
        <v>357</v>
      </c>
      <c r="C194" s="278"/>
      <c r="D194" s="278"/>
      <c r="E194" s="278"/>
      <c r="F194" s="278"/>
      <c r="G194" s="278"/>
      <c r="H194" s="278"/>
      <c r="I194" s="278"/>
      <c r="J194" s="278"/>
      <c r="K194" s="278"/>
      <c r="L194" s="278"/>
      <c r="M194" s="278"/>
      <c r="N194" s="235">
        <f t="shared" si="268"/>
        <v>0</v>
      </c>
      <c r="O194" s="346"/>
      <c r="P194" s="278"/>
      <c r="Q194" s="378"/>
      <c r="R194" s="377"/>
      <c r="S194" s="278"/>
      <c r="T194" s="378"/>
      <c r="U194" s="377"/>
      <c r="V194" s="278"/>
      <c r="W194" s="378"/>
      <c r="X194" s="377"/>
      <c r="Y194" s="278"/>
      <c r="Z194" s="347"/>
      <c r="AA194" s="278"/>
      <c r="AB194" s="800"/>
      <c r="AD194" s="279"/>
      <c r="AE194" s="278"/>
      <c r="AF194" s="278"/>
      <c r="AG194" s="279"/>
      <c r="AH194" s="278"/>
      <c r="AI194" s="278"/>
      <c r="AJ194" s="279"/>
      <c r="AK194" s="278"/>
      <c r="AL194" s="278"/>
      <c r="AM194" s="279"/>
      <c r="AN194" s="278"/>
      <c r="AQ194" s="202"/>
      <c r="AZ194" s="203"/>
      <c r="BF194" s="203"/>
      <c r="BK194" s="203"/>
      <c r="BP194" s="203"/>
      <c r="BQ194" s="202"/>
      <c r="CA194" s="203"/>
      <c r="CR194" s="123" t="s">
        <v>300</v>
      </c>
    </row>
    <row r="195" spans="1:96" ht="45" hidden="1" outlineLevel="2" x14ac:dyDescent="0.25">
      <c r="A195" s="133"/>
      <c r="B195" s="277" t="s">
        <v>358</v>
      </c>
      <c r="C195" s="278"/>
      <c r="D195" s="278"/>
      <c r="E195" s="278"/>
      <c r="F195" s="278"/>
      <c r="G195" s="278"/>
      <c r="H195" s="278"/>
      <c r="I195" s="278"/>
      <c r="J195" s="278"/>
      <c r="K195" s="278"/>
      <c r="L195" s="278"/>
      <c r="M195" s="278"/>
      <c r="N195" s="235">
        <f t="shared" si="268"/>
        <v>0</v>
      </c>
      <c r="O195" s="346"/>
      <c r="P195" s="278"/>
      <c r="Q195" s="378"/>
      <c r="R195" s="377"/>
      <c r="S195" s="278"/>
      <c r="T195" s="378"/>
      <c r="U195" s="377"/>
      <c r="V195" s="278"/>
      <c r="W195" s="378"/>
      <c r="X195" s="377"/>
      <c r="Y195" s="278"/>
      <c r="Z195" s="347"/>
      <c r="AA195" s="278"/>
      <c r="AB195" s="800"/>
      <c r="AD195" s="279"/>
      <c r="AE195" s="278"/>
      <c r="AF195" s="278"/>
      <c r="AG195" s="279"/>
      <c r="AH195" s="278"/>
      <c r="AI195" s="278"/>
      <c r="AJ195" s="279"/>
      <c r="AK195" s="278"/>
      <c r="AL195" s="278"/>
      <c r="AM195" s="279"/>
      <c r="AN195" s="278"/>
      <c r="AQ195" s="202"/>
      <c r="AZ195" s="203"/>
      <c r="BF195" s="203"/>
      <c r="BK195" s="203"/>
      <c r="BP195" s="203"/>
      <c r="BQ195" s="202"/>
      <c r="CA195" s="203"/>
      <c r="CR195" s="123" t="s">
        <v>300</v>
      </c>
    </row>
    <row r="196" spans="1:96" hidden="1" outlineLevel="2" x14ac:dyDescent="0.25">
      <c r="A196" s="133"/>
      <c r="B196" s="277" t="s">
        <v>359</v>
      </c>
      <c r="C196" s="278"/>
      <c r="D196" s="278"/>
      <c r="E196" s="278"/>
      <c r="F196" s="278"/>
      <c r="G196" s="278"/>
      <c r="H196" s="278"/>
      <c r="I196" s="278"/>
      <c r="J196" s="278"/>
      <c r="K196" s="278"/>
      <c r="L196" s="278"/>
      <c r="M196" s="278"/>
      <c r="N196" s="235">
        <f t="shared" si="268"/>
        <v>0</v>
      </c>
      <c r="O196" s="346"/>
      <c r="P196" s="278"/>
      <c r="Q196" s="378"/>
      <c r="R196" s="377"/>
      <c r="S196" s="278"/>
      <c r="T196" s="378"/>
      <c r="U196" s="377"/>
      <c r="V196" s="278"/>
      <c r="W196" s="378"/>
      <c r="X196" s="377"/>
      <c r="Y196" s="278"/>
      <c r="Z196" s="347"/>
      <c r="AA196" s="278"/>
      <c r="AB196" s="800"/>
      <c r="AD196" s="279"/>
      <c r="AE196" s="278"/>
      <c r="AF196" s="278"/>
      <c r="AG196" s="279"/>
      <c r="AH196" s="278"/>
      <c r="AI196" s="278"/>
      <c r="AJ196" s="279"/>
      <c r="AK196" s="278"/>
      <c r="AL196" s="278"/>
      <c r="AM196" s="279"/>
      <c r="AN196" s="278"/>
      <c r="AQ196" s="202"/>
      <c r="AZ196" s="203"/>
      <c r="BF196" s="203"/>
      <c r="BK196" s="203"/>
      <c r="BP196" s="203"/>
      <c r="BQ196" s="202"/>
      <c r="CA196" s="203"/>
      <c r="CR196" s="123" t="s">
        <v>300</v>
      </c>
    </row>
    <row r="197" spans="1:96" hidden="1" outlineLevel="2" x14ac:dyDescent="0.25">
      <c r="A197" s="133"/>
      <c r="B197" s="277" t="s">
        <v>360</v>
      </c>
      <c r="C197" s="278"/>
      <c r="D197" s="278"/>
      <c r="E197" s="278"/>
      <c r="F197" s="278"/>
      <c r="G197" s="278"/>
      <c r="H197" s="278"/>
      <c r="I197" s="278"/>
      <c r="J197" s="278"/>
      <c r="K197" s="278"/>
      <c r="L197" s="278"/>
      <c r="M197" s="278"/>
      <c r="N197" s="235">
        <f t="shared" si="268"/>
        <v>0</v>
      </c>
      <c r="O197" s="346"/>
      <c r="P197" s="278"/>
      <c r="Q197" s="378"/>
      <c r="R197" s="377"/>
      <c r="S197" s="278"/>
      <c r="T197" s="378"/>
      <c r="U197" s="377"/>
      <c r="V197" s="278"/>
      <c r="W197" s="378"/>
      <c r="X197" s="377"/>
      <c r="Y197" s="278"/>
      <c r="Z197" s="347"/>
      <c r="AA197" s="278"/>
      <c r="AB197" s="800"/>
      <c r="AD197" s="279"/>
      <c r="AE197" s="278"/>
      <c r="AF197" s="278"/>
      <c r="AG197" s="279"/>
      <c r="AH197" s="278"/>
      <c r="AI197" s="278"/>
      <c r="AJ197" s="279"/>
      <c r="AK197" s="278"/>
      <c r="AL197" s="278"/>
      <c r="AM197" s="279"/>
      <c r="AN197" s="278"/>
      <c r="AQ197" s="202"/>
      <c r="AZ197" s="203"/>
      <c r="BF197" s="203"/>
      <c r="BK197" s="203"/>
      <c r="BP197" s="203"/>
      <c r="BQ197" s="202"/>
      <c r="CA197" s="203"/>
      <c r="CR197" s="123" t="s">
        <v>300</v>
      </c>
    </row>
    <row r="198" spans="1:96" hidden="1" outlineLevel="2" x14ac:dyDescent="0.25">
      <c r="A198" s="133"/>
      <c r="B198" s="277" t="s">
        <v>361</v>
      </c>
      <c r="C198" s="278"/>
      <c r="D198" s="278"/>
      <c r="E198" s="278"/>
      <c r="F198" s="278"/>
      <c r="G198" s="278"/>
      <c r="H198" s="278"/>
      <c r="I198" s="278"/>
      <c r="J198" s="278"/>
      <c r="K198" s="278"/>
      <c r="L198" s="278"/>
      <c r="M198" s="278"/>
      <c r="N198" s="235">
        <f t="shared" si="268"/>
        <v>0</v>
      </c>
      <c r="O198" s="346"/>
      <c r="P198" s="278"/>
      <c r="Q198" s="378"/>
      <c r="R198" s="377"/>
      <c r="S198" s="278"/>
      <c r="T198" s="378"/>
      <c r="U198" s="377"/>
      <c r="V198" s="278"/>
      <c r="W198" s="378"/>
      <c r="X198" s="377"/>
      <c r="Y198" s="278"/>
      <c r="Z198" s="347"/>
      <c r="AA198" s="278"/>
      <c r="AB198" s="800"/>
      <c r="AD198" s="279"/>
      <c r="AE198" s="278"/>
      <c r="AF198" s="278"/>
      <c r="AG198" s="279"/>
      <c r="AH198" s="278"/>
      <c r="AI198" s="278"/>
      <c r="AJ198" s="279"/>
      <c r="AK198" s="278"/>
      <c r="AL198" s="278"/>
      <c r="AM198" s="279"/>
      <c r="AN198" s="278"/>
      <c r="AQ198" s="202"/>
      <c r="AZ198" s="203"/>
      <c r="BF198" s="203"/>
      <c r="BK198" s="203"/>
      <c r="BP198" s="203"/>
      <c r="BQ198" s="202"/>
      <c r="CA198" s="203"/>
      <c r="CR198" s="123" t="s">
        <v>300</v>
      </c>
    </row>
    <row r="199" spans="1:96" hidden="1" outlineLevel="2" x14ac:dyDescent="0.25">
      <c r="A199" s="133"/>
      <c r="B199" s="277" t="s">
        <v>362</v>
      </c>
      <c r="C199" s="278"/>
      <c r="D199" s="278"/>
      <c r="E199" s="278"/>
      <c r="F199" s="278"/>
      <c r="G199" s="278"/>
      <c r="H199" s="278"/>
      <c r="I199" s="278"/>
      <c r="J199" s="278"/>
      <c r="K199" s="278"/>
      <c r="L199" s="278"/>
      <c r="M199" s="278"/>
      <c r="N199" s="235">
        <f t="shared" si="268"/>
        <v>0</v>
      </c>
      <c r="O199" s="346"/>
      <c r="P199" s="278"/>
      <c r="Q199" s="378"/>
      <c r="R199" s="377"/>
      <c r="S199" s="278"/>
      <c r="T199" s="378"/>
      <c r="U199" s="377"/>
      <c r="V199" s="278"/>
      <c r="W199" s="378"/>
      <c r="X199" s="377"/>
      <c r="Y199" s="278"/>
      <c r="Z199" s="347"/>
      <c r="AA199" s="278"/>
      <c r="AB199" s="800"/>
      <c r="AD199" s="279"/>
      <c r="AE199" s="278"/>
      <c r="AF199" s="278"/>
      <c r="AG199" s="279"/>
      <c r="AH199" s="278"/>
      <c r="AI199" s="278"/>
      <c r="AJ199" s="279"/>
      <c r="AK199" s="278"/>
      <c r="AL199" s="278"/>
      <c r="AM199" s="279"/>
      <c r="AN199" s="278"/>
      <c r="AQ199" s="202"/>
      <c r="AZ199" s="203"/>
      <c r="BF199" s="203"/>
      <c r="BK199" s="203"/>
      <c r="BP199" s="203"/>
      <c r="BQ199" s="202"/>
      <c r="CA199" s="203"/>
      <c r="CR199" s="123" t="s">
        <v>300</v>
      </c>
    </row>
    <row r="200" spans="1:96" ht="15.75" outlineLevel="1" collapsed="1" x14ac:dyDescent="0.25">
      <c r="A200" s="134" t="s">
        <v>442</v>
      </c>
      <c r="B200" s="115" t="s">
        <v>157</v>
      </c>
      <c r="C200" s="115"/>
      <c r="D200" s="115"/>
      <c r="E200" s="146"/>
      <c r="F200" s="109" t="s">
        <v>326</v>
      </c>
      <c r="G200" s="109" t="s">
        <v>953</v>
      </c>
      <c r="H200" s="111" t="s">
        <v>243</v>
      </c>
      <c r="I200" s="111" t="s">
        <v>242</v>
      </c>
      <c r="J200" s="111" t="s">
        <v>243</v>
      </c>
      <c r="K200" s="111" t="s">
        <v>242</v>
      </c>
      <c r="L200" s="111" t="s">
        <v>243</v>
      </c>
      <c r="M200" s="109">
        <v>5</v>
      </c>
      <c r="N200" s="235">
        <f t="shared" si="268"/>
        <v>5</v>
      </c>
      <c r="O200" s="200" t="str">
        <f t="shared" ref="O200" si="285">IF(AC200="ДА",$M200,"")</f>
        <v/>
      </c>
      <c r="P200" s="144"/>
      <c r="Q200" s="357">
        <f>IF(AC200="ДА",ROUNDUP(O200/5,0),0)</f>
        <v>0</v>
      </c>
      <c r="R200" s="356">
        <f>IF(AF200="ДА",$M200,"")</f>
        <v>5</v>
      </c>
      <c r="S200" s="144"/>
      <c r="T200" s="357">
        <f>IF(AF200="ДА",ROUNDUP(R200/5,0),0)</f>
        <v>1</v>
      </c>
      <c r="U200" s="356" t="str">
        <f>IF(AI200="ДА",$M200,"")</f>
        <v/>
      </c>
      <c r="V200" s="144"/>
      <c r="W200" s="357">
        <f>IF(AI200="ДА",ROUNDUP(U200/5,0),0)</f>
        <v>0</v>
      </c>
      <c r="X200" s="356" t="str">
        <f>IF(AL200="ДА",$M200,"")</f>
        <v/>
      </c>
      <c r="Y200" s="144"/>
      <c r="Z200" s="201">
        <f>IF(AL200="ДА",ROUNDUP(X200/5,0),0)</f>
        <v>0</v>
      </c>
      <c r="AA200" s="388" t="str">
        <f>IF(OR(AC200="ДА",AF200="ДА",AI200="ДА",AL200="ДА"),"ДА","НЕТ")</f>
        <v>ДА</v>
      </c>
      <c r="AB200" s="388"/>
      <c r="AC200" s="37" t="str">
        <f>IF(AC$8=$BT$9,$BT200,IF(AC$8=$BS$9,$BS200,IF(AC$8=$BU$9,$BU200,IF(AC$8=$BV$9,$BV200,IF(AC$8=$BW$9,$BW200,IF(AC$8=$BX$9,$BX200,IF(AC$8=$BY$9,$BY200,IF(AC$8=$BZ$9,$BZ200,IF(AC$8=$CA$9,$CA200,IF(AC$8=$CC$9,$CC200,IF(AC$8=$CD$9,$CD200,IF(AC$8=$CE$9,$CE200,IF(AC$8=$CF$9,$CF200,IF(AC$8=$CG$9,$CG200,IF(AC$8=$CH$9,$CH200,IF(AC$8=$CI$9,$CI200,IF(AC$8=$CJ$9,$CJ200,IF(AC$8=$CK$9,$CK200,IF(AC$8=$CL$9,$CL200,IF(AC$8=$CM$9,$CM200,IF(AC$8=$CN$9,$CN200,IF(AC$8=$CO$9,$CO200,IF(AC$8=$CP$9,$CP200,IF(AC$8=$CQ$9,$CQ200,"НЕТ"))))))))))))))))))))))))</f>
        <v>НЕТ</v>
      </c>
      <c r="AD200" s="37" t="str">
        <f>IF(AC200="НЕТ","Не требуется",$CR200)</f>
        <v>Не требуется</v>
      </c>
      <c r="AE200" s="37"/>
      <c r="AF200" s="37" t="str">
        <f t="shared" ref="AF200:AL200" si="286">IF(AF$8=$BT$9,$BT200,IF(AF$8=$BS$9,$BS200,IF(AF$8=$BU$9,$BU200,IF(AF$8=$BV$9,$BV200,IF(AF$8=$BW$9,$BW200,IF(AF$8=$BX$9,$BX200,IF(AF$8=$BY$9,$BY200,IF(AF$8=$BZ$9,$BZ200,IF(AF$8=$CA$9,$CA200,IF(AF$8=$CC$9,$CC200,IF(AF$8=$CD$9,$CD200,IF(AF$8=$CE$9,$CE200,IF(AF$8=$CF$9,$CF200,IF(AF$8=$CG$9,$CG200,IF(AF$8=$CH$9,$CH200,IF(AF$8=$CI$9,$CI200,IF(AF$8=$CJ$9,$CJ200,IF(AF$8=$CK$9,$CK200,IF(AF$8=$CL$9,$CL200,IF(AF$8=$CM$9,$CM200,IF(AF$8=$CN$9,$CN200,IF(AF$8=$CO$9,$CO200,IF(AF$8=$CP$9,$CP200,IF(AF$8=$CQ$9,$CQ200,"НЕТ"))))))))))))))))))))))))</f>
        <v>ДА</v>
      </c>
      <c r="AG200" s="37" t="str">
        <f t="shared" si="286"/>
        <v>НЕТ</v>
      </c>
      <c r="AH200" s="37" t="str">
        <f t="shared" si="286"/>
        <v>НЕТ</v>
      </c>
      <c r="AI200" s="37" t="str">
        <f t="shared" si="286"/>
        <v>НЕТ</v>
      </c>
      <c r="AJ200" s="37" t="str">
        <f t="shared" si="286"/>
        <v>НЕТ</v>
      </c>
      <c r="AK200" s="37" t="str">
        <f t="shared" si="286"/>
        <v>НЕТ</v>
      </c>
      <c r="AL200" s="37" t="str">
        <f t="shared" si="286"/>
        <v>НЕТ</v>
      </c>
      <c r="AM200" s="37" t="str">
        <f>IF(AL200="НЕТ","Не требуется",$CR200)</f>
        <v>Не требуется</v>
      </c>
      <c r="AN200" s="37"/>
      <c r="AQ200" s="200"/>
      <c r="AR200" s="230"/>
      <c r="AS200" s="144" t="str">
        <f>IF(BS200="ДА",$M200,"")</f>
        <v/>
      </c>
      <c r="AT200" s="144" t="str">
        <f t="shared" ref="AT200:AV200" si="287">IF(BT200="ДА",$M200,"")</f>
        <v/>
      </c>
      <c r="AU200" s="144" t="str">
        <f t="shared" si="287"/>
        <v/>
      </c>
      <c r="AV200" s="144" t="str">
        <f t="shared" si="287"/>
        <v/>
      </c>
      <c r="AW200" s="144" t="str">
        <f>IF(BX200="ДА",$M200,"")</f>
        <v/>
      </c>
      <c r="AX200" s="144">
        <f>IF(BY200="ДА",$M200,"")</f>
        <v>5</v>
      </c>
      <c r="AY200" s="144">
        <f>IF(BZ200="ДА",$M200,"")</f>
        <v>5</v>
      </c>
      <c r="AZ200" s="201">
        <f>IF(CA200="ДА",$M200,"")</f>
        <v>5</v>
      </c>
      <c r="BA200" s="235"/>
      <c r="BB200" s="144" t="str">
        <f t="shared" ref="BB200:BP200" si="288">IF(CC200="ДА",$M200,"")</f>
        <v/>
      </c>
      <c r="BC200" s="144" t="str">
        <f t="shared" si="288"/>
        <v/>
      </c>
      <c r="BD200" s="144" t="str">
        <f t="shared" si="288"/>
        <v/>
      </c>
      <c r="BE200" s="144" t="str">
        <f t="shared" si="288"/>
        <v/>
      </c>
      <c r="BF200" s="201">
        <f t="shared" si="288"/>
        <v>5</v>
      </c>
      <c r="BG200" s="144">
        <f t="shared" si="288"/>
        <v>5</v>
      </c>
      <c r="BH200" s="144" t="str">
        <f t="shared" si="288"/>
        <v/>
      </c>
      <c r="BI200" s="144" t="str">
        <f t="shared" si="288"/>
        <v/>
      </c>
      <c r="BJ200" s="144" t="str">
        <f t="shared" si="288"/>
        <v/>
      </c>
      <c r="BK200" s="201" t="str">
        <f t="shared" si="288"/>
        <v/>
      </c>
      <c r="BL200" s="144" t="str">
        <f t="shared" si="288"/>
        <v/>
      </c>
      <c r="BM200" s="144" t="str">
        <f t="shared" si="288"/>
        <v/>
      </c>
      <c r="BN200" s="144" t="str">
        <f t="shared" si="288"/>
        <v/>
      </c>
      <c r="BO200" s="144" t="str">
        <f t="shared" si="288"/>
        <v/>
      </c>
      <c r="BP200" s="201" t="str">
        <f t="shared" si="288"/>
        <v/>
      </c>
      <c r="BQ200" s="209"/>
      <c r="BR200" s="388"/>
      <c r="BS200" s="37" t="s">
        <v>255</v>
      </c>
      <c r="BT200" s="37" t="s">
        <v>255</v>
      </c>
      <c r="BU200" s="37" t="s">
        <v>255</v>
      </c>
      <c r="BV200" s="37" t="s">
        <v>255</v>
      </c>
      <c r="BW200" s="37" t="s">
        <v>255</v>
      </c>
      <c r="BX200" s="37" t="s">
        <v>255</v>
      </c>
      <c r="BY200" s="37" t="s">
        <v>246</v>
      </c>
      <c r="BZ200" s="37" t="s">
        <v>246</v>
      </c>
      <c r="CA200" s="123" t="s">
        <v>246</v>
      </c>
      <c r="CB200" s="223"/>
      <c r="CC200" s="37" t="s">
        <v>255</v>
      </c>
      <c r="CD200" s="37" t="s">
        <v>255</v>
      </c>
      <c r="CE200" s="37" t="s">
        <v>255</v>
      </c>
      <c r="CF200" s="37" t="s">
        <v>255</v>
      </c>
      <c r="CG200" s="37" t="s">
        <v>246</v>
      </c>
      <c r="CH200" s="37" t="s">
        <v>246</v>
      </c>
      <c r="CI200" s="37" t="s">
        <v>255</v>
      </c>
      <c r="CJ200" s="37" t="s">
        <v>255</v>
      </c>
      <c r="CK200" s="37" t="s">
        <v>255</v>
      </c>
      <c r="CL200" s="37" t="s">
        <v>255</v>
      </c>
      <c r="CM200" s="37" t="s">
        <v>255</v>
      </c>
      <c r="CN200" s="37" t="s">
        <v>255</v>
      </c>
      <c r="CO200" s="37" t="s">
        <v>255</v>
      </c>
      <c r="CP200" s="37" t="s">
        <v>255</v>
      </c>
      <c r="CQ200" s="37" t="s">
        <v>255</v>
      </c>
      <c r="CR200" s="123" t="s">
        <v>300</v>
      </c>
    </row>
    <row r="201" spans="1:96" ht="45" hidden="1" outlineLevel="2" x14ac:dyDescent="0.25">
      <c r="A201" s="133"/>
      <c r="B201" s="277" t="s">
        <v>1721</v>
      </c>
      <c r="C201" s="278"/>
      <c r="D201" s="278"/>
      <c r="E201" s="278"/>
      <c r="F201" s="278"/>
      <c r="G201" s="278"/>
      <c r="H201" s="278"/>
      <c r="I201" s="278"/>
      <c r="J201" s="278"/>
      <c r="K201" s="278"/>
      <c r="L201" s="278"/>
      <c r="M201" s="278"/>
      <c r="N201" s="235">
        <f t="shared" si="268"/>
        <v>0</v>
      </c>
      <c r="O201" s="346"/>
      <c r="P201" s="278"/>
      <c r="Q201" s="378"/>
      <c r="R201" s="377"/>
      <c r="S201" s="278"/>
      <c r="T201" s="378"/>
      <c r="U201" s="377"/>
      <c r="V201" s="278"/>
      <c r="W201" s="378"/>
      <c r="X201" s="377"/>
      <c r="Y201" s="278"/>
      <c r="Z201" s="347"/>
      <c r="AA201" s="278"/>
      <c r="AB201" s="800"/>
      <c r="AD201" s="279"/>
      <c r="AE201" s="278"/>
      <c r="AF201" s="278"/>
      <c r="AG201" s="279"/>
      <c r="AH201" s="278"/>
      <c r="AI201" s="278"/>
      <c r="AJ201" s="279"/>
      <c r="AK201" s="278"/>
      <c r="AL201" s="278"/>
      <c r="AM201" s="279"/>
      <c r="AN201" s="278"/>
      <c r="AQ201" s="202"/>
      <c r="AZ201" s="203"/>
      <c r="BF201" s="203"/>
      <c r="BK201" s="203"/>
      <c r="BP201" s="203"/>
      <c r="BQ201" s="202"/>
      <c r="CA201" s="203"/>
      <c r="CR201" s="122"/>
    </row>
    <row r="202" spans="1:96" hidden="1" outlineLevel="2" x14ac:dyDescent="0.25">
      <c r="A202" s="133"/>
      <c r="B202" s="277" t="s">
        <v>363</v>
      </c>
      <c r="C202" s="278"/>
      <c r="D202" s="278"/>
      <c r="E202" s="278"/>
      <c r="F202" s="278"/>
      <c r="G202" s="278"/>
      <c r="H202" s="278"/>
      <c r="I202" s="278"/>
      <c r="J202" s="278"/>
      <c r="K202" s="278"/>
      <c r="L202" s="278"/>
      <c r="M202" s="278"/>
      <c r="N202" s="235">
        <f t="shared" si="268"/>
        <v>0</v>
      </c>
      <c r="O202" s="346"/>
      <c r="P202" s="278"/>
      <c r="Q202" s="378"/>
      <c r="R202" s="377"/>
      <c r="S202" s="278"/>
      <c r="T202" s="378"/>
      <c r="U202" s="377"/>
      <c r="V202" s="278"/>
      <c r="W202" s="378"/>
      <c r="X202" s="377"/>
      <c r="Y202" s="278"/>
      <c r="Z202" s="347"/>
      <c r="AA202" s="278"/>
      <c r="AB202" s="800"/>
      <c r="AD202" s="279"/>
      <c r="AE202" s="278"/>
      <c r="AF202" s="278"/>
      <c r="AG202" s="279"/>
      <c r="AH202" s="278"/>
      <c r="AI202" s="278"/>
      <c r="AJ202" s="279"/>
      <c r="AK202" s="278"/>
      <c r="AL202" s="278"/>
      <c r="AM202" s="279"/>
      <c r="AN202" s="278"/>
      <c r="AQ202" s="202"/>
      <c r="AZ202" s="203"/>
      <c r="BF202" s="203"/>
      <c r="BK202" s="203"/>
      <c r="BP202" s="203"/>
      <c r="BQ202" s="202"/>
      <c r="CA202" s="203"/>
      <c r="CR202" s="122"/>
    </row>
    <row r="203" spans="1:96" ht="30" hidden="1" outlineLevel="2" x14ac:dyDescent="0.25">
      <c r="A203" s="133"/>
      <c r="B203" s="277" t="s">
        <v>364</v>
      </c>
      <c r="C203" s="278"/>
      <c r="D203" s="278"/>
      <c r="E203" s="278"/>
      <c r="F203" s="278"/>
      <c r="G203" s="278"/>
      <c r="H203" s="278"/>
      <c r="I203" s="278"/>
      <c r="J203" s="278"/>
      <c r="K203" s="278"/>
      <c r="L203" s="278"/>
      <c r="M203" s="278"/>
      <c r="N203" s="235">
        <f t="shared" si="268"/>
        <v>0</v>
      </c>
      <c r="O203" s="346"/>
      <c r="P203" s="278"/>
      <c r="Q203" s="378"/>
      <c r="R203" s="377"/>
      <c r="S203" s="278"/>
      <c r="T203" s="378"/>
      <c r="U203" s="377"/>
      <c r="V203" s="278"/>
      <c r="W203" s="378"/>
      <c r="X203" s="377"/>
      <c r="Y203" s="278"/>
      <c r="Z203" s="347"/>
      <c r="AA203" s="278"/>
      <c r="AB203" s="800"/>
      <c r="AD203" s="279"/>
      <c r="AE203" s="278"/>
      <c r="AF203" s="278"/>
      <c r="AG203" s="279"/>
      <c r="AH203" s="278"/>
      <c r="AI203" s="278"/>
      <c r="AJ203" s="279"/>
      <c r="AK203" s="278"/>
      <c r="AL203" s="278"/>
      <c r="AM203" s="279"/>
      <c r="AN203" s="278"/>
      <c r="AQ203" s="202"/>
      <c r="AZ203" s="203"/>
      <c r="BF203" s="203"/>
      <c r="BK203" s="203"/>
      <c r="BP203" s="203"/>
      <c r="BQ203" s="202"/>
      <c r="CA203" s="203"/>
      <c r="CR203" s="122"/>
    </row>
    <row r="204" spans="1:96" hidden="1" outlineLevel="2" x14ac:dyDescent="0.25">
      <c r="A204" s="133"/>
      <c r="B204" s="277" t="s">
        <v>365</v>
      </c>
      <c r="C204" s="278"/>
      <c r="D204" s="278"/>
      <c r="E204" s="278"/>
      <c r="F204" s="278"/>
      <c r="G204" s="278"/>
      <c r="H204" s="278"/>
      <c r="I204" s="278"/>
      <c r="J204" s="278"/>
      <c r="K204" s="278"/>
      <c r="L204" s="278"/>
      <c r="M204" s="278"/>
      <c r="N204" s="235">
        <f t="shared" si="268"/>
        <v>0</v>
      </c>
      <c r="O204" s="346"/>
      <c r="P204" s="278"/>
      <c r="Q204" s="378"/>
      <c r="R204" s="377"/>
      <c r="S204" s="278"/>
      <c r="T204" s="378"/>
      <c r="U204" s="377"/>
      <c r="V204" s="278"/>
      <c r="W204" s="378"/>
      <c r="X204" s="377"/>
      <c r="Y204" s="278"/>
      <c r="Z204" s="347"/>
      <c r="AA204" s="278"/>
      <c r="AB204" s="800"/>
      <c r="AD204" s="279"/>
      <c r="AE204" s="278"/>
      <c r="AF204" s="278"/>
      <c r="AG204" s="279"/>
      <c r="AH204" s="278"/>
      <c r="AI204" s="278"/>
      <c r="AJ204" s="279"/>
      <c r="AK204" s="278"/>
      <c r="AL204" s="278"/>
      <c r="AM204" s="279"/>
      <c r="AN204" s="278"/>
      <c r="AQ204" s="202"/>
      <c r="AZ204" s="203"/>
      <c r="BF204" s="203"/>
      <c r="BK204" s="203"/>
      <c r="BP204" s="203"/>
      <c r="BQ204" s="202"/>
      <c r="CA204" s="203"/>
      <c r="CR204" s="122"/>
    </row>
    <row r="205" spans="1:96" hidden="1" outlineLevel="2" x14ac:dyDescent="0.25">
      <c r="A205" s="133"/>
      <c r="B205" s="277" t="s">
        <v>366</v>
      </c>
      <c r="C205" s="278"/>
      <c r="D205" s="278"/>
      <c r="E205" s="278"/>
      <c r="F205" s="278"/>
      <c r="G205" s="278"/>
      <c r="H205" s="278"/>
      <c r="I205" s="278"/>
      <c r="J205" s="278"/>
      <c r="K205" s="278"/>
      <c r="L205" s="278"/>
      <c r="M205" s="278"/>
      <c r="N205" s="235">
        <f t="shared" si="268"/>
        <v>0</v>
      </c>
      <c r="O205" s="346"/>
      <c r="P205" s="278"/>
      <c r="Q205" s="378"/>
      <c r="R205" s="377"/>
      <c r="S205" s="278"/>
      <c r="T205" s="378"/>
      <c r="U205" s="377"/>
      <c r="V205" s="278"/>
      <c r="W205" s="378"/>
      <c r="X205" s="377"/>
      <c r="Y205" s="278"/>
      <c r="Z205" s="347"/>
      <c r="AA205" s="278"/>
      <c r="AB205" s="800"/>
      <c r="AD205" s="279"/>
      <c r="AE205" s="278"/>
      <c r="AF205" s="278"/>
      <c r="AG205" s="279"/>
      <c r="AH205" s="278"/>
      <c r="AI205" s="278"/>
      <c r="AJ205" s="279"/>
      <c r="AK205" s="278"/>
      <c r="AL205" s="278"/>
      <c r="AM205" s="279"/>
      <c r="AN205" s="278"/>
      <c r="AQ205" s="202"/>
      <c r="AZ205" s="203"/>
      <c r="BF205" s="203"/>
      <c r="BK205" s="203"/>
      <c r="BP205" s="203"/>
      <c r="BQ205" s="202"/>
      <c r="CA205" s="203"/>
      <c r="CR205" s="122"/>
    </row>
    <row r="206" spans="1:96" ht="30" hidden="1" outlineLevel="2" x14ac:dyDescent="0.25">
      <c r="A206" s="133"/>
      <c r="B206" s="277" t="s">
        <v>1722</v>
      </c>
      <c r="C206" s="278"/>
      <c r="D206" s="278"/>
      <c r="E206" s="278"/>
      <c r="F206" s="278"/>
      <c r="G206" s="278"/>
      <c r="H206" s="278"/>
      <c r="I206" s="278"/>
      <c r="J206" s="278"/>
      <c r="K206" s="278"/>
      <c r="L206" s="278"/>
      <c r="M206" s="278"/>
      <c r="N206" s="235">
        <f t="shared" si="268"/>
        <v>0</v>
      </c>
      <c r="O206" s="346"/>
      <c r="P206" s="278"/>
      <c r="Q206" s="378"/>
      <c r="R206" s="377"/>
      <c r="S206" s="278"/>
      <c r="T206" s="378"/>
      <c r="U206" s="377"/>
      <c r="V206" s="278"/>
      <c r="W206" s="378"/>
      <c r="X206" s="377"/>
      <c r="Y206" s="278"/>
      <c r="Z206" s="347"/>
      <c r="AA206" s="278"/>
      <c r="AB206" s="800"/>
      <c r="AD206" s="279"/>
      <c r="AE206" s="278"/>
      <c r="AF206" s="278"/>
      <c r="AG206" s="279"/>
      <c r="AH206" s="278"/>
      <c r="AI206" s="278"/>
      <c r="AJ206" s="279"/>
      <c r="AK206" s="278"/>
      <c r="AL206" s="278"/>
      <c r="AM206" s="279"/>
      <c r="AN206" s="278"/>
      <c r="AQ206" s="202"/>
      <c r="AZ206" s="203"/>
      <c r="BF206" s="203"/>
      <c r="BK206" s="203"/>
      <c r="BP206" s="203"/>
      <c r="BQ206" s="202"/>
      <c r="CA206" s="203"/>
      <c r="CR206" s="122"/>
    </row>
    <row r="207" spans="1:96" hidden="1" outlineLevel="2" x14ac:dyDescent="0.25">
      <c r="A207" s="133"/>
      <c r="B207" s="277" t="s">
        <v>367</v>
      </c>
      <c r="C207" s="278"/>
      <c r="D207" s="278"/>
      <c r="E207" s="278"/>
      <c r="F207" s="278"/>
      <c r="G207" s="278"/>
      <c r="H207" s="278"/>
      <c r="I207" s="278"/>
      <c r="J207" s="278"/>
      <c r="K207" s="278"/>
      <c r="L207" s="278"/>
      <c r="M207" s="278"/>
      <c r="N207" s="235">
        <f t="shared" si="268"/>
        <v>0</v>
      </c>
      <c r="O207" s="346"/>
      <c r="P207" s="278"/>
      <c r="Q207" s="378"/>
      <c r="R207" s="377"/>
      <c r="S207" s="278"/>
      <c r="T207" s="378"/>
      <c r="U207" s="377"/>
      <c r="V207" s="278"/>
      <c r="W207" s="378"/>
      <c r="X207" s="377"/>
      <c r="Y207" s="278"/>
      <c r="Z207" s="347"/>
      <c r="AA207" s="278"/>
      <c r="AB207" s="800"/>
      <c r="AD207" s="279"/>
      <c r="AE207" s="278"/>
      <c r="AF207" s="278"/>
      <c r="AG207" s="279"/>
      <c r="AH207" s="278"/>
      <c r="AI207" s="278"/>
      <c r="AJ207" s="279"/>
      <c r="AK207" s="278"/>
      <c r="AL207" s="278"/>
      <c r="AM207" s="279"/>
      <c r="AN207" s="278"/>
      <c r="AQ207" s="202"/>
      <c r="AZ207" s="203"/>
      <c r="BF207" s="203"/>
      <c r="BK207" s="203"/>
      <c r="BP207" s="203"/>
      <c r="BQ207" s="202"/>
      <c r="CA207" s="203"/>
      <c r="CR207" s="122"/>
    </row>
    <row r="208" spans="1:96" ht="30" hidden="1" outlineLevel="2" x14ac:dyDescent="0.25">
      <c r="A208" s="133"/>
      <c r="B208" s="277" t="s">
        <v>368</v>
      </c>
      <c r="C208" s="278"/>
      <c r="D208" s="278"/>
      <c r="E208" s="278"/>
      <c r="F208" s="278"/>
      <c r="G208" s="278"/>
      <c r="H208" s="278"/>
      <c r="I208" s="278"/>
      <c r="J208" s="278"/>
      <c r="K208" s="278"/>
      <c r="L208" s="278"/>
      <c r="M208" s="278"/>
      <c r="N208" s="235">
        <f t="shared" si="268"/>
        <v>0</v>
      </c>
      <c r="O208" s="346"/>
      <c r="P208" s="278"/>
      <c r="Q208" s="378"/>
      <c r="R208" s="377"/>
      <c r="S208" s="278"/>
      <c r="T208" s="378"/>
      <c r="U208" s="377"/>
      <c r="V208" s="278"/>
      <c r="W208" s="378"/>
      <c r="X208" s="377"/>
      <c r="Y208" s="278"/>
      <c r="Z208" s="347"/>
      <c r="AA208" s="278"/>
      <c r="AB208" s="800"/>
      <c r="AD208" s="279"/>
      <c r="AE208" s="278"/>
      <c r="AF208" s="278"/>
      <c r="AG208" s="279"/>
      <c r="AH208" s="278"/>
      <c r="AI208" s="278"/>
      <c r="AJ208" s="279"/>
      <c r="AK208" s="278"/>
      <c r="AL208" s="278"/>
      <c r="AM208" s="279"/>
      <c r="AN208" s="278"/>
      <c r="AQ208" s="202"/>
      <c r="AZ208" s="203"/>
      <c r="BF208" s="203"/>
      <c r="BK208" s="203"/>
      <c r="BP208" s="203"/>
      <c r="BQ208" s="202"/>
      <c r="CA208" s="203"/>
      <c r="CR208" s="122"/>
    </row>
    <row r="209" spans="1:96" ht="30" outlineLevel="1" x14ac:dyDescent="0.25">
      <c r="A209" s="112" t="s">
        <v>443</v>
      </c>
      <c r="B209" s="120" t="s">
        <v>232</v>
      </c>
      <c r="C209" s="120"/>
      <c r="D209" s="120"/>
      <c r="E209" s="121"/>
      <c r="F209" s="35" t="s">
        <v>225</v>
      </c>
      <c r="G209" s="120" t="s">
        <v>579</v>
      </c>
      <c r="H209" s="111" t="s">
        <v>243</v>
      </c>
      <c r="I209" s="111" t="s">
        <v>1693</v>
      </c>
      <c r="J209" s="111" t="s">
        <v>243</v>
      </c>
      <c r="K209" s="111" t="s">
        <v>1693</v>
      </c>
      <c r="L209" s="111" t="s">
        <v>243</v>
      </c>
      <c r="M209" s="34">
        <v>5</v>
      </c>
      <c r="N209" s="235">
        <f t="shared" si="268"/>
        <v>0</v>
      </c>
      <c r="O209" s="200" t="str">
        <f t="shared" ref="O209:O210" si="289">IF(AC209="ДА",$M209,"")</f>
        <v/>
      </c>
      <c r="P209" s="144"/>
      <c r="Q209" s="357">
        <f>IF(AC209="ДА",ROUNDUP(O209/5,0),0)</f>
        <v>0</v>
      </c>
      <c r="R209" s="356" t="str">
        <f>IF(AF209="ДА",$M209,"")</f>
        <v/>
      </c>
      <c r="S209" s="144"/>
      <c r="T209" s="357">
        <f>IF(AF209="ДА",ROUNDUP(R209/5,0),0)</f>
        <v>0</v>
      </c>
      <c r="U209" s="356" t="str">
        <f>IF(AI209="ДА",$M209,"")</f>
        <v/>
      </c>
      <c r="V209" s="144"/>
      <c r="W209" s="357">
        <f>IF(AI209="ДА",ROUNDUP(U209/5,0),0)</f>
        <v>0</v>
      </c>
      <c r="X209" s="356" t="str">
        <f>IF(AL209="ДА",$M209,"")</f>
        <v/>
      </c>
      <c r="Y209" s="144"/>
      <c r="Z209" s="201">
        <f>IF(AL209="ДА",ROUNDUP(X209/5,0),0)</f>
        <v>0</v>
      </c>
      <c r="AA209" s="388" t="str">
        <f>IF(OR(AC209="ДА",AF209="ДА",AI209="ДА",AL209="ДА"),"ДА","НЕТ")</f>
        <v>НЕТ</v>
      </c>
      <c r="AB209" s="388"/>
      <c r="AC209" s="37" t="str">
        <f>IF(AC$8=$BT$9,$BT209,IF(AC$8=$BS$9,$BS209,IF(AC$8=$BU$9,$BU209,IF(AC$8=$BV$9,$BV209,IF(AC$8=$BW$9,$BW209,IF(AC$8=$BX$9,$BX209,IF(AC$8=$BY$9,$BY209,IF(AC$8=$BZ$9,$BZ209,IF(AC$8=$CA$9,$CA209,IF(AC$8=$CC$9,$CC209,IF(AC$8=$CD$9,$CD209,IF(AC$8=$CE$9,$CE209,IF(AC$8=$CF$9,$CF209,IF(AC$8=$CG$9,$CG209,IF(AC$8=$CH$9,$CH209,IF(AC$8=$CI$9,$CI209,IF(AC$8=$CJ$9,$CJ209,IF(AC$8=$CK$9,$CK209,IF(AC$8=$CL$9,$CL209,IF(AC$8=$CM$9,$CM209,IF(AC$8=$CN$9,$CN209,IF(AC$8=$CO$9,$CO209,IF(AC$8=$CP$9,$CP209,IF(AC$8=$CQ$9,$CQ209,"НЕТ"))))))))))))))))))))))))</f>
        <v>НЕТ</v>
      </c>
      <c r="AD209" s="37" t="str">
        <f>IF(AC209="НЕТ","Не требуется",$CR209)</f>
        <v>Не требуется</v>
      </c>
      <c r="AE209" s="37"/>
      <c r="AF209" s="37" t="str">
        <f t="shared" ref="AF209:AL210" si="290">IF(AF$8=$BT$9,$BT209,IF(AF$8=$BS$9,$BS209,IF(AF$8=$BU$9,$BU209,IF(AF$8=$BV$9,$BV209,IF(AF$8=$BW$9,$BW209,IF(AF$8=$BX$9,$BX209,IF(AF$8=$BY$9,$BY209,IF(AF$8=$BZ$9,$BZ209,IF(AF$8=$CA$9,$CA209,IF(AF$8=$CC$9,$CC209,IF(AF$8=$CD$9,$CD209,IF(AF$8=$CE$9,$CE209,IF(AF$8=$CF$9,$CF209,IF(AF$8=$CG$9,$CG209,IF(AF$8=$CH$9,$CH209,IF(AF$8=$CI$9,$CI209,IF(AF$8=$CJ$9,$CJ209,IF(AF$8=$CK$9,$CK209,IF(AF$8=$CL$9,$CL209,IF(AF$8=$CM$9,$CM209,IF(AF$8=$CN$9,$CN209,IF(AF$8=$CO$9,$CO209,IF(AF$8=$CP$9,$CP209,IF(AF$8=$CQ$9,$CQ209,"НЕТ"))))))))))))))))))))))))</f>
        <v>НЕТ</v>
      </c>
      <c r="AG209" s="37" t="str">
        <f t="shared" si="290"/>
        <v>НЕТ</v>
      </c>
      <c r="AH209" s="37" t="str">
        <f t="shared" si="290"/>
        <v>НЕТ</v>
      </c>
      <c r="AI209" s="37" t="str">
        <f t="shared" si="290"/>
        <v>НЕТ</v>
      </c>
      <c r="AJ209" s="37" t="str">
        <f t="shared" si="290"/>
        <v>НЕТ</v>
      </c>
      <c r="AK209" s="37" t="str">
        <f t="shared" si="290"/>
        <v>НЕТ</v>
      </c>
      <c r="AL209" s="37" t="str">
        <f t="shared" si="290"/>
        <v>НЕТ</v>
      </c>
      <c r="AM209" s="37" t="str">
        <f>IF(AL209="НЕТ","Не требуется",$CR209)</f>
        <v>Не требуется</v>
      </c>
      <c r="AN209" s="37"/>
      <c r="AQ209" s="200"/>
      <c r="AR209" s="230"/>
      <c r="AS209" s="144" t="str">
        <f>IF(BS209="ДА",$M209,"")</f>
        <v/>
      </c>
      <c r="AT209" s="144" t="str">
        <f t="shared" ref="AT209:AV210" si="291">IF(BT209="ДА",$M209,"")</f>
        <v/>
      </c>
      <c r="AU209" s="144" t="str">
        <f t="shared" si="291"/>
        <v/>
      </c>
      <c r="AV209" s="144" t="str">
        <f t="shared" si="291"/>
        <v/>
      </c>
      <c r="AW209" s="144" t="str">
        <f t="shared" ref="AW209:AZ210" si="292">IF(BX209="ДА",$M209,"")</f>
        <v/>
      </c>
      <c r="AX209" s="144" t="str">
        <f t="shared" si="292"/>
        <v/>
      </c>
      <c r="AY209" s="144" t="str">
        <f t="shared" si="292"/>
        <v/>
      </c>
      <c r="AZ209" s="201">
        <f t="shared" si="292"/>
        <v>5</v>
      </c>
      <c r="BA209" s="235"/>
      <c r="BB209" s="144" t="str">
        <f t="shared" ref="BB209:BP210" si="293">IF(CC209="ДА",$M209,"")</f>
        <v/>
      </c>
      <c r="BC209" s="144" t="str">
        <f t="shared" si="293"/>
        <v/>
      </c>
      <c r="BD209" s="144" t="str">
        <f t="shared" si="293"/>
        <v/>
      </c>
      <c r="BE209" s="144" t="str">
        <f t="shared" si="293"/>
        <v/>
      </c>
      <c r="BF209" s="201" t="str">
        <f t="shared" si="293"/>
        <v/>
      </c>
      <c r="BG209" s="144" t="str">
        <f t="shared" si="293"/>
        <v/>
      </c>
      <c r="BH209" s="144" t="str">
        <f t="shared" si="293"/>
        <v/>
      </c>
      <c r="BI209" s="144" t="str">
        <f t="shared" si="293"/>
        <v/>
      </c>
      <c r="BJ209" s="144" t="str">
        <f t="shared" si="293"/>
        <v/>
      </c>
      <c r="BK209" s="201" t="str">
        <f t="shared" si="293"/>
        <v/>
      </c>
      <c r="BL209" s="144" t="str">
        <f t="shared" si="293"/>
        <v/>
      </c>
      <c r="BM209" s="144" t="str">
        <f t="shared" si="293"/>
        <v/>
      </c>
      <c r="BN209" s="144" t="str">
        <f t="shared" si="293"/>
        <v/>
      </c>
      <c r="BO209" s="144" t="str">
        <f t="shared" si="293"/>
        <v/>
      </c>
      <c r="BP209" s="201" t="str">
        <f t="shared" si="293"/>
        <v/>
      </c>
      <c r="BQ209" s="209"/>
      <c r="BR209" s="388"/>
      <c r="BS209" s="37" t="s">
        <v>255</v>
      </c>
      <c r="BT209" s="37" t="s">
        <v>255</v>
      </c>
      <c r="BU209" s="37" t="s">
        <v>255</v>
      </c>
      <c r="BV209" s="37" t="s">
        <v>255</v>
      </c>
      <c r="BW209" s="37" t="s">
        <v>255</v>
      </c>
      <c r="BX209" s="37" t="s">
        <v>255</v>
      </c>
      <c r="BY209" s="37" t="s">
        <v>255</v>
      </c>
      <c r="BZ209" s="37" t="s">
        <v>255</v>
      </c>
      <c r="CA209" s="123" t="s">
        <v>246</v>
      </c>
      <c r="CB209" s="223"/>
      <c r="CC209" s="37" t="s">
        <v>255</v>
      </c>
      <c r="CD209" s="37" t="s">
        <v>255</v>
      </c>
      <c r="CE209" s="37" t="s">
        <v>255</v>
      </c>
      <c r="CF209" s="37" t="s">
        <v>255</v>
      </c>
      <c r="CG209" s="37" t="s">
        <v>255</v>
      </c>
      <c r="CH209" s="37" t="s">
        <v>255</v>
      </c>
      <c r="CI209" s="37" t="s">
        <v>255</v>
      </c>
      <c r="CJ209" s="37" t="s">
        <v>255</v>
      </c>
      <c r="CK209" s="37" t="s">
        <v>255</v>
      </c>
      <c r="CL209" s="37" t="s">
        <v>255</v>
      </c>
      <c r="CM209" s="37" t="s">
        <v>255</v>
      </c>
      <c r="CN209" s="37" t="s">
        <v>255</v>
      </c>
      <c r="CO209" s="37" t="s">
        <v>255</v>
      </c>
      <c r="CP209" s="37" t="s">
        <v>255</v>
      </c>
      <c r="CQ209" s="37" t="s">
        <v>255</v>
      </c>
      <c r="CR209" s="123" t="s">
        <v>302</v>
      </c>
    </row>
    <row r="210" spans="1:96" ht="30" outlineLevel="1" x14ac:dyDescent="0.25">
      <c r="A210" s="112" t="s">
        <v>444</v>
      </c>
      <c r="B210" s="120" t="s">
        <v>233</v>
      </c>
      <c r="C210" s="120"/>
      <c r="D210" s="120"/>
      <c r="E210" s="121"/>
      <c r="F210" s="35" t="s">
        <v>225</v>
      </c>
      <c r="G210" s="120" t="s">
        <v>579</v>
      </c>
      <c r="H210" s="111" t="s">
        <v>243</v>
      </c>
      <c r="I210" s="111" t="s">
        <v>1693</v>
      </c>
      <c r="J210" s="111" t="s">
        <v>243</v>
      </c>
      <c r="K210" s="111" t="s">
        <v>1693</v>
      </c>
      <c r="L210" s="111" t="s">
        <v>243</v>
      </c>
      <c r="M210" s="34">
        <v>10</v>
      </c>
      <c r="N210" s="235">
        <f t="shared" si="268"/>
        <v>0</v>
      </c>
      <c r="O210" s="200" t="str">
        <f t="shared" si="289"/>
        <v/>
      </c>
      <c r="P210" s="144"/>
      <c r="Q210" s="357">
        <f>IF(AC210="ДА",ROUNDUP(O210/5,0),0)</f>
        <v>0</v>
      </c>
      <c r="R210" s="356" t="str">
        <f>IF(AF210="ДА",$M210,"")</f>
        <v/>
      </c>
      <c r="S210" s="144"/>
      <c r="T210" s="357">
        <f>IF(AF210="ДА",ROUNDUP(R210/5,0),0)</f>
        <v>0</v>
      </c>
      <c r="U210" s="356" t="str">
        <f>IF(AI210="ДА",$M210,"")</f>
        <v/>
      </c>
      <c r="V210" s="144"/>
      <c r="W210" s="357">
        <f>IF(AI210="ДА",ROUNDUP(U210/5,0),0)</f>
        <v>0</v>
      </c>
      <c r="X210" s="356" t="str">
        <f>IF(AL210="ДА",$M210,"")</f>
        <v/>
      </c>
      <c r="Y210" s="144"/>
      <c r="Z210" s="201">
        <f>IF(AL210="ДА",ROUNDUP(X210/5,0),0)</f>
        <v>0</v>
      </c>
      <c r="AA210" s="388" t="str">
        <f>IF(OR(AC210="ДА",AF210="ДА",AI210="ДА",AL210="ДА"),"ДА","НЕТ")</f>
        <v>НЕТ</v>
      </c>
      <c r="AB210" s="388"/>
      <c r="AC210" s="37" t="str">
        <f>IF(AC$8=$BT$9,$BT210,IF(AC$8=$BS$9,$BS210,IF(AC$8=$BU$9,$BU210,IF(AC$8=$BV$9,$BV210,IF(AC$8=$BW$9,$BW210,IF(AC$8=$BX$9,$BX210,IF(AC$8=$BY$9,$BY210,IF(AC$8=$BZ$9,$BZ210,IF(AC$8=$CA$9,$CA210,IF(AC$8=$CC$9,$CC210,IF(AC$8=$CD$9,$CD210,IF(AC$8=$CE$9,$CE210,IF(AC$8=$CF$9,$CF210,IF(AC$8=$CG$9,$CG210,IF(AC$8=$CH$9,$CH210,IF(AC$8=$CI$9,$CI210,IF(AC$8=$CJ$9,$CJ210,IF(AC$8=$CK$9,$CK210,IF(AC$8=$CL$9,$CL210,IF(AC$8=$CM$9,$CM210,IF(AC$8=$CN$9,$CN210,IF(AC$8=$CO$9,$CO210,IF(AC$8=$CP$9,$CP210,IF(AC$8=$CQ$9,$CQ210,"НЕТ"))))))))))))))))))))))))</f>
        <v>НЕТ</v>
      </c>
      <c r="AD210" s="37" t="str">
        <f>IF(AC210="НЕТ","Не требуется",$CR210)</f>
        <v>Не требуется</v>
      </c>
      <c r="AE210" s="37"/>
      <c r="AF210" s="37" t="str">
        <f t="shared" si="290"/>
        <v>НЕТ</v>
      </c>
      <c r="AG210" s="37" t="str">
        <f t="shared" si="290"/>
        <v>НЕТ</v>
      </c>
      <c r="AH210" s="37" t="str">
        <f t="shared" si="290"/>
        <v>НЕТ</v>
      </c>
      <c r="AI210" s="37" t="str">
        <f t="shared" si="290"/>
        <v>НЕТ</v>
      </c>
      <c r="AJ210" s="37" t="str">
        <f t="shared" si="290"/>
        <v>НЕТ</v>
      </c>
      <c r="AK210" s="37" t="str">
        <f t="shared" si="290"/>
        <v>НЕТ</v>
      </c>
      <c r="AL210" s="37" t="str">
        <f t="shared" si="290"/>
        <v>НЕТ</v>
      </c>
      <c r="AM210" s="37" t="str">
        <f>IF(AL210="НЕТ","Не требуется",$CR210)</f>
        <v>Не требуется</v>
      </c>
      <c r="AN210" s="37"/>
      <c r="AQ210" s="200"/>
      <c r="AR210" s="230"/>
      <c r="AS210" s="144" t="str">
        <f t="shared" ref="AS210" si="294">IF(BS210="ДА",$M210,"")</f>
        <v/>
      </c>
      <c r="AT210" s="144" t="str">
        <f t="shared" si="291"/>
        <v/>
      </c>
      <c r="AU210" s="144" t="str">
        <f t="shared" si="291"/>
        <v/>
      </c>
      <c r="AV210" s="144" t="str">
        <f t="shared" si="291"/>
        <v/>
      </c>
      <c r="AW210" s="144" t="str">
        <f t="shared" si="292"/>
        <v/>
      </c>
      <c r="AX210" s="144" t="str">
        <f t="shared" si="292"/>
        <v/>
      </c>
      <c r="AY210" s="144" t="str">
        <f t="shared" si="292"/>
        <v/>
      </c>
      <c r="AZ210" s="201">
        <f t="shared" si="292"/>
        <v>10</v>
      </c>
      <c r="BA210" s="235"/>
      <c r="BB210" s="144" t="str">
        <f t="shared" si="293"/>
        <v/>
      </c>
      <c r="BC210" s="144" t="str">
        <f t="shared" si="293"/>
        <v/>
      </c>
      <c r="BD210" s="144" t="str">
        <f t="shared" si="293"/>
        <v/>
      </c>
      <c r="BE210" s="144" t="str">
        <f t="shared" si="293"/>
        <v/>
      </c>
      <c r="BF210" s="201" t="str">
        <f t="shared" si="293"/>
        <v/>
      </c>
      <c r="BG210" s="144" t="str">
        <f t="shared" si="293"/>
        <v/>
      </c>
      <c r="BH210" s="144" t="str">
        <f t="shared" si="293"/>
        <v/>
      </c>
      <c r="BI210" s="144" t="str">
        <f t="shared" si="293"/>
        <v/>
      </c>
      <c r="BJ210" s="144" t="str">
        <f t="shared" si="293"/>
        <v/>
      </c>
      <c r="BK210" s="201" t="str">
        <f t="shared" si="293"/>
        <v/>
      </c>
      <c r="BL210" s="144" t="str">
        <f t="shared" si="293"/>
        <v/>
      </c>
      <c r="BM210" s="144" t="str">
        <f t="shared" si="293"/>
        <v/>
      </c>
      <c r="BN210" s="144" t="str">
        <f t="shared" si="293"/>
        <v/>
      </c>
      <c r="BO210" s="144" t="str">
        <f t="shared" si="293"/>
        <v/>
      </c>
      <c r="BP210" s="201" t="str">
        <f t="shared" si="293"/>
        <v/>
      </c>
      <c r="BQ210" s="209"/>
      <c r="BR210" s="388"/>
      <c r="BS210" s="37" t="s">
        <v>255</v>
      </c>
      <c r="BT210" s="37" t="s">
        <v>255</v>
      </c>
      <c r="BU210" s="37" t="s">
        <v>255</v>
      </c>
      <c r="BV210" s="37" t="s">
        <v>255</v>
      </c>
      <c r="BW210" s="37" t="s">
        <v>255</v>
      </c>
      <c r="BX210" s="37" t="s">
        <v>255</v>
      </c>
      <c r="BY210" s="37" t="s">
        <v>255</v>
      </c>
      <c r="BZ210" s="37" t="s">
        <v>255</v>
      </c>
      <c r="CA210" s="123" t="s">
        <v>246</v>
      </c>
      <c r="CB210" s="223"/>
      <c r="CC210" s="37" t="s">
        <v>255</v>
      </c>
      <c r="CD210" s="37" t="s">
        <v>255</v>
      </c>
      <c r="CE210" s="37" t="s">
        <v>255</v>
      </c>
      <c r="CF210" s="37" t="s">
        <v>255</v>
      </c>
      <c r="CG210" s="37" t="s">
        <v>255</v>
      </c>
      <c r="CH210" s="37" t="s">
        <v>255</v>
      </c>
      <c r="CI210" s="37" t="s">
        <v>255</v>
      </c>
      <c r="CJ210" s="37" t="s">
        <v>255</v>
      </c>
      <c r="CK210" s="37" t="s">
        <v>255</v>
      </c>
      <c r="CL210" s="37" t="s">
        <v>255</v>
      </c>
      <c r="CM210" s="37" t="s">
        <v>255</v>
      </c>
      <c r="CN210" s="37" t="s">
        <v>255</v>
      </c>
      <c r="CO210" s="37" t="s">
        <v>255</v>
      </c>
      <c r="CP210" s="37" t="s">
        <v>255</v>
      </c>
      <c r="CQ210" s="37" t="s">
        <v>255</v>
      </c>
      <c r="CR210" s="123" t="s">
        <v>302</v>
      </c>
    </row>
    <row r="211" spans="1:96" ht="15.75" x14ac:dyDescent="0.25">
      <c r="A211" s="54" t="s">
        <v>445</v>
      </c>
      <c r="B211" s="119" t="s">
        <v>1705</v>
      </c>
      <c r="C211" s="1030" t="s">
        <v>243</v>
      </c>
      <c r="D211" s="119"/>
      <c r="E211" s="493"/>
      <c r="F211" s="49" t="s">
        <v>221</v>
      </c>
      <c r="G211" s="49" t="s">
        <v>221</v>
      </c>
      <c r="H211" s="49" t="s">
        <v>221</v>
      </c>
      <c r="I211" s="49" t="s">
        <v>221</v>
      </c>
      <c r="J211" s="49" t="s">
        <v>221</v>
      </c>
      <c r="K211" s="49" t="s">
        <v>221</v>
      </c>
      <c r="L211" s="49" t="s">
        <v>221</v>
      </c>
      <c r="M211" s="81">
        <f>SUM(M212,M213,M215,M217,M227,M234,M241,M247,M250,M251,M252,M253)</f>
        <v>51</v>
      </c>
      <c r="N211" s="81">
        <f>SUM(N212,N213,N215,N217,N227,N234,N241,N247,N250,N251,N252,N253)</f>
        <v>31</v>
      </c>
      <c r="O211" s="81">
        <f t="shared" ref="O211:Z211" si="295">SUM(O212,O213,O215,O217,O227,O234,O241,O247,O250,O251,O252,O253)</f>
        <v>0</v>
      </c>
      <c r="P211" s="81">
        <f t="shared" si="295"/>
        <v>0</v>
      </c>
      <c r="Q211" s="81">
        <f t="shared" si="295"/>
        <v>0</v>
      </c>
      <c r="R211" s="81">
        <f t="shared" si="295"/>
        <v>30</v>
      </c>
      <c r="S211" s="81">
        <f t="shared" si="295"/>
        <v>0</v>
      </c>
      <c r="T211" s="81">
        <f t="shared" si="295"/>
        <v>9</v>
      </c>
      <c r="U211" s="81">
        <f t="shared" si="295"/>
        <v>1</v>
      </c>
      <c r="V211" s="81">
        <f t="shared" si="295"/>
        <v>0</v>
      </c>
      <c r="W211" s="81">
        <f t="shared" si="295"/>
        <v>1</v>
      </c>
      <c r="X211" s="81">
        <f t="shared" si="295"/>
        <v>0</v>
      </c>
      <c r="Y211" s="81">
        <f t="shared" si="295"/>
        <v>0</v>
      </c>
      <c r="Z211" s="81">
        <f t="shared" si="295"/>
        <v>0</v>
      </c>
      <c r="AA211" s="387" t="str">
        <f>IF(N211&gt;0,"ДА","НЕТ")</f>
        <v>ДА</v>
      </c>
      <c r="AB211" s="387"/>
      <c r="AC211" s="140" t="str">
        <f>IF(O211&gt;0,"ДА","НЕТ")</f>
        <v>НЕТ</v>
      </c>
      <c r="AD211" s="118"/>
      <c r="AE211" s="140"/>
      <c r="AF211" s="140" t="str">
        <f>IF(R211&gt;0,"ДА","НЕТ")</f>
        <v>ДА</v>
      </c>
      <c r="AG211" s="118"/>
      <c r="AH211" s="140"/>
      <c r="AI211" s="140" t="str">
        <f>IF(U211&gt;0,"ДА","НЕТ")</f>
        <v>ДА</v>
      </c>
      <c r="AJ211" s="118"/>
      <c r="AK211" s="140"/>
      <c r="AL211" s="140" t="str">
        <f>IF(X211&gt;0,"ДА","НЕТ")</f>
        <v>НЕТ</v>
      </c>
      <c r="AM211" s="118"/>
      <c r="AN211" s="140"/>
      <c r="AQ211" s="199"/>
      <c r="AR211" s="229"/>
      <c r="AS211" s="49">
        <f>SUM(AS217,AS227,AS234,AS241,AS247,AS250,AS251,AS252,AS253)</f>
        <v>0</v>
      </c>
      <c r="AT211" s="49">
        <f t="shared" ref="AT211:AV211" si="296">SUM(AT217,AT227,AT234,AT241,AT247,AT250,AT251,AT252,AT253)</f>
        <v>0</v>
      </c>
      <c r="AU211" s="49">
        <f t="shared" si="296"/>
        <v>0</v>
      </c>
      <c r="AV211" s="49">
        <f t="shared" si="296"/>
        <v>0</v>
      </c>
      <c r="AW211" s="49">
        <f>SUM(AW217,AW227,AW234,AW241,AW247,AW250,AW251,AW252,AW253)</f>
        <v>3</v>
      </c>
      <c r="AX211" s="49">
        <f>SUM(AX217,AX227,AX234,AX241,AX247,AX250,AX251,AX252,AX253)</f>
        <v>29</v>
      </c>
      <c r="AY211" s="49">
        <f>SUM(AY217,AY227,AY234,AY241,AY247,AY250,AY251,AY252,AY253)</f>
        <v>29</v>
      </c>
      <c r="AZ211" s="52">
        <f>SUM(AZ217,AZ227,AZ234,AZ241,AZ247,AZ250,AZ251,AZ252,AZ253)</f>
        <v>47</v>
      </c>
      <c r="BA211" s="81"/>
      <c r="BB211" s="49">
        <f t="shared" ref="BB211:BP211" si="297">SUM(BB217,BB227,BB234,BB241,BB247,BB250,BB251,BB252,BB253)</f>
        <v>29</v>
      </c>
      <c r="BC211" s="49">
        <f t="shared" si="297"/>
        <v>29</v>
      </c>
      <c r="BD211" s="49">
        <f t="shared" si="297"/>
        <v>4</v>
      </c>
      <c r="BE211" s="49">
        <f t="shared" si="297"/>
        <v>0</v>
      </c>
      <c r="BF211" s="52">
        <f t="shared" si="297"/>
        <v>0</v>
      </c>
      <c r="BG211" s="49">
        <f t="shared" si="297"/>
        <v>17</v>
      </c>
      <c r="BH211" s="49">
        <f t="shared" si="297"/>
        <v>17</v>
      </c>
      <c r="BI211" s="49">
        <f t="shared" si="297"/>
        <v>0</v>
      </c>
      <c r="BJ211" s="49">
        <f t="shared" si="297"/>
        <v>0</v>
      </c>
      <c r="BK211" s="52">
        <f t="shared" si="297"/>
        <v>0</v>
      </c>
      <c r="BL211" s="49">
        <f t="shared" si="297"/>
        <v>0</v>
      </c>
      <c r="BM211" s="49">
        <f t="shared" si="297"/>
        <v>0</v>
      </c>
      <c r="BN211" s="49">
        <f t="shared" si="297"/>
        <v>0</v>
      </c>
      <c r="BO211" s="49">
        <f t="shared" si="297"/>
        <v>0</v>
      </c>
      <c r="BP211" s="52">
        <f t="shared" si="297"/>
        <v>0</v>
      </c>
      <c r="BQ211" s="209"/>
      <c r="BR211" s="388"/>
      <c r="BS211" s="140" t="str">
        <f t="shared" ref="BS211:BV211" si="298">IF(AS211&gt;0,"ДА","НЕТ")</f>
        <v>НЕТ</v>
      </c>
      <c r="BT211" s="140" t="str">
        <f t="shared" si="298"/>
        <v>НЕТ</v>
      </c>
      <c r="BU211" s="140" t="str">
        <f t="shared" si="298"/>
        <v>НЕТ</v>
      </c>
      <c r="BV211" s="140" t="str">
        <f t="shared" si="298"/>
        <v>НЕТ</v>
      </c>
      <c r="BW211" s="140" t="str">
        <f>IF(AS211&gt;0,"ДА","НЕТ")</f>
        <v>НЕТ</v>
      </c>
      <c r="BX211" s="140" t="str">
        <f>IF(AW211&gt;0,"ДА","НЕТ")</f>
        <v>ДА</v>
      </c>
      <c r="BY211" s="140" t="str">
        <f>IF(AX211&gt;0,"ДА","НЕТ")</f>
        <v>ДА</v>
      </c>
      <c r="BZ211" s="140" t="str">
        <f>IF(AY211&gt;0,"ДА","НЕТ")</f>
        <v>ДА</v>
      </c>
      <c r="CA211" s="208" t="str">
        <f>IF(AZ211&gt;0,"ДА","НЕТ")</f>
        <v>ДА</v>
      </c>
      <c r="CB211" s="222"/>
      <c r="CC211" s="140" t="str">
        <f t="shared" ref="CC211:CQ211" si="299">IF(BB211&gt;0,"ДА","НЕТ")</f>
        <v>ДА</v>
      </c>
      <c r="CD211" s="140" t="str">
        <f t="shared" si="299"/>
        <v>ДА</v>
      </c>
      <c r="CE211" s="140" t="str">
        <f t="shared" si="299"/>
        <v>ДА</v>
      </c>
      <c r="CF211" s="140" t="str">
        <f t="shared" si="299"/>
        <v>НЕТ</v>
      </c>
      <c r="CG211" s="140" t="str">
        <f t="shared" si="299"/>
        <v>НЕТ</v>
      </c>
      <c r="CH211" s="140" t="str">
        <f t="shared" si="299"/>
        <v>ДА</v>
      </c>
      <c r="CI211" s="140" t="str">
        <f t="shared" si="299"/>
        <v>ДА</v>
      </c>
      <c r="CJ211" s="140" t="str">
        <f t="shared" si="299"/>
        <v>НЕТ</v>
      </c>
      <c r="CK211" s="140" t="str">
        <f t="shared" si="299"/>
        <v>НЕТ</v>
      </c>
      <c r="CL211" s="140" t="str">
        <f t="shared" si="299"/>
        <v>НЕТ</v>
      </c>
      <c r="CM211" s="140" t="str">
        <f t="shared" si="299"/>
        <v>НЕТ</v>
      </c>
      <c r="CN211" s="140" t="str">
        <f t="shared" si="299"/>
        <v>НЕТ</v>
      </c>
      <c r="CO211" s="140" t="str">
        <f t="shared" si="299"/>
        <v>НЕТ</v>
      </c>
      <c r="CP211" s="140" t="str">
        <f t="shared" si="299"/>
        <v>НЕТ</v>
      </c>
      <c r="CQ211" s="140" t="str">
        <f t="shared" si="299"/>
        <v>НЕТ</v>
      </c>
      <c r="CR211" s="122"/>
    </row>
    <row r="212" spans="1:96" ht="409.5" outlineLevel="1" collapsed="1" x14ac:dyDescent="0.25">
      <c r="A212" s="131" t="s">
        <v>446</v>
      </c>
      <c r="B212" s="113" t="s">
        <v>1823</v>
      </c>
      <c r="C212" s="1028" t="s">
        <v>2294</v>
      </c>
      <c r="D212" s="113" t="s">
        <v>2210</v>
      </c>
      <c r="E212" s="490"/>
      <c r="F212" s="108" t="s">
        <v>222</v>
      </c>
      <c r="G212" s="111" t="s">
        <v>563</v>
      </c>
      <c r="H212" s="111" t="s">
        <v>242</v>
      </c>
      <c r="I212" s="111" t="s">
        <v>242</v>
      </c>
      <c r="J212" s="111" t="s">
        <v>242</v>
      </c>
      <c r="K212" s="111" t="s">
        <v>242</v>
      </c>
      <c r="L212" s="111" t="s">
        <v>242</v>
      </c>
      <c r="M212" s="108">
        <v>1</v>
      </c>
      <c r="N212" s="235">
        <f t="shared" ref="N212:N216" si="300">SUM(O212,R212,U212,X212)</f>
        <v>2</v>
      </c>
      <c r="O212" s="200" t="str">
        <f t="shared" ref="O212" si="301">IF(AC212="ДА",$M212,"")</f>
        <v/>
      </c>
      <c r="P212" s="144"/>
      <c r="Q212" s="357">
        <f>IF(AC212="ДА",ROUNDUP(O212/5,0),0)</f>
        <v>0</v>
      </c>
      <c r="R212" s="356">
        <f>IF(AF212="ДА",$M212,"")</f>
        <v>1</v>
      </c>
      <c r="S212" s="144"/>
      <c r="T212" s="357">
        <f>IF(AF212="ДА",ROUNDUP(R212/5,0),0)</f>
        <v>1</v>
      </c>
      <c r="U212" s="356">
        <f>IF(AI212="ДА",$M212,"")</f>
        <v>1</v>
      </c>
      <c r="V212" s="144"/>
      <c r="W212" s="357">
        <f>IF(AI212="ДА",ROUNDUP(U212/5,0),0)</f>
        <v>1</v>
      </c>
      <c r="X212" s="356" t="str">
        <f>IF(AL212="ДА",$M212,"")</f>
        <v/>
      </c>
      <c r="Y212" s="144"/>
      <c r="Z212" s="201">
        <f>IF(AL212="ДА",ROUNDUP(X212/5,0),0)</f>
        <v>0</v>
      </c>
      <c r="AA212" s="388" t="str">
        <f>IF(OR(AC212="ДА",AF212="ДА",AI212="ДА",AL212="ДА"),"ДА","НЕТ")</f>
        <v>ДА</v>
      </c>
      <c r="AB212" s="388"/>
      <c r="AC212" s="37" t="str">
        <f>IF(AC$8=$BT$9,$BT212,IF(AC$8=$BS$9,$BS212,IF(AC$8=$BU$9,$BU212,IF(AC$8=$BV$9,$BV212,IF(AC$8=$BW$9,$BW212,IF(AC$8=$BX$9,$BX212,IF(AC$8=$BY$9,$BY212,IF(AC$8=$BZ$9,$BZ212,IF(AC$8=$CA$9,$CA212,IF(AC$8=$CC$9,$CC212,IF(AC$8=$CD$9,$CD212,IF(AC$8=$CE$9,$CE212,IF(AC$8=$CF$9,$CF212,IF(AC$8=$CG$9,$CG212,IF(AC$8=$CH$9,$CH212,IF(AC$8=$CI$9,$CI212,IF(AC$8=$CJ$9,$CJ212,IF(AC$8=$CK$9,$CK212,IF(AC$8=$CL$9,$CL212,IF(AC$8=$CM$9,$CM212,IF(AC$8=$CN$9,$CN212,IF(AC$8=$CO$9,$CO212,IF(AC$8=$CP$9,$CP212,IF(AC$8=$CQ$9,$CQ212,"НЕТ"))))))))))))))))))))))))</f>
        <v>НЕТ</v>
      </c>
      <c r="AD212" s="37" t="str">
        <f>IF(AC212="НЕТ","Не требуется",$CR212)</f>
        <v>Не требуется</v>
      </c>
      <c r="AE212" s="37"/>
      <c r="AF212" s="37" t="str">
        <f t="shared" ref="AF212:AL213" si="302">IF(AF$8=$BT$9,$BT212,IF(AF$8=$BS$9,$BS212,IF(AF$8=$BU$9,$BU212,IF(AF$8=$BV$9,$BV212,IF(AF$8=$BW$9,$BW212,IF(AF$8=$BX$9,$BX212,IF(AF$8=$BY$9,$BY212,IF(AF$8=$BZ$9,$BZ212,IF(AF$8=$CA$9,$CA212,IF(AF$8=$CC$9,$CC212,IF(AF$8=$CD$9,$CD212,IF(AF$8=$CE$9,$CE212,IF(AF$8=$CF$9,$CF212,IF(AF$8=$CG$9,$CG212,IF(AF$8=$CH$9,$CH212,IF(AF$8=$CI$9,$CI212,IF(AF$8=$CJ$9,$CJ212,IF(AF$8=$CK$9,$CK212,IF(AF$8=$CL$9,$CL212,IF(AF$8=$CM$9,$CM212,IF(AF$8=$CN$9,$CN212,IF(AF$8=$CO$9,$CO212,IF(AF$8=$CP$9,$CP212,IF(AF$8=$CQ$9,$CQ212,"НЕТ"))))))))))))))))))))))))</f>
        <v>ДА</v>
      </c>
      <c r="AG212" s="37" t="str">
        <f t="shared" si="302"/>
        <v>НЕТ</v>
      </c>
      <c r="AH212" s="37" t="str">
        <f t="shared" si="302"/>
        <v>НЕТ</v>
      </c>
      <c r="AI212" s="37" t="str">
        <f t="shared" si="302"/>
        <v>ДА</v>
      </c>
      <c r="AJ212" s="37" t="str">
        <f t="shared" si="302"/>
        <v>НЕТ</v>
      </c>
      <c r="AK212" s="37" t="str">
        <f t="shared" si="302"/>
        <v>НЕТ</v>
      </c>
      <c r="AL212" s="37" t="str">
        <f t="shared" si="302"/>
        <v>НЕТ</v>
      </c>
      <c r="AM212" s="37" t="str">
        <f>IF(AL212="НЕТ","Не требуется",$CR212)</f>
        <v>Не требуется</v>
      </c>
      <c r="AN212" s="37"/>
      <c r="AQ212" s="200"/>
      <c r="AR212" s="230"/>
      <c r="AS212" s="144">
        <f t="shared" ref="AS212:AS213" si="303">IF(BS212="ДА",$M212,"")</f>
        <v>1</v>
      </c>
      <c r="AT212" s="144" t="str">
        <f t="shared" ref="AT212:AT213" si="304">IF(BT212="ДА",$M212,"")</f>
        <v/>
      </c>
      <c r="AU212" s="144" t="str">
        <f t="shared" ref="AU212:AU213" si="305">IF(BU212="ДА",$M212,"")</f>
        <v/>
      </c>
      <c r="AV212" s="144">
        <f t="shared" ref="AV212:AV213" si="306">IF(BV212="ДА",$M212,"")</f>
        <v>1</v>
      </c>
      <c r="AW212" s="144">
        <f t="shared" ref="AW212:AZ213" si="307">IF(BX212="ДА",$M212,"")</f>
        <v>1</v>
      </c>
      <c r="AX212" s="144">
        <f t="shared" si="307"/>
        <v>1</v>
      </c>
      <c r="AY212" s="144">
        <f t="shared" si="307"/>
        <v>1</v>
      </c>
      <c r="AZ212" s="201">
        <f t="shared" si="307"/>
        <v>1</v>
      </c>
      <c r="BA212" s="235"/>
      <c r="BB212" s="144">
        <f t="shared" ref="BB212" si="308">IF(CC212="ДА",$M212,"")</f>
        <v>1</v>
      </c>
      <c r="BC212" s="144">
        <f t="shared" ref="BC212" si="309">IF(CD212="ДА",$M212,"")</f>
        <v>1</v>
      </c>
      <c r="BD212" s="144" t="str">
        <f t="shared" ref="BD212" si="310">IF(CE212="ДА",$M212,"")</f>
        <v/>
      </c>
      <c r="BE212" s="144" t="str">
        <f t="shared" ref="BE212" si="311">IF(CF212="ДА",$M212,"")</f>
        <v/>
      </c>
      <c r="BF212" s="201" t="str">
        <f t="shared" ref="BF212" si="312">IF(CG212="ДА",$M212,"")</f>
        <v/>
      </c>
      <c r="BG212" s="144" t="str">
        <f t="shared" ref="BG212" si="313">IF(CH212="ДА",$M212,"")</f>
        <v/>
      </c>
      <c r="BH212" s="144" t="str">
        <f t="shared" ref="BH212" si="314">IF(CI212="ДА",$M212,"")</f>
        <v/>
      </c>
      <c r="BI212" s="144" t="str">
        <f t="shared" ref="BI212" si="315">IF(CJ212="ДА",$M212,"")</f>
        <v/>
      </c>
      <c r="BJ212" s="144" t="str">
        <f t="shared" ref="BJ212" si="316">IF(CK212="ДА",$M212,"")</f>
        <v/>
      </c>
      <c r="BK212" s="201" t="str">
        <f t="shared" ref="BK212" si="317">IF(CL212="ДА",$M212,"")</f>
        <v/>
      </c>
      <c r="BL212" s="144" t="str">
        <f t="shared" ref="BL212" si="318">IF(CM212="ДА",$M212,"")</f>
        <v/>
      </c>
      <c r="BM212" s="144" t="str">
        <f t="shared" ref="BM212" si="319">IF(CN212="ДА",$M212,"")</f>
        <v/>
      </c>
      <c r="BN212" s="144" t="str">
        <f t="shared" ref="BN212" si="320">IF(CO212="ДА",$M212,"")</f>
        <v/>
      </c>
      <c r="BO212" s="144" t="str">
        <f t="shared" ref="BO212" si="321">IF(CP212="ДА",$M212,"")</f>
        <v/>
      </c>
      <c r="BP212" s="201" t="str">
        <f t="shared" ref="BP212" si="322">IF(CQ212="ДА",$M212,"")</f>
        <v/>
      </c>
      <c r="BQ212" s="209"/>
      <c r="BR212" s="388"/>
      <c r="BS212" s="37" t="s">
        <v>246</v>
      </c>
      <c r="BT212" s="37" t="s">
        <v>255</v>
      </c>
      <c r="BU212" s="37" t="s">
        <v>255</v>
      </c>
      <c r="BV212" s="37" t="s">
        <v>246</v>
      </c>
      <c r="BW212" s="37" t="s">
        <v>255</v>
      </c>
      <c r="BX212" s="37" t="s">
        <v>246</v>
      </c>
      <c r="BY212" s="37" t="s">
        <v>246</v>
      </c>
      <c r="BZ212" s="37" t="s">
        <v>246</v>
      </c>
      <c r="CA212" s="123" t="s">
        <v>246</v>
      </c>
      <c r="CB212" s="223"/>
      <c r="CC212" s="37" t="s">
        <v>246</v>
      </c>
      <c r="CD212" s="37" t="s">
        <v>246</v>
      </c>
      <c r="CE212" s="37" t="s">
        <v>255</v>
      </c>
      <c r="CF212" s="37" t="s">
        <v>255</v>
      </c>
      <c r="CG212" s="37" t="s">
        <v>255</v>
      </c>
      <c r="CH212" s="37" t="s">
        <v>255</v>
      </c>
      <c r="CI212" s="37" t="s">
        <v>255</v>
      </c>
      <c r="CJ212" s="37" t="s">
        <v>255</v>
      </c>
      <c r="CK212" s="37" t="s">
        <v>255</v>
      </c>
      <c r="CL212" s="37" t="s">
        <v>255</v>
      </c>
      <c r="CM212" s="37" t="s">
        <v>255</v>
      </c>
      <c r="CN212" s="37" t="s">
        <v>255</v>
      </c>
      <c r="CO212" s="37" t="s">
        <v>255</v>
      </c>
      <c r="CP212" s="37" t="s">
        <v>255</v>
      </c>
      <c r="CQ212" s="37" t="s">
        <v>255</v>
      </c>
      <c r="CR212" s="123" t="s">
        <v>302</v>
      </c>
    </row>
    <row r="213" spans="1:96" ht="409.5" outlineLevel="1" collapsed="1" x14ac:dyDescent="0.25">
      <c r="A213" s="134" t="s">
        <v>447</v>
      </c>
      <c r="B213" s="115" t="s">
        <v>1822</v>
      </c>
      <c r="C213" s="1028" t="s">
        <v>2294</v>
      </c>
      <c r="D213" s="115" t="s">
        <v>2209</v>
      </c>
      <c r="E213" s="496"/>
      <c r="F213" s="843" t="s">
        <v>1683</v>
      </c>
      <c r="G213" s="109" t="s">
        <v>953</v>
      </c>
      <c r="H213" s="808"/>
      <c r="I213" s="808"/>
      <c r="J213" s="111" t="s">
        <v>1692</v>
      </c>
      <c r="K213" s="111" t="s">
        <v>1692</v>
      </c>
      <c r="L213" s="808"/>
      <c r="M213" s="109">
        <v>2</v>
      </c>
      <c r="N213" s="235">
        <f t="shared" ref="N213" si="323">SUM(O213,R213,U213,X213)</f>
        <v>0</v>
      </c>
      <c r="O213" s="200" t="str">
        <f t="shared" ref="O213" si="324">IF(AC213="ДА",$M213,"")</f>
        <v/>
      </c>
      <c r="P213" s="144"/>
      <c r="Q213" s="357">
        <f>IF(AC213="ДА",ROUNDUP(O213/5,0),0)</f>
        <v>0</v>
      </c>
      <c r="R213" s="356" t="str">
        <f>IF(AF213="ДА",$M213,"")</f>
        <v/>
      </c>
      <c r="S213" s="144"/>
      <c r="T213" s="357">
        <f>IF(AF213="ДА",ROUNDUP(R213/5,0),0)</f>
        <v>0</v>
      </c>
      <c r="U213" s="356" t="str">
        <f>IF(AI213="ДА",$M213,"")</f>
        <v/>
      </c>
      <c r="V213" s="144"/>
      <c r="W213" s="357">
        <f>IF(AI213="ДА",ROUNDUP(U213/5,0),0)</f>
        <v>0</v>
      </c>
      <c r="X213" s="356" t="str">
        <f>IF(AL213="ДА",$M213,"")</f>
        <v/>
      </c>
      <c r="Y213" s="144"/>
      <c r="Z213" s="201">
        <f>IF(AL213="ДА",ROUNDUP(X213/5,0),0)</f>
        <v>0</v>
      </c>
      <c r="AA213" s="388" t="str">
        <f>IF(OR(AC213="ДА",AF213="ДА",AI213="ДА",AL213="ДА"),"ДА","НЕТ")</f>
        <v>НЕТ</v>
      </c>
      <c r="AB213" s="388"/>
      <c r="AC213" s="37" t="str">
        <f>IF(AC$8=$BT$9,$BT213,IF(AC$8=$BS$9,$BS213,IF(AC$8=$BU$9,$BU213,IF(AC$8=$BV$9,$BV213,IF(AC$8=$BW$9,$BW213,IF(AC$8=$BX$9,$BX213,IF(AC$8=$BY$9,$BY213,IF(AC$8=$BZ$9,$BZ213,IF(AC$8=$CA$9,$CA213,IF(AC$8=$CC$9,$CC213,IF(AC$8=$CD$9,$CD213,IF(AC$8=$CE$9,$CE213,IF(AC$8=$CF$9,$CF213,IF(AC$8=$CG$9,$CG213,IF(AC$8=$CH$9,$CH213,IF(AC$8=$CI$9,$CI213,IF(AC$8=$CJ$9,$CJ213,IF(AC$8=$CK$9,$CK213,IF(AC$8=$CL$9,$CL213,IF(AC$8=$CM$9,$CM213,IF(AC$8=$CN$9,$CN213,IF(AC$8=$CO$9,$CO213,IF(AC$8=$CP$9,$CP213,IF(AC$8=$CQ$9,$CQ213,"НЕТ"))))))))))))))))))))))))</f>
        <v>НЕТ</v>
      </c>
      <c r="AD213" s="37" t="str">
        <f>IF(AC213="НЕТ","Не требуется",$CR213)</f>
        <v>Не требуется</v>
      </c>
      <c r="AE213" s="37"/>
      <c r="AF213" s="37" t="str">
        <f t="shared" si="302"/>
        <v>НЕТ</v>
      </c>
      <c r="AG213" s="37" t="str">
        <f t="shared" si="302"/>
        <v>НЕТ</v>
      </c>
      <c r="AH213" s="37" t="str">
        <f t="shared" si="302"/>
        <v>НЕТ</v>
      </c>
      <c r="AI213" s="37" t="str">
        <f t="shared" si="302"/>
        <v>НЕТ</v>
      </c>
      <c r="AJ213" s="37" t="str">
        <f t="shared" si="302"/>
        <v>НЕТ</v>
      </c>
      <c r="AK213" s="37" t="str">
        <f t="shared" si="302"/>
        <v>НЕТ</v>
      </c>
      <c r="AL213" s="37" t="str">
        <f t="shared" si="302"/>
        <v>НЕТ</v>
      </c>
      <c r="AM213" s="37" t="str">
        <f>IF(AL213="НЕТ","Не требуется",$CR213)</f>
        <v>Не требуется</v>
      </c>
      <c r="AN213" s="37"/>
      <c r="AQ213" s="200"/>
      <c r="AR213" s="230"/>
      <c r="AS213" s="144" t="str">
        <f t="shared" si="303"/>
        <v/>
      </c>
      <c r="AT213" s="144" t="str">
        <f t="shared" si="304"/>
        <v/>
      </c>
      <c r="AU213" s="144" t="str">
        <f t="shared" si="305"/>
        <v/>
      </c>
      <c r="AV213" s="144" t="str">
        <f t="shared" si="306"/>
        <v/>
      </c>
      <c r="AW213" s="144">
        <f t="shared" si="307"/>
        <v>2</v>
      </c>
      <c r="AX213" s="144" t="str">
        <f t="shared" si="307"/>
        <v/>
      </c>
      <c r="AY213" s="144" t="str">
        <f t="shared" si="307"/>
        <v/>
      </c>
      <c r="AZ213" s="201" t="str">
        <f t="shared" si="307"/>
        <v/>
      </c>
      <c r="BA213" s="235"/>
      <c r="BB213" s="144">
        <f t="shared" ref="BB213" si="325">IF(CC213="ДА",$M213,"")</f>
        <v>2</v>
      </c>
      <c r="BC213" s="144">
        <f t="shared" ref="BC213" si="326">IF(CD213="ДА",$M213,"")</f>
        <v>2</v>
      </c>
      <c r="BD213" s="144" t="str">
        <f t="shared" ref="BD213" si="327">IF(CE213="ДА",$M213,"")</f>
        <v/>
      </c>
      <c r="BE213" s="144" t="str">
        <f t="shared" ref="BE213" si="328">IF(CF213="ДА",$M213,"")</f>
        <v/>
      </c>
      <c r="BF213" s="201" t="str">
        <f t="shared" ref="BF213" si="329">IF(CG213="ДА",$M213,"")</f>
        <v/>
      </c>
      <c r="BG213" s="144" t="str">
        <f t="shared" ref="BG213" si="330">IF(CH213="ДА",$M213,"")</f>
        <v/>
      </c>
      <c r="BH213" s="144" t="str">
        <f t="shared" ref="BH213" si="331">IF(CI213="ДА",$M213,"")</f>
        <v/>
      </c>
      <c r="BI213" s="144" t="str">
        <f t="shared" ref="BI213" si="332">IF(CJ213="ДА",$M213,"")</f>
        <v/>
      </c>
      <c r="BJ213" s="144" t="str">
        <f t="shared" ref="BJ213" si="333">IF(CK213="ДА",$M213,"")</f>
        <v/>
      </c>
      <c r="BK213" s="201" t="str">
        <f t="shared" ref="BK213" si="334">IF(CL213="ДА",$M213,"")</f>
        <v/>
      </c>
      <c r="BL213" s="144" t="str">
        <f t="shared" ref="BL213" si="335">IF(CM213="ДА",$M213,"")</f>
        <v/>
      </c>
      <c r="BM213" s="144" t="str">
        <f t="shared" ref="BM213" si="336">IF(CN213="ДА",$M213,"")</f>
        <v/>
      </c>
      <c r="BN213" s="144" t="str">
        <f t="shared" ref="BN213" si="337">IF(CO213="ДА",$M213,"")</f>
        <v/>
      </c>
      <c r="BO213" s="144" t="str">
        <f t="shared" ref="BO213" si="338">IF(CP213="ДА",$M213,"")</f>
        <v/>
      </c>
      <c r="BP213" s="201" t="str">
        <f t="shared" ref="BP213" si="339">IF(CQ213="ДА",$M213,"")</f>
        <v/>
      </c>
      <c r="BQ213" s="209"/>
      <c r="BR213" s="388"/>
      <c r="BS213" s="37" t="s">
        <v>255</v>
      </c>
      <c r="BT213" s="37" t="s">
        <v>255</v>
      </c>
      <c r="BU213" s="37" t="s">
        <v>255</v>
      </c>
      <c r="BV213" s="37" t="s">
        <v>255</v>
      </c>
      <c r="BW213" s="37" t="s">
        <v>255</v>
      </c>
      <c r="BX213" s="37" t="s">
        <v>246</v>
      </c>
      <c r="BY213" s="37" t="s">
        <v>255</v>
      </c>
      <c r="BZ213" s="37" t="s">
        <v>255</v>
      </c>
      <c r="CA213" s="37" t="s">
        <v>255</v>
      </c>
      <c r="CB213" s="223"/>
      <c r="CC213" s="37" t="s">
        <v>246</v>
      </c>
      <c r="CD213" s="37" t="s">
        <v>246</v>
      </c>
      <c r="CE213" s="37" t="s">
        <v>255</v>
      </c>
      <c r="CF213" s="37" t="s">
        <v>255</v>
      </c>
      <c r="CG213" s="37" t="s">
        <v>255</v>
      </c>
      <c r="CH213" s="37" t="s">
        <v>255</v>
      </c>
      <c r="CI213" s="37" t="s">
        <v>255</v>
      </c>
      <c r="CJ213" s="37" t="s">
        <v>255</v>
      </c>
      <c r="CK213" s="37" t="s">
        <v>255</v>
      </c>
      <c r="CL213" s="37" t="s">
        <v>255</v>
      </c>
      <c r="CM213" s="37" t="s">
        <v>255</v>
      </c>
      <c r="CN213" s="37" t="s">
        <v>255</v>
      </c>
      <c r="CO213" s="37" t="s">
        <v>255</v>
      </c>
      <c r="CP213" s="37" t="s">
        <v>255</v>
      </c>
      <c r="CQ213" s="37" t="s">
        <v>255</v>
      </c>
      <c r="CR213" s="123" t="s">
        <v>302</v>
      </c>
    </row>
    <row r="214" spans="1:96" ht="30" hidden="1" outlineLevel="2" x14ac:dyDescent="0.25">
      <c r="A214" s="133"/>
      <c r="B214" s="277" t="s">
        <v>1723</v>
      </c>
      <c r="C214" s="278"/>
      <c r="D214" s="278"/>
      <c r="E214" s="278"/>
      <c r="F214" s="278"/>
      <c r="G214" s="278"/>
      <c r="H214" s="278"/>
      <c r="I214" s="278"/>
      <c r="J214" s="278"/>
      <c r="K214" s="278"/>
      <c r="L214" s="278"/>
      <c r="M214" s="278"/>
      <c r="N214" s="235">
        <f t="shared" si="300"/>
        <v>0</v>
      </c>
      <c r="O214" s="346"/>
      <c r="P214" s="278"/>
      <c r="Q214" s="378"/>
      <c r="R214" s="377"/>
      <c r="S214" s="278"/>
      <c r="T214" s="378"/>
      <c r="U214" s="377"/>
      <c r="V214" s="278"/>
      <c r="W214" s="378"/>
      <c r="X214" s="377"/>
      <c r="Y214" s="278"/>
      <c r="Z214" s="347"/>
      <c r="AA214" s="278"/>
      <c r="AB214" s="800"/>
      <c r="AD214" s="279"/>
      <c r="AE214" s="278"/>
      <c r="AF214" s="278"/>
      <c r="AG214" s="279"/>
      <c r="AH214" s="278"/>
      <c r="AI214" s="278"/>
      <c r="AJ214" s="279"/>
      <c r="AK214" s="278"/>
      <c r="AL214" s="278"/>
      <c r="AM214" s="279"/>
      <c r="AN214" s="278"/>
      <c r="AQ214" s="202"/>
      <c r="AZ214" s="203"/>
      <c r="BF214" s="203"/>
      <c r="BK214" s="203"/>
      <c r="BP214" s="203"/>
      <c r="BQ214" s="202"/>
      <c r="CA214" s="203"/>
      <c r="CR214" s="122"/>
    </row>
    <row r="215" spans="1:96" ht="409.5" outlineLevel="1" collapsed="1" x14ac:dyDescent="0.25">
      <c r="A215" s="134" t="s">
        <v>448</v>
      </c>
      <c r="B215" s="115" t="s">
        <v>1821</v>
      </c>
      <c r="C215" s="1031" t="s">
        <v>2295</v>
      </c>
      <c r="D215" s="115" t="s">
        <v>2209</v>
      </c>
      <c r="E215" s="496"/>
      <c r="F215" s="808" t="s">
        <v>326</v>
      </c>
      <c r="G215" s="808" t="s">
        <v>1754</v>
      </c>
      <c r="H215" s="808"/>
      <c r="I215" s="808"/>
      <c r="J215" s="111" t="s">
        <v>242</v>
      </c>
      <c r="K215" s="111" t="s">
        <v>242</v>
      </c>
      <c r="L215" s="808"/>
      <c r="M215" s="109">
        <v>1</v>
      </c>
      <c r="N215" s="235">
        <f t="shared" si="300"/>
        <v>0</v>
      </c>
      <c r="O215" s="200" t="str">
        <f t="shared" ref="O215" si="340">IF(AC215="ДА",$M215,"")</f>
        <v/>
      </c>
      <c r="P215" s="144"/>
      <c r="Q215" s="357">
        <f>IF(AC215="ДА",ROUNDUP(O215/5,0),0)</f>
        <v>0</v>
      </c>
      <c r="R215" s="356" t="str">
        <f>IF(AF215="ДА",$M215,"")</f>
        <v/>
      </c>
      <c r="S215" s="144"/>
      <c r="T215" s="357">
        <f>IF(AF215="ДА",ROUNDUP(R215/5,0),0)</f>
        <v>0</v>
      </c>
      <c r="U215" s="356" t="str">
        <f>IF(AI215="ДА",$M215,"")</f>
        <v/>
      </c>
      <c r="V215" s="144"/>
      <c r="W215" s="357">
        <f>IF(AI215="ДА",ROUNDUP(U215/5,0),0)</f>
        <v>0</v>
      </c>
      <c r="X215" s="356" t="str">
        <f>IF(AL215="ДА",$M215,"")</f>
        <v/>
      </c>
      <c r="Y215" s="144"/>
      <c r="Z215" s="201">
        <f>IF(AL215="ДА",ROUNDUP(X215/5,0),0)</f>
        <v>0</v>
      </c>
      <c r="AA215" s="388" t="str">
        <f>IF(OR(AC215="ДА",AF215="ДА",AI215="ДА",AL215="ДА"),"ДА","НЕТ")</f>
        <v>НЕТ</v>
      </c>
      <c r="AB215" s="388"/>
      <c r="AC215" s="37" t="str">
        <f>IF(AC$8=$BT$9,$BT215,IF(AC$8=$BS$9,$BS215,IF(AC$8=$BU$9,$BU215,IF(AC$8=$BV$9,$BV215,IF(AC$8=$BW$9,$BW215,IF(AC$8=$BX$9,$BX215,IF(AC$8=$BY$9,$BY215,IF(AC$8=$BZ$9,$BZ215,IF(AC$8=$CA$9,$CA215,IF(AC$8=$CC$9,$CC215,IF(AC$8=$CD$9,$CD215,IF(AC$8=$CE$9,$CE215,IF(AC$8=$CF$9,$CF215,IF(AC$8=$CG$9,$CG215,IF(AC$8=$CH$9,$CH215,IF(AC$8=$CI$9,$CI215,IF(AC$8=$CJ$9,$CJ215,IF(AC$8=$CK$9,$CK215,IF(AC$8=$CL$9,$CL215,IF(AC$8=$CM$9,$CM215,IF(AC$8=$CN$9,$CN215,IF(AC$8=$CO$9,$CO215,IF(AC$8=$CP$9,$CP215,IF(AC$8=$CQ$9,$CQ215,"НЕТ"))))))))))))))))))))))))</f>
        <v>НЕТ</v>
      </c>
      <c r="AD215" s="37" t="str">
        <f>IF(AC215="НЕТ","Не требуется",$CR215)</f>
        <v>Не требуется</v>
      </c>
      <c r="AE215" s="37"/>
      <c r="AF215" s="37" t="str">
        <f t="shared" ref="AF215:AL215" si="341">IF(AF$8=$BT$9,$BT215,IF(AF$8=$BS$9,$BS215,IF(AF$8=$BU$9,$BU215,IF(AF$8=$BV$9,$BV215,IF(AF$8=$BW$9,$BW215,IF(AF$8=$BX$9,$BX215,IF(AF$8=$BY$9,$BY215,IF(AF$8=$BZ$9,$BZ215,IF(AF$8=$CA$9,$CA215,IF(AF$8=$CC$9,$CC215,IF(AF$8=$CD$9,$CD215,IF(AF$8=$CE$9,$CE215,IF(AF$8=$CF$9,$CF215,IF(AF$8=$CG$9,$CG215,IF(AF$8=$CH$9,$CH215,IF(AF$8=$CI$9,$CI215,IF(AF$8=$CJ$9,$CJ215,IF(AF$8=$CK$9,$CK215,IF(AF$8=$CL$9,$CL215,IF(AF$8=$CM$9,$CM215,IF(AF$8=$CN$9,$CN215,IF(AF$8=$CO$9,$CO215,IF(AF$8=$CP$9,$CP215,IF(AF$8=$CQ$9,$CQ215,"НЕТ"))))))))))))))))))))))))</f>
        <v>НЕТ</v>
      </c>
      <c r="AG215" s="37" t="str">
        <f t="shared" si="341"/>
        <v>НЕТ</v>
      </c>
      <c r="AH215" s="37" t="str">
        <f t="shared" si="341"/>
        <v>НЕТ</v>
      </c>
      <c r="AI215" s="37" t="str">
        <f t="shared" si="341"/>
        <v>НЕТ</v>
      </c>
      <c r="AJ215" s="37" t="str">
        <f t="shared" si="341"/>
        <v>НЕТ</v>
      </c>
      <c r="AK215" s="37" t="str">
        <f t="shared" si="341"/>
        <v>НЕТ</v>
      </c>
      <c r="AL215" s="37" t="str">
        <f t="shared" si="341"/>
        <v>НЕТ</v>
      </c>
      <c r="AM215" s="37" t="str">
        <f>IF(AL215="НЕТ","Не требуется",$CR215)</f>
        <v>Не требуется</v>
      </c>
      <c r="AN215" s="37"/>
      <c r="AQ215" s="200"/>
      <c r="AR215" s="230"/>
      <c r="AS215" s="144" t="str">
        <f t="shared" ref="AS215" si="342">IF(BS215="ДА",$M215,"")</f>
        <v/>
      </c>
      <c r="AT215" s="144" t="str">
        <f t="shared" ref="AT215" si="343">IF(BT215="ДА",$M215,"")</f>
        <v/>
      </c>
      <c r="AU215" s="144" t="str">
        <f t="shared" ref="AU215" si="344">IF(BU215="ДА",$M215,"")</f>
        <v/>
      </c>
      <c r="AV215" s="144" t="str">
        <f t="shared" ref="AV215" si="345">IF(BV215="ДА",$M215,"")</f>
        <v/>
      </c>
      <c r="AW215" s="144">
        <f>IF(BX215="ДА",$M215,"")</f>
        <v>1</v>
      </c>
      <c r="AX215" s="144" t="str">
        <f>IF(BY215="ДА",$M215,"")</f>
        <v/>
      </c>
      <c r="AY215" s="144" t="str">
        <f>IF(BZ215="ДА",$M215,"")</f>
        <v/>
      </c>
      <c r="AZ215" s="201" t="str">
        <f>IF(CA215="ДА",$M215,"")</f>
        <v/>
      </c>
      <c r="BA215" s="235"/>
      <c r="BB215" s="144">
        <f t="shared" ref="BB215" si="346">IF(CC215="ДА",$M215,"")</f>
        <v>1</v>
      </c>
      <c r="BC215" s="144">
        <f t="shared" ref="BC215" si="347">IF(CD215="ДА",$M215,"")</f>
        <v>1</v>
      </c>
      <c r="BD215" s="144" t="str">
        <f t="shared" ref="BD215" si="348">IF(CE215="ДА",$M215,"")</f>
        <v/>
      </c>
      <c r="BE215" s="144" t="str">
        <f t="shared" ref="BE215" si="349">IF(CF215="ДА",$M215,"")</f>
        <v/>
      </c>
      <c r="BF215" s="201" t="str">
        <f t="shared" ref="BF215" si="350">IF(CG215="ДА",$M215,"")</f>
        <v/>
      </c>
      <c r="BG215" s="144" t="str">
        <f t="shared" ref="BG215" si="351">IF(CH215="ДА",$M215,"")</f>
        <v/>
      </c>
      <c r="BH215" s="144" t="str">
        <f t="shared" ref="BH215" si="352">IF(CI215="ДА",$M215,"")</f>
        <v/>
      </c>
      <c r="BI215" s="144" t="str">
        <f t="shared" ref="BI215" si="353">IF(CJ215="ДА",$M215,"")</f>
        <v/>
      </c>
      <c r="BJ215" s="144" t="str">
        <f t="shared" ref="BJ215" si="354">IF(CK215="ДА",$M215,"")</f>
        <v/>
      </c>
      <c r="BK215" s="201" t="str">
        <f t="shared" ref="BK215" si="355">IF(CL215="ДА",$M215,"")</f>
        <v/>
      </c>
      <c r="BL215" s="144" t="str">
        <f t="shared" ref="BL215" si="356">IF(CM215="ДА",$M215,"")</f>
        <v/>
      </c>
      <c r="BM215" s="144" t="str">
        <f t="shared" ref="BM215" si="357">IF(CN215="ДА",$M215,"")</f>
        <v/>
      </c>
      <c r="BN215" s="144" t="str">
        <f t="shared" ref="BN215" si="358">IF(CO215="ДА",$M215,"")</f>
        <v/>
      </c>
      <c r="BO215" s="144" t="str">
        <f t="shared" ref="BO215" si="359">IF(CP215="ДА",$M215,"")</f>
        <v/>
      </c>
      <c r="BP215" s="201" t="str">
        <f t="shared" ref="BP215" si="360">IF(CQ215="ДА",$M215,"")</f>
        <v/>
      </c>
      <c r="BQ215" s="209"/>
      <c r="BR215" s="388"/>
      <c r="BS215" s="37" t="s">
        <v>255</v>
      </c>
      <c r="BT215" s="37" t="s">
        <v>255</v>
      </c>
      <c r="BU215" s="37" t="s">
        <v>255</v>
      </c>
      <c r="BV215" s="37" t="s">
        <v>255</v>
      </c>
      <c r="BW215" s="37" t="s">
        <v>255</v>
      </c>
      <c r="BX215" s="37" t="s">
        <v>246</v>
      </c>
      <c r="BY215" s="37" t="s">
        <v>255</v>
      </c>
      <c r="BZ215" s="37" t="s">
        <v>255</v>
      </c>
      <c r="CA215" s="37" t="s">
        <v>255</v>
      </c>
      <c r="CB215" s="223"/>
      <c r="CC215" s="37" t="s">
        <v>246</v>
      </c>
      <c r="CD215" s="37" t="s">
        <v>246</v>
      </c>
      <c r="CE215" s="37" t="s">
        <v>255</v>
      </c>
      <c r="CF215" s="37" t="s">
        <v>255</v>
      </c>
      <c r="CG215" s="37" t="s">
        <v>255</v>
      </c>
      <c r="CH215" s="37" t="s">
        <v>255</v>
      </c>
      <c r="CI215" s="37" t="s">
        <v>255</v>
      </c>
      <c r="CJ215" s="37" t="s">
        <v>255</v>
      </c>
      <c r="CK215" s="37" t="s">
        <v>255</v>
      </c>
      <c r="CL215" s="37" t="s">
        <v>255</v>
      </c>
      <c r="CM215" s="37" t="s">
        <v>255</v>
      </c>
      <c r="CN215" s="37" t="s">
        <v>255</v>
      </c>
      <c r="CO215" s="37" t="s">
        <v>255</v>
      </c>
      <c r="CP215" s="37" t="s">
        <v>255</v>
      </c>
      <c r="CQ215" s="37" t="s">
        <v>255</v>
      </c>
      <c r="CR215" s="123" t="s">
        <v>302</v>
      </c>
    </row>
    <row r="216" spans="1:96" hidden="1" outlineLevel="2" x14ac:dyDescent="0.25">
      <c r="A216" s="133"/>
      <c r="B216" s="277"/>
      <c r="C216" s="278"/>
      <c r="D216" s="278"/>
      <c r="E216" s="278"/>
      <c r="F216" s="278"/>
      <c r="G216" s="278"/>
      <c r="H216" s="278"/>
      <c r="I216" s="278"/>
      <c r="J216" s="278"/>
      <c r="K216" s="278"/>
      <c r="L216" s="278"/>
      <c r="M216" s="278"/>
      <c r="N216" s="235">
        <f t="shared" si="300"/>
        <v>0</v>
      </c>
      <c r="O216" s="346"/>
      <c r="P216" s="278"/>
      <c r="Q216" s="378"/>
      <c r="R216" s="377"/>
      <c r="S216" s="278"/>
      <c r="T216" s="378"/>
      <c r="U216" s="377"/>
      <c r="V216" s="278"/>
      <c r="W216" s="378"/>
      <c r="X216" s="377"/>
      <c r="Y216" s="278"/>
      <c r="Z216" s="347"/>
      <c r="AA216" s="278"/>
      <c r="AB216" s="800"/>
      <c r="AD216" s="279"/>
      <c r="AE216" s="278"/>
      <c r="AF216" s="278"/>
      <c r="AG216" s="279"/>
      <c r="AH216" s="278"/>
      <c r="AI216" s="278"/>
      <c r="AJ216" s="279"/>
      <c r="AK216" s="278"/>
      <c r="AL216" s="278"/>
      <c r="AM216" s="279"/>
      <c r="AN216" s="278"/>
      <c r="AQ216" s="202"/>
      <c r="AZ216" s="203"/>
      <c r="BF216" s="203"/>
      <c r="BK216" s="203"/>
      <c r="BP216" s="203"/>
      <c r="BQ216" s="202"/>
      <c r="CA216" s="203"/>
      <c r="CR216" s="122"/>
    </row>
    <row r="217" spans="1:96" ht="63" outlineLevel="1" collapsed="1" x14ac:dyDescent="0.25">
      <c r="A217" s="134" t="s">
        <v>449</v>
      </c>
      <c r="B217" s="243" t="s">
        <v>1820</v>
      </c>
      <c r="C217" s="1031" t="s">
        <v>1095</v>
      </c>
      <c r="D217" s="243"/>
      <c r="E217" s="496"/>
      <c r="F217" s="109" t="s">
        <v>326</v>
      </c>
      <c r="G217" s="109" t="s">
        <v>953</v>
      </c>
      <c r="H217" s="111" t="s">
        <v>243</v>
      </c>
      <c r="I217" s="111" t="s">
        <v>242</v>
      </c>
      <c r="J217" s="111" t="s">
        <v>243</v>
      </c>
      <c r="K217" s="111" t="s">
        <v>242</v>
      </c>
      <c r="L217" s="111" t="s">
        <v>243</v>
      </c>
      <c r="M217" s="109">
        <v>10</v>
      </c>
      <c r="N217" s="235">
        <f t="shared" ref="N217:N253" si="361">SUM(O217,R217,U217,X217)</f>
        <v>10</v>
      </c>
      <c r="O217" s="200" t="str">
        <f t="shared" ref="O217" si="362">IF(AC217="ДА",$M217,"")</f>
        <v/>
      </c>
      <c r="P217" s="144"/>
      <c r="Q217" s="357">
        <f>IF(AC217="ДА",ROUNDUP(O217/5,0),0)</f>
        <v>0</v>
      </c>
      <c r="R217" s="356">
        <f>IF(AF217="ДА",$M217,"")</f>
        <v>10</v>
      </c>
      <c r="S217" s="144"/>
      <c r="T217" s="357">
        <f>IF(AF217="ДА",ROUNDUP(R217/5,0),0)</f>
        <v>2</v>
      </c>
      <c r="U217" s="356" t="str">
        <f>IF(AI217="ДА",$M217,"")</f>
        <v/>
      </c>
      <c r="V217" s="144"/>
      <c r="W217" s="357">
        <f>IF(AI217="ДА",ROUNDUP(U217/5,0),0)</f>
        <v>0</v>
      </c>
      <c r="X217" s="356" t="str">
        <f>IF(AL217="ДА",$M217,"")</f>
        <v/>
      </c>
      <c r="Y217" s="144"/>
      <c r="Z217" s="201">
        <f>IF(AL217="ДА",ROUNDUP(X217/5,0),0)</f>
        <v>0</v>
      </c>
      <c r="AA217" s="388" t="str">
        <f>IF(OR(AC217="ДА",AF217="ДА",AI217="ДА",AL217="ДА"),"ДА","НЕТ")</f>
        <v>ДА</v>
      </c>
      <c r="AB217" s="388"/>
      <c r="AC217" s="37" t="str">
        <f>IF(AC$8=$BT$9,$BT217,IF(AC$8=$BS$9,$BS217,IF(AC$8=$BU$9,$BU217,IF(AC$8=$BV$9,$BV217,IF(AC$8=$BW$9,$BW217,IF(AC$8=$BX$9,$BX217,IF(AC$8=$BY$9,$BY217,IF(AC$8=$BZ$9,$BZ217,IF(AC$8=$CA$9,$CA217,IF(AC$8=$CC$9,$CC217,IF(AC$8=$CD$9,$CD217,IF(AC$8=$CE$9,$CE217,IF(AC$8=$CF$9,$CF217,IF(AC$8=$CG$9,$CG217,IF(AC$8=$CH$9,$CH217,IF(AC$8=$CI$9,$CI217,IF(AC$8=$CJ$9,$CJ217,IF(AC$8=$CK$9,$CK217,IF(AC$8=$CL$9,$CL217,IF(AC$8=$CM$9,$CM217,IF(AC$8=$CN$9,$CN217,IF(AC$8=$CO$9,$CO217,IF(AC$8=$CP$9,$CP217,IF(AC$8=$CQ$9,$CQ217,"НЕТ"))))))))))))))))))))))))</f>
        <v>НЕТ</v>
      </c>
      <c r="AD217" s="37" t="str">
        <f>IF(AC217="НЕТ","Не требуется",$CR217)</f>
        <v>Не требуется</v>
      </c>
      <c r="AE217" s="37"/>
      <c r="AF217" s="37" t="str">
        <f t="shared" ref="AF217:AL217" si="363">IF(AF$8=$BT$9,$BT217,IF(AF$8=$BS$9,$BS217,IF(AF$8=$BU$9,$BU217,IF(AF$8=$BV$9,$BV217,IF(AF$8=$BW$9,$BW217,IF(AF$8=$BX$9,$BX217,IF(AF$8=$BY$9,$BY217,IF(AF$8=$BZ$9,$BZ217,IF(AF$8=$CA$9,$CA217,IF(AF$8=$CC$9,$CC217,IF(AF$8=$CD$9,$CD217,IF(AF$8=$CE$9,$CE217,IF(AF$8=$CF$9,$CF217,IF(AF$8=$CG$9,$CG217,IF(AF$8=$CH$9,$CH217,IF(AF$8=$CI$9,$CI217,IF(AF$8=$CJ$9,$CJ217,IF(AF$8=$CK$9,$CK217,IF(AF$8=$CL$9,$CL217,IF(AF$8=$CM$9,$CM217,IF(AF$8=$CN$9,$CN217,IF(AF$8=$CO$9,$CO217,IF(AF$8=$CP$9,$CP217,IF(AF$8=$CQ$9,$CQ217,"НЕТ"))))))))))))))))))))))))</f>
        <v>ДА</v>
      </c>
      <c r="AG217" s="37" t="str">
        <f t="shared" si="363"/>
        <v>НЕТ</v>
      </c>
      <c r="AH217" s="37" t="str">
        <f t="shared" si="363"/>
        <v>НЕТ</v>
      </c>
      <c r="AI217" s="37" t="str">
        <f t="shared" si="363"/>
        <v>НЕТ</v>
      </c>
      <c r="AJ217" s="37" t="str">
        <f t="shared" si="363"/>
        <v>НЕТ</v>
      </c>
      <c r="AK217" s="37" t="str">
        <f t="shared" si="363"/>
        <v>НЕТ</v>
      </c>
      <c r="AL217" s="37" t="str">
        <f t="shared" si="363"/>
        <v>НЕТ</v>
      </c>
      <c r="AM217" s="37" t="str">
        <f>IF(AL217="НЕТ","Не требуется",$CR217)</f>
        <v>Не требуется</v>
      </c>
      <c r="AN217" s="37"/>
      <c r="AQ217" s="200"/>
      <c r="AR217" s="230"/>
      <c r="AS217" s="144" t="str">
        <f t="shared" ref="AS217" si="364">IF(BS217="ДА",$M217,"")</f>
        <v/>
      </c>
      <c r="AT217" s="144" t="str">
        <f t="shared" ref="AT217" si="365">IF(BT217="ДА",$M217,"")</f>
        <v/>
      </c>
      <c r="AU217" s="144" t="str">
        <f t="shared" ref="AU217" si="366">IF(BU217="ДА",$M217,"")</f>
        <v/>
      </c>
      <c r="AV217" s="144" t="str">
        <f t="shared" ref="AV217" si="367">IF(BV217="ДА",$M217,"")</f>
        <v/>
      </c>
      <c r="AW217" s="144" t="str">
        <f>IF(BX217="ДА",$M217,"")</f>
        <v/>
      </c>
      <c r="AX217" s="144">
        <f>IF(BY217="ДА",$M217,"")</f>
        <v>10</v>
      </c>
      <c r="AY217" s="144">
        <f>IF(BZ217="ДА",$M217,"")</f>
        <v>10</v>
      </c>
      <c r="AZ217" s="201">
        <f>IF(CA217="ДА",$M217,"")</f>
        <v>10</v>
      </c>
      <c r="BA217" s="235"/>
      <c r="BB217" s="144">
        <f t="shared" ref="BB217:BP217" si="368">IF(CC217="ДА",$M217,"")</f>
        <v>10</v>
      </c>
      <c r="BC217" s="144">
        <f t="shared" si="368"/>
        <v>10</v>
      </c>
      <c r="BD217" s="144" t="str">
        <f t="shared" si="368"/>
        <v/>
      </c>
      <c r="BE217" s="144" t="str">
        <f t="shared" si="368"/>
        <v/>
      </c>
      <c r="BF217" s="201" t="str">
        <f t="shared" si="368"/>
        <v/>
      </c>
      <c r="BG217" s="144" t="str">
        <f t="shared" si="368"/>
        <v/>
      </c>
      <c r="BH217" s="144" t="str">
        <f t="shared" si="368"/>
        <v/>
      </c>
      <c r="BI217" s="144" t="str">
        <f t="shared" si="368"/>
        <v/>
      </c>
      <c r="BJ217" s="144" t="str">
        <f t="shared" si="368"/>
        <v/>
      </c>
      <c r="BK217" s="201" t="str">
        <f t="shared" si="368"/>
        <v/>
      </c>
      <c r="BL217" s="144" t="str">
        <f t="shared" si="368"/>
        <v/>
      </c>
      <c r="BM217" s="144" t="str">
        <f t="shared" si="368"/>
        <v/>
      </c>
      <c r="BN217" s="144" t="str">
        <f t="shared" si="368"/>
        <v/>
      </c>
      <c r="BO217" s="144" t="str">
        <f t="shared" si="368"/>
        <v/>
      </c>
      <c r="BP217" s="201" t="str">
        <f t="shared" si="368"/>
        <v/>
      </c>
      <c r="BQ217" s="209"/>
      <c r="BR217" s="388"/>
      <c r="BS217" s="37" t="s">
        <v>255</v>
      </c>
      <c r="BT217" s="37" t="s">
        <v>255</v>
      </c>
      <c r="BU217" s="37" t="s">
        <v>255</v>
      </c>
      <c r="BV217" s="37" t="s">
        <v>255</v>
      </c>
      <c r="BW217" s="37" t="s">
        <v>255</v>
      </c>
      <c r="BX217" s="37" t="s">
        <v>255</v>
      </c>
      <c r="BY217" s="37" t="s">
        <v>246</v>
      </c>
      <c r="BZ217" s="37" t="s">
        <v>246</v>
      </c>
      <c r="CA217" s="123" t="s">
        <v>246</v>
      </c>
      <c r="CB217" s="223"/>
      <c r="CC217" s="37" t="s">
        <v>246</v>
      </c>
      <c r="CD217" s="37" t="s">
        <v>246</v>
      </c>
      <c r="CE217" s="37" t="s">
        <v>255</v>
      </c>
      <c r="CF217" s="37" t="s">
        <v>255</v>
      </c>
      <c r="CG217" s="37" t="s">
        <v>255</v>
      </c>
      <c r="CH217" s="37" t="s">
        <v>255</v>
      </c>
      <c r="CI217" s="37" t="s">
        <v>255</v>
      </c>
      <c r="CJ217" s="37" t="s">
        <v>255</v>
      </c>
      <c r="CK217" s="37" t="s">
        <v>255</v>
      </c>
      <c r="CL217" s="37" t="s">
        <v>255</v>
      </c>
      <c r="CM217" s="37" t="s">
        <v>255</v>
      </c>
      <c r="CN217" s="37" t="s">
        <v>255</v>
      </c>
      <c r="CO217" s="37" t="s">
        <v>255</v>
      </c>
      <c r="CP217" s="37" t="s">
        <v>255</v>
      </c>
      <c r="CQ217" s="37" t="s">
        <v>255</v>
      </c>
      <c r="CR217" s="123" t="s">
        <v>302</v>
      </c>
    </row>
    <row r="218" spans="1:96" ht="60" hidden="1" outlineLevel="2" x14ac:dyDescent="0.25">
      <c r="A218" s="133"/>
      <c r="B218" s="277" t="s">
        <v>1661</v>
      </c>
      <c r="C218" s="1032"/>
      <c r="D218" s="278"/>
      <c r="E218" s="278"/>
      <c r="F218" s="278"/>
      <c r="G218" s="278"/>
      <c r="H218" s="278"/>
      <c r="I218" s="278"/>
      <c r="J218" s="278"/>
      <c r="K218" s="278"/>
      <c r="L218" s="278"/>
      <c r="M218" s="278"/>
      <c r="N218" s="235">
        <f t="shared" ref="N218" si="369">SUM(O218,R218,U218,X218)</f>
        <v>0</v>
      </c>
      <c r="O218" s="346"/>
      <c r="P218" s="278"/>
      <c r="Q218" s="378"/>
      <c r="R218" s="377"/>
      <c r="S218" s="278"/>
      <c r="T218" s="378"/>
      <c r="U218" s="377"/>
      <c r="V218" s="278"/>
      <c r="W218" s="378"/>
      <c r="X218" s="377"/>
      <c r="Y218" s="278"/>
      <c r="Z218" s="347"/>
      <c r="AA218" s="278"/>
      <c r="AB218" s="800"/>
      <c r="AD218" s="279"/>
      <c r="AE218" s="278"/>
      <c r="AF218" s="278"/>
      <c r="AG218" s="279"/>
      <c r="AH218" s="278"/>
      <c r="AI218" s="278"/>
      <c r="AJ218" s="279"/>
      <c r="AK218" s="278"/>
      <c r="AL218" s="278"/>
      <c r="AM218" s="279"/>
      <c r="AN218" s="278"/>
      <c r="AQ218" s="202"/>
      <c r="AZ218" s="203"/>
      <c r="BF218" s="203"/>
      <c r="BK218" s="203"/>
      <c r="BP218" s="203"/>
      <c r="BQ218" s="202"/>
      <c r="CA218" s="203"/>
      <c r="CR218" s="122"/>
    </row>
    <row r="219" spans="1:96" ht="60" hidden="1" outlineLevel="2" x14ac:dyDescent="0.25">
      <c r="A219" s="133"/>
      <c r="B219" s="277" t="s">
        <v>369</v>
      </c>
      <c r="C219" s="1032"/>
      <c r="D219" s="278"/>
      <c r="E219" s="278"/>
      <c r="F219" s="278"/>
      <c r="G219" s="278"/>
      <c r="H219" s="278"/>
      <c r="I219" s="278"/>
      <c r="J219" s="278"/>
      <c r="K219" s="278"/>
      <c r="L219" s="278"/>
      <c r="M219" s="278"/>
      <c r="N219" s="235">
        <f t="shared" si="361"/>
        <v>0</v>
      </c>
      <c r="O219" s="346"/>
      <c r="P219" s="278"/>
      <c r="Q219" s="378"/>
      <c r="R219" s="377"/>
      <c r="S219" s="278"/>
      <c r="T219" s="378"/>
      <c r="U219" s="377"/>
      <c r="V219" s="278"/>
      <c r="W219" s="378"/>
      <c r="X219" s="377"/>
      <c r="Y219" s="278"/>
      <c r="Z219" s="347"/>
      <c r="AA219" s="278"/>
      <c r="AB219" s="800"/>
      <c r="AD219" s="279"/>
      <c r="AE219" s="278"/>
      <c r="AF219" s="278"/>
      <c r="AG219" s="279"/>
      <c r="AH219" s="278"/>
      <c r="AI219" s="278"/>
      <c r="AJ219" s="279"/>
      <c r="AK219" s="278"/>
      <c r="AL219" s="278"/>
      <c r="AM219" s="279"/>
      <c r="AN219" s="278"/>
      <c r="AQ219" s="202"/>
      <c r="AZ219" s="203"/>
      <c r="BF219" s="203"/>
      <c r="BK219" s="203"/>
      <c r="BP219" s="203"/>
      <c r="BQ219" s="202"/>
      <c r="CA219" s="203"/>
      <c r="CR219" s="122"/>
    </row>
    <row r="220" spans="1:96" ht="75" hidden="1" outlineLevel="2" x14ac:dyDescent="0.25">
      <c r="A220" s="133"/>
      <c r="B220" s="277" t="s">
        <v>370</v>
      </c>
      <c r="C220" s="1032"/>
      <c r="D220" s="278"/>
      <c r="E220" s="278"/>
      <c r="F220" s="278"/>
      <c r="G220" s="278"/>
      <c r="H220" s="278"/>
      <c r="I220" s="278"/>
      <c r="J220" s="278"/>
      <c r="K220" s="278"/>
      <c r="L220" s="278"/>
      <c r="M220" s="278"/>
      <c r="N220" s="235">
        <f t="shared" si="361"/>
        <v>0</v>
      </c>
      <c r="O220" s="346"/>
      <c r="P220" s="278"/>
      <c r="Q220" s="378"/>
      <c r="R220" s="377"/>
      <c r="S220" s="278"/>
      <c r="T220" s="378"/>
      <c r="U220" s="377"/>
      <c r="V220" s="278"/>
      <c r="W220" s="378"/>
      <c r="X220" s="377"/>
      <c r="Y220" s="278"/>
      <c r="Z220" s="347"/>
      <c r="AA220" s="278"/>
      <c r="AB220" s="800"/>
      <c r="AD220" s="279"/>
      <c r="AE220" s="278"/>
      <c r="AF220" s="278"/>
      <c r="AG220" s="279"/>
      <c r="AH220" s="278"/>
      <c r="AI220" s="278"/>
      <c r="AJ220" s="279"/>
      <c r="AK220" s="278"/>
      <c r="AL220" s="278"/>
      <c r="AM220" s="279"/>
      <c r="AN220" s="278"/>
      <c r="AQ220" s="202"/>
      <c r="AZ220" s="203"/>
      <c r="BF220" s="203"/>
      <c r="BK220" s="203"/>
      <c r="BP220" s="203"/>
      <c r="BQ220" s="202"/>
      <c r="CA220" s="203"/>
      <c r="CR220" s="122"/>
    </row>
    <row r="221" spans="1:96" ht="60" hidden="1" outlineLevel="2" x14ac:dyDescent="0.25">
      <c r="A221" s="133"/>
      <c r="B221" s="277" t="s">
        <v>371</v>
      </c>
      <c r="C221" s="1032"/>
      <c r="D221" s="278"/>
      <c r="E221" s="278"/>
      <c r="F221" s="278"/>
      <c r="G221" s="278"/>
      <c r="H221" s="278"/>
      <c r="I221" s="278"/>
      <c r="J221" s="278"/>
      <c r="K221" s="278"/>
      <c r="L221" s="278"/>
      <c r="M221" s="278"/>
      <c r="N221" s="235">
        <f t="shared" si="361"/>
        <v>0</v>
      </c>
      <c r="O221" s="346"/>
      <c r="P221" s="278"/>
      <c r="Q221" s="378"/>
      <c r="R221" s="377"/>
      <c r="S221" s="278"/>
      <c r="T221" s="378"/>
      <c r="U221" s="377"/>
      <c r="V221" s="278"/>
      <c r="W221" s="378"/>
      <c r="X221" s="377"/>
      <c r="Y221" s="278"/>
      <c r="Z221" s="347"/>
      <c r="AA221" s="278"/>
      <c r="AB221" s="800"/>
      <c r="AD221" s="279"/>
      <c r="AE221" s="278"/>
      <c r="AF221" s="278"/>
      <c r="AG221" s="279"/>
      <c r="AH221" s="278"/>
      <c r="AI221" s="278"/>
      <c r="AJ221" s="279"/>
      <c r="AK221" s="278"/>
      <c r="AL221" s="278"/>
      <c r="AM221" s="279"/>
      <c r="AN221" s="278"/>
      <c r="AQ221" s="202"/>
      <c r="AZ221" s="203"/>
      <c r="BF221" s="203"/>
      <c r="BK221" s="203"/>
      <c r="BP221" s="203"/>
      <c r="BQ221" s="202"/>
      <c r="CA221" s="203"/>
      <c r="CR221" s="122"/>
    </row>
    <row r="222" spans="1:96" ht="45" hidden="1" outlineLevel="2" x14ac:dyDescent="0.25">
      <c r="A222" s="133"/>
      <c r="B222" s="277" t="s">
        <v>564</v>
      </c>
      <c r="C222" s="1032"/>
      <c r="D222" s="278"/>
      <c r="E222" s="278"/>
      <c r="F222" s="278"/>
      <c r="G222" s="278"/>
      <c r="H222" s="278"/>
      <c r="I222" s="278"/>
      <c r="J222" s="278"/>
      <c r="K222" s="278"/>
      <c r="L222" s="278"/>
      <c r="M222" s="278"/>
      <c r="N222" s="235">
        <f t="shared" si="361"/>
        <v>0</v>
      </c>
      <c r="O222" s="346"/>
      <c r="P222" s="278"/>
      <c r="Q222" s="378"/>
      <c r="R222" s="377"/>
      <c r="S222" s="278"/>
      <c r="T222" s="378"/>
      <c r="U222" s="377"/>
      <c r="V222" s="278"/>
      <c r="W222" s="378"/>
      <c r="X222" s="377"/>
      <c r="Y222" s="278"/>
      <c r="Z222" s="347"/>
      <c r="AA222" s="278"/>
      <c r="AB222" s="800"/>
      <c r="AD222" s="279"/>
      <c r="AE222" s="278"/>
      <c r="AF222" s="278"/>
      <c r="AG222" s="279"/>
      <c r="AH222" s="278"/>
      <c r="AI222" s="278"/>
      <c r="AJ222" s="279"/>
      <c r="AK222" s="278"/>
      <c r="AL222" s="278"/>
      <c r="AM222" s="279"/>
      <c r="AN222" s="278"/>
      <c r="AQ222" s="202"/>
      <c r="AZ222" s="203"/>
      <c r="BF222" s="203"/>
      <c r="BK222" s="203"/>
      <c r="BP222" s="203"/>
      <c r="BQ222" s="202"/>
      <c r="CA222" s="203"/>
      <c r="CR222" s="122"/>
    </row>
    <row r="223" spans="1:96" ht="60" hidden="1" outlineLevel="2" x14ac:dyDescent="0.25">
      <c r="A223" s="133"/>
      <c r="B223" s="277" t="s">
        <v>372</v>
      </c>
      <c r="C223" s="1032"/>
      <c r="D223" s="278"/>
      <c r="E223" s="278"/>
      <c r="F223" s="278"/>
      <c r="G223" s="278"/>
      <c r="H223" s="278"/>
      <c r="I223" s="278"/>
      <c r="J223" s="278"/>
      <c r="K223" s="278"/>
      <c r="L223" s="278"/>
      <c r="M223" s="278"/>
      <c r="N223" s="235">
        <f t="shared" si="361"/>
        <v>0</v>
      </c>
      <c r="O223" s="346"/>
      <c r="P223" s="278"/>
      <c r="Q223" s="378"/>
      <c r="R223" s="377"/>
      <c r="S223" s="278"/>
      <c r="T223" s="378"/>
      <c r="U223" s="377"/>
      <c r="V223" s="278"/>
      <c r="W223" s="378"/>
      <c r="X223" s="377"/>
      <c r="Y223" s="278"/>
      <c r="Z223" s="347"/>
      <c r="AA223" s="278"/>
      <c r="AB223" s="800"/>
      <c r="AD223" s="279"/>
      <c r="AE223" s="278"/>
      <c r="AF223" s="278"/>
      <c r="AG223" s="279"/>
      <c r="AH223" s="278"/>
      <c r="AI223" s="278"/>
      <c r="AJ223" s="279"/>
      <c r="AK223" s="278"/>
      <c r="AL223" s="278"/>
      <c r="AM223" s="279"/>
      <c r="AN223" s="278"/>
      <c r="AQ223" s="202"/>
      <c r="AZ223" s="203"/>
      <c r="BF223" s="203"/>
      <c r="BK223" s="203"/>
      <c r="BP223" s="203"/>
      <c r="BQ223" s="202"/>
      <c r="CA223" s="203"/>
      <c r="CR223" s="122"/>
    </row>
    <row r="224" spans="1:96" ht="45" hidden="1" outlineLevel="2" x14ac:dyDescent="0.25">
      <c r="A224" s="133"/>
      <c r="B224" s="277" t="s">
        <v>169</v>
      </c>
      <c r="C224" s="1032"/>
      <c r="D224" s="278"/>
      <c r="E224" s="278"/>
      <c r="F224" s="278"/>
      <c r="G224" s="278"/>
      <c r="H224" s="278"/>
      <c r="I224" s="278"/>
      <c r="J224" s="278"/>
      <c r="K224" s="278"/>
      <c r="L224" s="278"/>
      <c r="M224" s="278"/>
      <c r="N224" s="235">
        <f t="shared" si="361"/>
        <v>0</v>
      </c>
      <c r="O224" s="346"/>
      <c r="P224" s="278"/>
      <c r="Q224" s="378"/>
      <c r="R224" s="377"/>
      <c r="S224" s="278"/>
      <c r="T224" s="378"/>
      <c r="U224" s="377"/>
      <c r="V224" s="278"/>
      <c r="W224" s="378"/>
      <c r="X224" s="377"/>
      <c r="Y224" s="278"/>
      <c r="Z224" s="347"/>
      <c r="AA224" s="278"/>
      <c r="AB224" s="800"/>
      <c r="AD224" s="279"/>
      <c r="AE224" s="278"/>
      <c r="AF224" s="278"/>
      <c r="AG224" s="279"/>
      <c r="AH224" s="278"/>
      <c r="AI224" s="278"/>
      <c r="AJ224" s="279"/>
      <c r="AK224" s="278"/>
      <c r="AL224" s="278"/>
      <c r="AM224" s="279"/>
      <c r="AN224" s="278"/>
      <c r="AQ224" s="202"/>
      <c r="AZ224" s="203"/>
      <c r="BF224" s="203"/>
      <c r="BK224" s="203"/>
      <c r="BP224" s="203"/>
      <c r="BQ224" s="202"/>
      <c r="CA224" s="203"/>
      <c r="CR224" s="122"/>
    </row>
    <row r="225" spans="1:96" ht="45" hidden="1" outlineLevel="2" x14ac:dyDescent="0.25">
      <c r="A225" s="133"/>
      <c r="B225" s="277" t="s">
        <v>373</v>
      </c>
      <c r="C225" s="1032"/>
      <c r="D225" s="278"/>
      <c r="E225" s="278"/>
      <c r="F225" s="278"/>
      <c r="G225" s="278"/>
      <c r="H225" s="278"/>
      <c r="I225" s="278"/>
      <c r="J225" s="278"/>
      <c r="K225" s="278"/>
      <c r="L225" s="278"/>
      <c r="M225" s="278"/>
      <c r="N225" s="235">
        <f t="shared" si="361"/>
        <v>0</v>
      </c>
      <c r="O225" s="346"/>
      <c r="P225" s="278"/>
      <c r="Q225" s="378"/>
      <c r="R225" s="377"/>
      <c r="S225" s="278"/>
      <c r="T225" s="378"/>
      <c r="U225" s="377"/>
      <c r="V225" s="278"/>
      <c r="W225" s="378"/>
      <c r="X225" s="377"/>
      <c r="Y225" s="278"/>
      <c r="Z225" s="347"/>
      <c r="AA225" s="278"/>
      <c r="AB225" s="800"/>
      <c r="AD225" s="279"/>
      <c r="AE225" s="278"/>
      <c r="AF225" s="278"/>
      <c r="AG225" s="279"/>
      <c r="AH225" s="278"/>
      <c r="AI225" s="278"/>
      <c r="AJ225" s="279"/>
      <c r="AK225" s="278"/>
      <c r="AL225" s="278"/>
      <c r="AM225" s="279"/>
      <c r="AN225" s="278"/>
      <c r="AQ225" s="202"/>
      <c r="AZ225" s="203"/>
      <c r="BF225" s="203"/>
      <c r="BK225" s="203"/>
      <c r="BP225" s="203"/>
      <c r="BQ225" s="202"/>
      <c r="CA225" s="203"/>
      <c r="CR225" s="122"/>
    </row>
    <row r="226" spans="1:96" ht="75" hidden="1" outlineLevel="2" x14ac:dyDescent="0.25">
      <c r="A226" s="133"/>
      <c r="B226" s="277" t="s">
        <v>374</v>
      </c>
      <c r="C226" s="1032"/>
      <c r="D226" s="278"/>
      <c r="E226" s="278"/>
      <c r="F226" s="278"/>
      <c r="G226" s="278"/>
      <c r="H226" s="278"/>
      <c r="I226" s="278"/>
      <c r="J226" s="278"/>
      <c r="K226" s="278"/>
      <c r="L226" s="278"/>
      <c r="M226" s="278"/>
      <c r="N226" s="235">
        <f t="shared" si="361"/>
        <v>0</v>
      </c>
      <c r="O226" s="346"/>
      <c r="P226" s="278"/>
      <c r="Q226" s="378"/>
      <c r="R226" s="377"/>
      <c r="S226" s="278"/>
      <c r="T226" s="378"/>
      <c r="U226" s="377"/>
      <c r="V226" s="278"/>
      <c r="W226" s="378"/>
      <c r="X226" s="377"/>
      <c r="Y226" s="278"/>
      <c r="Z226" s="347"/>
      <c r="AA226" s="278"/>
      <c r="AB226" s="800"/>
      <c r="AD226" s="279"/>
      <c r="AE226" s="278"/>
      <c r="AF226" s="278"/>
      <c r="AG226" s="279"/>
      <c r="AH226" s="278"/>
      <c r="AI226" s="278"/>
      <c r="AJ226" s="279"/>
      <c r="AK226" s="278"/>
      <c r="AL226" s="278"/>
      <c r="AM226" s="279"/>
      <c r="AN226" s="278"/>
      <c r="AQ226" s="202"/>
      <c r="AZ226" s="203"/>
      <c r="BF226" s="203"/>
      <c r="BK226" s="203"/>
      <c r="BP226" s="203"/>
      <c r="BQ226" s="202"/>
      <c r="CA226" s="203"/>
      <c r="CR226" s="122"/>
    </row>
    <row r="227" spans="1:96" ht="47.25" outlineLevel="1" collapsed="1" x14ac:dyDescent="0.25">
      <c r="A227" s="134" t="s">
        <v>450</v>
      </c>
      <c r="B227" s="115" t="s">
        <v>1819</v>
      </c>
      <c r="C227" s="1031" t="s">
        <v>1095</v>
      </c>
      <c r="D227" s="115"/>
      <c r="E227" s="146"/>
      <c r="F227" s="109" t="s">
        <v>326</v>
      </c>
      <c r="G227" s="109" t="s">
        <v>953</v>
      </c>
      <c r="H227" s="111" t="s">
        <v>243</v>
      </c>
      <c r="I227" s="111" t="s">
        <v>242</v>
      </c>
      <c r="J227" s="111" t="s">
        <v>243</v>
      </c>
      <c r="K227" s="111" t="s">
        <v>242</v>
      </c>
      <c r="L227" s="111" t="s">
        <v>243</v>
      </c>
      <c r="M227" s="109">
        <v>3</v>
      </c>
      <c r="N227" s="235">
        <f t="shared" si="361"/>
        <v>3</v>
      </c>
      <c r="O227" s="200" t="str">
        <f t="shared" ref="O227" si="370">IF(AC227="ДА",$M227,"")</f>
        <v/>
      </c>
      <c r="P227" s="144"/>
      <c r="Q227" s="357">
        <f>IF(AC227="ДА",ROUNDUP(O227/5,0),0)</f>
        <v>0</v>
      </c>
      <c r="R227" s="356">
        <f>IF(AF227="ДА",$M227,"")</f>
        <v>3</v>
      </c>
      <c r="S227" s="144"/>
      <c r="T227" s="357">
        <f>IF(AF227="ДА",ROUNDUP(R227/5,0),0)</f>
        <v>1</v>
      </c>
      <c r="U227" s="356" t="str">
        <f>IF(AI227="ДА",$M227,"")</f>
        <v/>
      </c>
      <c r="V227" s="144"/>
      <c r="W227" s="357">
        <f>IF(AI227="ДА",ROUNDUP(U227/5,0),0)</f>
        <v>0</v>
      </c>
      <c r="X227" s="356" t="str">
        <f>IF(AL227="ДА",$M227,"")</f>
        <v/>
      </c>
      <c r="Y227" s="144"/>
      <c r="Z227" s="201">
        <f>IF(AL227="ДА",ROUNDUP(X227/5,0),0)</f>
        <v>0</v>
      </c>
      <c r="AA227" s="388" t="str">
        <f>IF(OR(AC227="ДА",AF227="ДА",AI227="ДА",AL227="ДА"),"ДА","НЕТ")</f>
        <v>ДА</v>
      </c>
      <c r="AB227" s="388"/>
      <c r="AC227" s="37" t="str">
        <f>IF(AC$8=$BT$9,$BT227,IF(AC$8=$BS$9,$BS227,IF(AC$8=$BU$9,$BU227,IF(AC$8=$BV$9,$BV227,IF(AC$8=$BW$9,$BW227,IF(AC$8=$BX$9,$BX227,IF(AC$8=$BY$9,$BY227,IF(AC$8=$BZ$9,$BZ227,IF(AC$8=$CA$9,$CA227,IF(AC$8=$CC$9,$CC227,IF(AC$8=$CD$9,$CD227,IF(AC$8=$CE$9,$CE227,IF(AC$8=$CF$9,$CF227,IF(AC$8=$CG$9,$CG227,IF(AC$8=$CH$9,$CH227,IF(AC$8=$CI$9,$CI227,IF(AC$8=$CJ$9,$CJ227,IF(AC$8=$CK$9,$CK227,IF(AC$8=$CL$9,$CL227,IF(AC$8=$CM$9,$CM227,IF(AC$8=$CN$9,$CN227,IF(AC$8=$CO$9,$CO227,IF(AC$8=$CP$9,$CP227,IF(AC$8=$CQ$9,$CQ227,"НЕТ"))))))))))))))))))))))))</f>
        <v>НЕТ</v>
      </c>
      <c r="AD227" s="37" t="str">
        <f>IF(AC227="НЕТ","Не требуется",$CR227)</f>
        <v>Не требуется</v>
      </c>
      <c r="AE227" s="37"/>
      <c r="AF227" s="37" t="str">
        <f t="shared" ref="AF227:AL227" si="371">IF(AF$8=$BT$9,$BT227,IF(AF$8=$BS$9,$BS227,IF(AF$8=$BU$9,$BU227,IF(AF$8=$BV$9,$BV227,IF(AF$8=$BW$9,$BW227,IF(AF$8=$BX$9,$BX227,IF(AF$8=$BY$9,$BY227,IF(AF$8=$BZ$9,$BZ227,IF(AF$8=$CA$9,$CA227,IF(AF$8=$CC$9,$CC227,IF(AF$8=$CD$9,$CD227,IF(AF$8=$CE$9,$CE227,IF(AF$8=$CF$9,$CF227,IF(AF$8=$CG$9,$CG227,IF(AF$8=$CH$9,$CH227,IF(AF$8=$CI$9,$CI227,IF(AF$8=$CJ$9,$CJ227,IF(AF$8=$CK$9,$CK227,IF(AF$8=$CL$9,$CL227,IF(AF$8=$CM$9,$CM227,IF(AF$8=$CN$9,$CN227,IF(AF$8=$CO$9,$CO227,IF(AF$8=$CP$9,$CP227,IF(AF$8=$CQ$9,$CQ227,"НЕТ"))))))))))))))))))))))))</f>
        <v>ДА</v>
      </c>
      <c r="AG227" s="37" t="str">
        <f t="shared" si="371"/>
        <v>НЕТ</v>
      </c>
      <c r="AH227" s="37" t="str">
        <f t="shared" si="371"/>
        <v>НЕТ</v>
      </c>
      <c r="AI227" s="37" t="str">
        <f t="shared" si="371"/>
        <v>НЕТ</v>
      </c>
      <c r="AJ227" s="37" t="str">
        <f t="shared" si="371"/>
        <v>НЕТ</v>
      </c>
      <c r="AK227" s="37" t="str">
        <f t="shared" si="371"/>
        <v>НЕТ</v>
      </c>
      <c r="AL227" s="37" t="str">
        <f t="shared" si="371"/>
        <v>НЕТ</v>
      </c>
      <c r="AM227" s="37" t="str">
        <f>IF(AL227="НЕТ","Не требуется",$CR227)</f>
        <v>Не требуется</v>
      </c>
      <c r="AN227" s="37"/>
      <c r="AQ227" s="200"/>
      <c r="AR227" s="230"/>
      <c r="AS227" s="144" t="str">
        <f t="shared" ref="AS227" si="372">IF(BS227="ДА",$M227,"")</f>
        <v/>
      </c>
      <c r="AT227" s="144" t="str">
        <f t="shared" ref="AT227" si="373">IF(BT227="ДА",$M227,"")</f>
        <v/>
      </c>
      <c r="AU227" s="144" t="str">
        <f t="shared" ref="AU227" si="374">IF(BU227="ДА",$M227,"")</f>
        <v/>
      </c>
      <c r="AV227" s="144" t="str">
        <f t="shared" ref="AV227" si="375">IF(BV227="ДА",$M227,"")</f>
        <v/>
      </c>
      <c r="AW227" s="144">
        <f>IF(BX227="ДА",$M227,"")</f>
        <v>3</v>
      </c>
      <c r="AX227" s="144">
        <f>IF(BY227="ДА",$M227,"")</f>
        <v>3</v>
      </c>
      <c r="AY227" s="144">
        <f>IF(BZ227="ДА",$M227,"")</f>
        <v>3</v>
      </c>
      <c r="AZ227" s="201">
        <f>IF(CA227="ДА",$M227,"")</f>
        <v>3</v>
      </c>
      <c r="BA227" s="235"/>
      <c r="BB227" s="144">
        <f t="shared" ref="BB227:BP227" si="376">IF(CC227="ДА",$M227,"")</f>
        <v>3</v>
      </c>
      <c r="BC227" s="144">
        <f t="shared" si="376"/>
        <v>3</v>
      </c>
      <c r="BD227" s="144" t="str">
        <f t="shared" si="376"/>
        <v/>
      </c>
      <c r="BE227" s="144" t="str">
        <f t="shared" si="376"/>
        <v/>
      </c>
      <c r="BF227" s="201" t="str">
        <f t="shared" si="376"/>
        <v/>
      </c>
      <c r="BG227" s="144">
        <f t="shared" si="376"/>
        <v>3</v>
      </c>
      <c r="BH227" s="144">
        <f t="shared" si="376"/>
        <v>3</v>
      </c>
      <c r="BI227" s="144" t="str">
        <f t="shared" si="376"/>
        <v/>
      </c>
      <c r="BJ227" s="144" t="str">
        <f t="shared" si="376"/>
        <v/>
      </c>
      <c r="BK227" s="201" t="str">
        <f t="shared" si="376"/>
        <v/>
      </c>
      <c r="BL227" s="144" t="str">
        <f t="shared" si="376"/>
        <v/>
      </c>
      <c r="BM227" s="144" t="str">
        <f t="shared" si="376"/>
        <v/>
      </c>
      <c r="BN227" s="144" t="str">
        <f t="shared" si="376"/>
        <v/>
      </c>
      <c r="BO227" s="144" t="str">
        <f t="shared" si="376"/>
        <v/>
      </c>
      <c r="BP227" s="201" t="str">
        <f t="shared" si="376"/>
        <v/>
      </c>
      <c r="BQ227" s="209"/>
      <c r="BR227" s="388"/>
      <c r="BS227" s="37" t="s">
        <v>255</v>
      </c>
      <c r="BT227" s="37" t="s">
        <v>255</v>
      </c>
      <c r="BU227" s="37" t="s">
        <v>255</v>
      </c>
      <c r="BV227" s="37" t="s">
        <v>255</v>
      </c>
      <c r="BW227" s="37" t="s">
        <v>246</v>
      </c>
      <c r="BX227" s="37" t="s">
        <v>246</v>
      </c>
      <c r="BY227" s="37" t="s">
        <v>246</v>
      </c>
      <c r="BZ227" s="37" t="s">
        <v>246</v>
      </c>
      <c r="CA227" s="123" t="s">
        <v>246</v>
      </c>
      <c r="CB227" s="223"/>
      <c r="CC227" s="37" t="s">
        <v>246</v>
      </c>
      <c r="CD227" s="37" t="s">
        <v>246</v>
      </c>
      <c r="CE227" s="37" t="s">
        <v>255</v>
      </c>
      <c r="CF227" s="37" t="s">
        <v>255</v>
      </c>
      <c r="CG227" s="37" t="s">
        <v>255</v>
      </c>
      <c r="CH227" s="37" t="s">
        <v>246</v>
      </c>
      <c r="CI227" s="37" t="s">
        <v>246</v>
      </c>
      <c r="CJ227" s="37" t="s">
        <v>255</v>
      </c>
      <c r="CK227" s="37" t="s">
        <v>255</v>
      </c>
      <c r="CL227" s="37" t="s">
        <v>255</v>
      </c>
      <c r="CM227" s="37" t="s">
        <v>255</v>
      </c>
      <c r="CN227" s="37" t="s">
        <v>255</v>
      </c>
      <c r="CO227" s="37" t="s">
        <v>255</v>
      </c>
      <c r="CP227" s="37" t="s">
        <v>255</v>
      </c>
      <c r="CQ227" s="37" t="s">
        <v>255</v>
      </c>
      <c r="CR227" s="123" t="s">
        <v>302</v>
      </c>
    </row>
    <row r="228" spans="1:96" ht="45" hidden="1" outlineLevel="2" x14ac:dyDescent="0.25">
      <c r="A228" s="133"/>
      <c r="B228" s="277" t="s">
        <v>1724</v>
      </c>
      <c r="C228" s="1032"/>
      <c r="D228" s="278"/>
      <c r="E228" s="278"/>
      <c r="F228" s="278"/>
      <c r="G228" s="278"/>
      <c r="H228" s="278"/>
      <c r="I228" s="278"/>
      <c r="J228" s="278"/>
      <c r="K228" s="278"/>
      <c r="L228" s="278"/>
      <c r="M228" s="278"/>
      <c r="N228" s="235">
        <f t="shared" si="361"/>
        <v>0</v>
      </c>
      <c r="O228" s="346"/>
      <c r="P228" s="278"/>
      <c r="Q228" s="378"/>
      <c r="R228" s="377"/>
      <c r="S228" s="278"/>
      <c r="T228" s="378"/>
      <c r="U228" s="377"/>
      <c r="V228" s="278"/>
      <c r="W228" s="378"/>
      <c r="X228" s="377"/>
      <c r="Y228" s="278"/>
      <c r="Z228" s="347"/>
      <c r="AA228" s="278"/>
      <c r="AB228" s="800"/>
      <c r="AD228" s="279"/>
      <c r="AE228" s="278"/>
      <c r="AF228" s="278"/>
      <c r="AG228" s="279"/>
      <c r="AH228" s="278"/>
      <c r="AI228" s="278"/>
      <c r="AJ228" s="279"/>
      <c r="AK228" s="278"/>
      <c r="AL228" s="278"/>
      <c r="AM228" s="279"/>
      <c r="AN228" s="278"/>
      <c r="AQ228" s="202"/>
      <c r="AZ228" s="203"/>
      <c r="BF228" s="203"/>
      <c r="BK228" s="203"/>
      <c r="BP228" s="203"/>
      <c r="BQ228" s="202"/>
      <c r="CA228" s="203"/>
      <c r="CR228" s="122"/>
    </row>
    <row r="229" spans="1:96" ht="60" hidden="1" outlineLevel="2" x14ac:dyDescent="0.25">
      <c r="A229" s="133"/>
      <c r="B229" s="283" t="s">
        <v>557</v>
      </c>
      <c r="C229" s="1032"/>
      <c r="D229" s="284"/>
      <c r="E229" s="284"/>
      <c r="F229" s="284"/>
      <c r="G229" s="284"/>
      <c r="H229" s="284"/>
      <c r="I229" s="284"/>
      <c r="J229" s="284"/>
      <c r="K229" s="284"/>
      <c r="L229" s="284"/>
      <c r="M229" s="284"/>
      <c r="N229" s="235">
        <f t="shared" si="361"/>
        <v>0</v>
      </c>
      <c r="O229" s="348"/>
      <c r="P229" s="284"/>
      <c r="Q229" s="380"/>
      <c r="R229" s="379"/>
      <c r="S229" s="284"/>
      <c r="T229" s="380"/>
      <c r="U229" s="379"/>
      <c r="V229" s="284"/>
      <c r="W229" s="380"/>
      <c r="X229" s="379"/>
      <c r="Y229" s="284"/>
      <c r="Z229" s="349"/>
      <c r="AA229" s="284"/>
      <c r="AB229" s="801"/>
      <c r="AD229" s="285"/>
      <c r="AE229" s="284"/>
      <c r="AF229" s="284"/>
      <c r="AG229" s="285"/>
      <c r="AH229" s="284"/>
      <c r="AI229" s="284"/>
      <c r="AJ229" s="285"/>
      <c r="AK229" s="284"/>
      <c r="AL229" s="284"/>
      <c r="AM229" s="285"/>
      <c r="AN229" s="284"/>
      <c r="AQ229" s="202"/>
      <c r="AZ229" s="203"/>
      <c r="BF229" s="203"/>
      <c r="BK229" s="203"/>
      <c r="BP229" s="203"/>
      <c r="BQ229" s="202"/>
      <c r="CA229" s="203"/>
      <c r="CR229" s="122"/>
    </row>
    <row r="230" spans="1:96" hidden="1" outlineLevel="2" x14ac:dyDescent="0.25">
      <c r="A230" s="133"/>
      <c r="B230" s="277" t="s">
        <v>1725</v>
      </c>
      <c r="C230" s="1032"/>
      <c r="D230" s="278"/>
      <c r="E230" s="278"/>
      <c r="F230" s="278"/>
      <c r="G230" s="278"/>
      <c r="H230" s="278"/>
      <c r="I230" s="278"/>
      <c r="J230" s="278"/>
      <c r="K230" s="278"/>
      <c r="L230" s="278"/>
      <c r="M230" s="278"/>
      <c r="N230" s="235">
        <f t="shared" si="361"/>
        <v>0</v>
      </c>
      <c r="O230" s="346"/>
      <c r="P230" s="278"/>
      <c r="Q230" s="378"/>
      <c r="R230" s="377"/>
      <c r="S230" s="278"/>
      <c r="T230" s="378"/>
      <c r="U230" s="377"/>
      <c r="V230" s="278"/>
      <c r="W230" s="378"/>
      <c r="X230" s="377"/>
      <c r="Y230" s="278"/>
      <c r="Z230" s="347"/>
      <c r="AA230" s="278"/>
      <c r="AB230" s="800"/>
      <c r="AD230" s="279"/>
      <c r="AE230" s="278"/>
      <c r="AF230" s="278"/>
      <c r="AG230" s="279"/>
      <c r="AH230" s="278"/>
      <c r="AI230" s="278"/>
      <c r="AJ230" s="279"/>
      <c r="AK230" s="278"/>
      <c r="AL230" s="278"/>
      <c r="AM230" s="279"/>
      <c r="AN230" s="278"/>
      <c r="AQ230" s="202"/>
      <c r="AZ230" s="203"/>
      <c r="BF230" s="203"/>
      <c r="BK230" s="203"/>
      <c r="BP230" s="203"/>
      <c r="BQ230" s="202"/>
      <c r="CA230" s="203"/>
      <c r="CR230" s="122"/>
    </row>
    <row r="231" spans="1:96" hidden="1" outlineLevel="2" x14ac:dyDescent="0.25">
      <c r="A231" s="133"/>
      <c r="B231" s="277" t="s">
        <v>1726</v>
      </c>
      <c r="C231" s="1032"/>
      <c r="D231" s="278"/>
      <c r="E231" s="278"/>
      <c r="F231" s="278"/>
      <c r="G231" s="278"/>
      <c r="H231" s="278"/>
      <c r="I231" s="278"/>
      <c r="J231" s="278"/>
      <c r="K231" s="278"/>
      <c r="L231" s="278"/>
      <c r="M231" s="278"/>
      <c r="N231" s="235">
        <f t="shared" si="361"/>
        <v>0</v>
      </c>
      <c r="O231" s="346"/>
      <c r="P231" s="278"/>
      <c r="Q231" s="378"/>
      <c r="R231" s="377"/>
      <c r="S231" s="278"/>
      <c r="T231" s="378"/>
      <c r="U231" s="377"/>
      <c r="V231" s="278"/>
      <c r="W231" s="378"/>
      <c r="X231" s="377"/>
      <c r="Y231" s="278"/>
      <c r="Z231" s="347"/>
      <c r="AA231" s="278"/>
      <c r="AB231" s="800"/>
      <c r="AD231" s="279"/>
      <c r="AE231" s="278"/>
      <c r="AF231" s="278"/>
      <c r="AG231" s="279"/>
      <c r="AH231" s="278"/>
      <c r="AI231" s="278"/>
      <c r="AJ231" s="279"/>
      <c r="AK231" s="278"/>
      <c r="AL231" s="278"/>
      <c r="AM231" s="279"/>
      <c r="AN231" s="278"/>
      <c r="AQ231" s="202"/>
      <c r="AZ231" s="203"/>
      <c r="BF231" s="203"/>
      <c r="BK231" s="203"/>
      <c r="BP231" s="203"/>
      <c r="BQ231" s="202"/>
      <c r="CA231" s="203"/>
      <c r="CR231" s="122"/>
    </row>
    <row r="232" spans="1:96" hidden="1" outlineLevel="2" x14ac:dyDescent="0.25">
      <c r="A232" s="133"/>
      <c r="B232" s="277" t="s">
        <v>175</v>
      </c>
      <c r="C232" s="1032"/>
      <c r="D232" s="278"/>
      <c r="E232" s="278"/>
      <c r="F232" s="278"/>
      <c r="G232" s="278"/>
      <c r="H232" s="278"/>
      <c r="I232" s="278"/>
      <c r="J232" s="278"/>
      <c r="K232" s="278"/>
      <c r="L232" s="278"/>
      <c r="M232" s="278"/>
      <c r="N232" s="235">
        <f t="shared" si="361"/>
        <v>0</v>
      </c>
      <c r="O232" s="346"/>
      <c r="P232" s="278"/>
      <c r="Q232" s="378"/>
      <c r="R232" s="377"/>
      <c r="S232" s="278"/>
      <c r="T232" s="378"/>
      <c r="U232" s="377"/>
      <c r="V232" s="278"/>
      <c r="W232" s="378"/>
      <c r="X232" s="377"/>
      <c r="Y232" s="278"/>
      <c r="Z232" s="347"/>
      <c r="AA232" s="278"/>
      <c r="AB232" s="800"/>
      <c r="AD232" s="279"/>
      <c r="AE232" s="278"/>
      <c r="AF232" s="278"/>
      <c r="AG232" s="279"/>
      <c r="AH232" s="278"/>
      <c r="AI232" s="278"/>
      <c r="AJ232" s="279"/>
      <c r="AK232" s="278"/>
      <c r="AL232" s="278"/>
      <c r="AM232" s="279"/>
      <c r="AN232" s="278"/>
      <c r="AQ232" s="202"/>
      <c r="AZ232" s="203"/>
      <c r="BF232" s="203"/>
      <c r="BK232" s="203"/>
      <c r="BP232" s="203"/>
      <c r="BQ232" s="202"/>
      <c r="CA232" s="203"/>
      <c r="CR232" s="122"/>
    </row>
    <row r="233" spans="1:96" hidden="1" outlineLevel="2" x14ac:dyDescent="0.25">
      <c r="A233" s="133"/>
      <c r="B233" s="277" t="s">
        <v>176</v>
      </c>
      <c r="C233" s="1032"/>
      <c r="D233" s="278"/>
      <c r="E233" s="278"/>
      <c r="F233" s="278"/>
      <c r="G233" s="278"/>
      <c r="H233" s="278"/>
      <c r="I233" s="278"/>
      <c r="J233" s="278"/>
      <c r="K233" s="278"/>
      <c r="L233" s="278"/>
      <c r="M233" s="278"/>
      <c r="N233" s="235">
        <f t="shared" si="361"/>
        <v>0</v>
      </c>
      <c r="O233" s="346"/>
      <c r="P233" s="278"/>
      <c r="Q233" s="378"/>
      <c r="R233" s="377"/>
      <c r="S233" s="278"/>
      <c r="T233" s="378"/>
      <c r="U233" s="377"/>
      <c r="V233" s="278"/>
      <c r="W233" s="378"/>
      <c r="X233" s="377"/>
      <c r="Y233" s="278"/>
      <c r="Z233" s="347"/>
      <c r="AA233" s="278"/>
      <c r="AB233" s="800"/>
      <c r="AD233" s="279"/>
      <c r="AE233" s="278"/>
      <c r="AF233" s="278"/>
      <c r="AG233" s="279"/>
      <c r="AH233" s="278"/>
      <c r="AI233" s="278"/>
      <c r="AJ233" s="279"/>
      <c r="AK233" s="278"/>
      <c r="AL233" s="278"/>
      <c r="AM233" s="279"/>
      <c r="AN233" s="278"/>
      <c r="AQ233" s="202"/>
      <c r="AZ233" s="203"/>
      <c r="BF233" s="203"/>
      <c r="BK233" s="203"/>
      <c r="BP233" s="203"/>
      <c r="BQ233" s="202"/>
      <c r="CA233" s="203"/>
      <c r="CR233" s="122"/>
    </row>
    <row r="234" spans="1:96" ht="78.75" outlineLevel="1" collapsed="1" x14ac:dyDescent="0.25">
      <c r="A234" s="134" t="s">
        <v>451</v>
      </c>
      <c r="B234" s="115" t="s">
        <v>1841</v>
      </c>
      <c r="C234" s="1031" t="s">
        <v>243</v>
      </c>
      <c r="D234" s="115"/>
      <c r="E234" s="146"/>
      <c r="F234" s="109" t="s">
        <v>326</v>
      </c>
      <c r="G234" s="109" t="s">
        <v>953</v>
      </c>
      <c r="H234" s="111" t="s">
        <v>243</v>
      </c>
      <c r="I234" s="111" t="s">
        <v>242</v>
      </c>
      <c r="J234" s="111" t="s">
        <v>243</v>
      </c>
      <c r="K234" s="111" t="s">
        <v>242</v>
      </c>
      <c r="L234" s="111" t="s">
        <v>243</v>
      </c>
      <c r="M234" s="109">
        <v>2</v>
      </c>
      <c r="N234" s="235">
        <f t="shared" si="361"/>
        <v>2</v>
      </c>
      <c r="O234" s="200" t="str">
        <f t="shared" ref="O234" si="377">IF(AC234="ДА",$M234,"")</f>
        <v/>
      </c>
      <c r="P234" s="144"/>
      <c r="Q234" s="357">
        <f>IF(AC234="ДА",ROUNDUP(O234/5,0),0)</f>
        <v>0</v>
      </c>
      <c r="R234" s="356">
        <f>IF(AF234="ДА",$M234,"")</f>
        <v>2</v>
      </c>
      <c r="S234" s="144"/>
      <c r="T234" s="357">
        <f>IF(AF234="ДА",ROUNDUP(R234/5,0),0)</f>
        <v>1</v>
      </c>
      <c r="U234" s="356" t="str">
        <f>IF(AI234="ДА",$M234,"")</f>
        <v/>
      </c>
      <c r="V234" s="144"/>
      <c r="W234" s="357">
        <f>IF(AI234="ДА",ROUNDUP(U234/5,0),0)</f>
        <v>0</v>
      </c>
      <c r="X234" s="356" t="str">
        <f>IF(AL234="ДА",$M234,"")</f>
        <v/>
      </c>
      <c r="Y234" s="144"/>
      <c r="Z234" s="201">
        <f>IF(AL234="ДА",ROUNDUP(X234/5,0),0)</f>
        <v>0</v>
      </c>
      <c r="AA234" s="388" t="str">
        <f>IF(OR(AC234="ДА",AF234="ДА",AI234="ДА",AL234="ДА"),"ДА","НЕТ")</f>
        <v>ДА</v>
      </c>
      <c r="AB234" s="388"/>
      <c r="AC234" s="37" t="str">
        <f>IF(AC$8=$BT$9,$BT234,IF(AC$8=$BS$9,$BS234,IF(AC$8=$BU$9,$BU234,IF(AC$8=$BV$9,$BV234,IF(AC$8=$BW$9,$BW234,IF(AC$8=$BX$9,$BX234,IF(AC$8=$BY$9,$BY234,IF(AC$8=$BZ$9,$BZ234,IF(AC$8=$CA$9,$CA234,IF(AC$8=$CC$9,$CC234,IF(AC$8=$CD$9,$CD234,IF(AC$8=$CE$9,$CE234,IF(AC$8=$CF$9,$CF234,IF(AC$8=$CG$9,$CG234,IF(AC$8=$CH$9,$CH234,IF(AC$8=$CI$9,$CI234,IF(AC$8=$CJ$9,$CJ234,IF(AC$8=$CK$9,$CK234,IF(AC$8=$CL$9,$CL234,IF(AC$8=$CM$9,$CM234,IF(AC$8=$CN$9,$CN234,IF(AC$8=$CO$9,$CO234,IF(AC$8=$CP$9,$CP234,IF(AC$8=$CQ$9,$CQ234,"НЕТ"))))))))))))))))))))))))</f>
        <v>НЕТ</v>
      </c>
      <c r="AD234" s="37" t="str">
        <f>IF(AC234="НЕТ","Не требуется",$CR234)</f>
        <v>Не требуется</v>
      </c>
      <c r="AE234" s="37"/>
      <c r="AF234" s="37" t="str">
        <f t="shared" ref="AF234:AL234" si="378">IF(AF$8=$BT$9,$BT234,IF(AF$8=$BS$9,$BS234,IF(AF$8=$BU$9,$BU234,IF(AF$8=$BV$9,$BV234,IF(AF$8=$BW$9,$BW234,IF(AF$8=$BX$9,$BX234,IF(AF$8=$BY$9,$BY234,IF(AF$8=$BZ$9,$BZ234,IF(AF$8=$CA$9,$CA234,IF(AF$8=$CC$9,$CC234,IF(AF$8=$CD$9,$CD234,IF(AF$8=$CE$9,$CE234,IF(AF$8=$CF$9,$CF234,IF(AF$8=$CG$9,$CG234,IF(AF$8=$CH$9,$CH234,IF(AF$8=$CI$9,$CI234,IF(AF$8=$CJ$9,$CJ234,IF(AF$8=$CK$9,$CK234,IF(AF$8=$CL$9,$CL234,IF(AF$8=$CM$9,$CM234,IF(AF$8=$CN$9,$CN234,IF(AF$8=$CO$9,$CO234,IF(AF$8=$CP$9,$CP234,IF(AF$8=$CQ$9,$CQ234,"НЕТ"))))))))))))))))))))))))</f>
        <v>ДА</v>
      </c>
      <c r="AG234" s="37" t="str">
        <f t="shared" si="378"/>
        <v>НЕТ</v>
      </c>
      <c r="AH234" s="37" t="str">
        <f t="shared" si="378"/>
        <v>НЕТ</v>
      </c>
      <c r="AI234" s="37" t="str">
        <f t="shared" si="378"/>
        <v>НЕТ</v>
      </c>
      <c r="AJ234" s="37" t="str">
        <f t="shared" si="378"/>
        <v>НЕТ</v>
      </c>
      <c r="AK234" s="37" t="str">
        <f t="shared" si="378"/>
        <v>НЕТ</v>
      </c>
      <c r="AL234" s="37" t="str">
        <f t="shared" si="378"/>
        <v>НЕТ</v>
      </c>
      <c r="AM234" s="37" t="str">
        <f>IF(AL234="НЕТ","Не требуется",$CR234)</f>
        <v>Не требуется</v>
      </c>
      <c r="AN234" s="37"/>
      <c r="AQ234" s="200"/>
      <c r="AR234" s="230"/>
      <c r="AS234" s="144" t="str">
        <f t="shared" ref="AS234" si="379">IF(BS234="ДА",$M234,"")</f>
        <v/>
      </c>
      <c r="AT234" s="144" t="str">
        <f t="shared" ref="AT234" si="380">IF(BT234="ДА",$M234,"")</f>
        <v/>
      </c>
      <c r="AU234" s="144" t="str">
        <f t="shared" ref="AU234" si="381">IF(BU234="ДА",$M234,"")</f>
        <v/>
      </c>
      <c r="AV234" s="144" t="str">
        <f t="shared" ref="AV234" si="382">IF(BV234="ДА",$M234,"")</f>
        <v/>
      </c>
      <c r="AW234" s="144" t="str">
        <f>IF(BX234="ДА",$M234,"")</f>
        <v/>
      </c>
      <c r="AX234" s="144">
        <f>IF(BY234="ДА",$M234,"")</f>
        <v>2</v>
      </c>
      <c r="AY234" s="144">
        <f>IF(BZ234="ДА",$M234,"")</f>
        <v>2</v>
      </c>
      <c r="AZ234" s="201">
        <f>IF(CA234="ДА",$M234,"")</f>
        <v>2</v>
      </c>
      <c r="BA234" s="235"/>
      <c r="BB234" s="144">
        <f t="shared" ref="BB234:BP234" si="383">IF(CC234="ДА",$M234,"")</f>
        <v>2</v>
      </c>
      <c r="BC234" s="144">
        <f t="shared" si="383"/>
        <v>2</v>
      </c>
      <c r="BD234" s="144">
        <f t="shared" si="383"/>
        <v>2</v>
      </c>
      <c r="BE234" s="144" t="str">
        <f t="shared" si="383"/>
        <v/>
      </c>
      <c r="BF234" s="201" t="str">
        <f t="shared" si="383"/>
        <v/>
      </c>
      <c r="BG234" s="144">
        <f t="shared" si="383"/>
        <v>2</v>
      </c>
      <c r="BH234" s="144">
        <f t="shared" si="383"/>
        <v>2</v>
      </c>
      <c r="BI234" s="144" t="str">
        <f t="shared" si="383"/>
        <v/>
      </c>
      <c r="BJ234" s="144" t="str">
        <f t="shared" si="383"/>
        <v/>
      </c>
      <c r="BK234" s="201" t="str">
        <f t="shared" si="383"/>
        <v/>
      </c>
      <c r="BL234" s="144" t="str">
        <f t="shared" si="383"/>
        <v/>
      </c>
      <c r="BM234" s="144" t="str">
        <f t="shared" si="383"/>
        <v/>
      </c>
      <c r="BN234" s="144" t="str">
        <f t="shared" si="383"/>
        <v/>
      </c>
      <c r="BO234" s="144" t="str">
        <f t="shared" si="383"/>
        <v/>
      </c>
      <c r="BP234" s="201" t="str">
        <f t="shared" si="383"/>
        <v/>
      </c>
      <c r="BQ234" s="209"/>
      <c r="BR234" s="388"/>
      <c r="BS234" s="37" t="s">
        <v>255</v>
      </c>
      <c r="BT234" s="37" t="s">
        <v>255</v>
      </c>
      <c r="BU234" s="37" t="s">
        <v>255</v>
      </c>
      <c r="BV234" s="37" t="s">
        <v>255</v>
      </c>
      <c r="BW234" s="37" t="s">
        <v>255</v>
      </c>
      <c r="BX234" s="37" t="s">
        <v>255</v>
      </c>
      <c r="BY234" s="37" t="s">
        <v>246</v>
      </c>
      <c r="BZ234" s="37" t="s">
        <v>246</v>
      </c>
      <c r="CA234" s="123" t="s">
        <v>246</v>
      </c>
      <c r="CB234" s="223"/>
      <c r="CC234" s="37" t="s">
        <v>246</v>
      </c>
      <c r="CD234" s="37" t="s">
        <v>246</v>
      </c>
      <c r="CE234" s="37" t="s">
        <v>246</v>
      </c>
      <c r="CF234" s="37" t="s">
        <v>255</v>
      </c>
      <c r="CG234" s="37" t="s">
        <v>255</v>
      </c>
      <c r="CH234" s="37" t="s">
        <v>246</v>
      </c>
      <c r="CI234" s="37" t="s">
        <v>246</v>
      </c>
      <c r="CJ234" s="37" t="s">
        <v>255</v>
      </c>
      <c r="CK234" s="37" t="s">
        <v>255</v>
      </c>
      <c r="CL234" s="37" t="s">
        <v>255</v>
      </c>
      <c r="CM234" s="37" t="s">
        <v>255</v>
      </c>
      <c r="CN234" s="37" t="s">
        <v>255</v>
      </c>
      <c r="CO234" s="37" t="s">
        <v>255</v>
      </c>
      <c r="CP234" s="37" t="s">
        <v>255</v>
      </c>
      <c r="CQ234" s="37" t="s">
        <v>255</v>
      </c>
      <c r="CR234" s="123" t="s">
        <v>301</v>
      </c>
    </row>
    <row r="235" spans="1:96" hidden="1" outlineLevel="2" x14ac:dyDescent="0.25">
      <c r="A235" s="133"/>
      <c r="B235" s="277"/>
      <c r="C235" s="1032"/>
      <c r="D235" s="278"/>
      <c r="E235" s="278"/>
      <c r="F235" s="278"/>
      <c r="G235" s="278"/>
      <c r="H235" s="278"/>
      <c r="I235" s="278"/>
      <c r="J235" s="278"/>
      <c r="K235" s="278"/>
      <c r="L235" s="278"/>
      <c r="M235" s="278"/>
      <c r="N235" s="235">
        <f t="shared" si="361"/>
        <v>0</v>
      </c>
      <c r="O235" s="346"/>
      <c r="P235" s="278"/>
      <c r="Q235" s="378"/>
      <c r="R235" s="377"/>
      <c r="S235" s="278"/>
      <c r="T235" s="378"/>
      <c r="U235" s="377"/>
      <c r="V235" s="278"/>
      <c r="W235" s="378"/>
      <c r="X235" s="377"/>
      <c r="Y235" s="278"/>
      <c r="Z235" s="347"/>
      <c r="AA235" s="278"/>
      <c r="AB235" s="800"/>
      <c r="AD235" s="279"/>
      <c r="AE235" s="278"/>
      <c r="AF235" s="278"/>
      <c r="AG235" s="279"/>
      <c r="AH235" s="278"/>
      <c r="AI235" s="278"/>
      <c r="AJ235" s="279"/>
      <c r="AK235" s="278"/>
      <c r="AL235" s="278"/>
      <c r="AM235" s="279"/>
      <c r="AN235" s="278"/>
      <c r="AQ235" s="202"/>
      <c r="AZ235" s="203"/>
      <c r="BF235" s="203"/>
      <c r="BK235" s="203"/>
      <c r="BP235" s="203"/>
      <c r="BQ235" s="202"/>
      <c r="CA235" s="203"/>
      <c r="CR235" s="122"/>
    </row>
    <row r="236" spans="1:96" ht="30" hidden="1" outlineLevel="2" x14ac:dyDescent="0.25">
      <c r="A236" s="133"/>
      <c r="B236" s="277" t="s">
        <v>375</v>
      </c>
      <c r="C236" s="1032"/>
      <c r="D236" s="278"/>
      <c r="E236" s="278"/>
      <c r="F236" s="278"/>
      <c r="G236" s="278"/>
      <c r="H236" s="278"/>
      <c r="I236" s="278"/>
      <c r="J236" s="278"/>
      <c r="K236" s="278"/>
      <c r="L236" s="278"/>
      <c r="M236" s="278"/>
      <c r="N236" s="235">
        <f t="shared" si="361"/>
        <v>0</v>
      </c>
      <c r="O236" s="346"/>
      <c r="P236" s="278"/>
      <c r="Q236" s="378"/>
      <c r="R236" s="377"/>
      <c r="S236" s="278"/>
      <c r="T236" s="378"/>
      <c r="U236" s="377"/>
      <c r="V236" s="278"/>
      <c r="W236" s="378"/>
      <c r="X236" s="377"/>
      <c r="Y236" s="278"/>
      <c r="Z236" s="347"/>
      <c r="AA236" s="278"/>
      <c r="AB236" s="800"/>
      <c r="AD236" s="279"/>
      <c r="AE236" s="278"/>
      <c r="AF236" s="278"/>
      <c r="AG236" s="279"/>
      <c r="AH236" s="278"/>
      <c r="AI236" s="278"/>
      <c r="AJ236" s="279"/>
      <c r="AK236" s="278"/>
      <c r="AL236" s="278"/>
      <c r="AM236" s="279"/>
      <c r="AN236" s="278"/>
      <c r="AQ236" s="202"/>
      <c r="AZ236" s="203"/>
      <c r="BF236" s="203"/>
      <c r="BK236" s="203"/>
      <c r="BP236" s="203"/>
      <c r="BQ236" s="202"/>
      <c r="CA236" s="203"/>
      <c r="CR236" s="122"/>
    </row>
    <row r="237" spans="1:96" ht="45" hidden="1" outlineLevel="2" x14ac:dyDescent="0.25">
      <c r="A237" s="133"/>
      <c r="B237" s="277" t="s">
        <v>1727</v>
      </c>
      <c r="C237" s="1032"/>
      <c r="D237" s="278"/>
      <c r="E237" s="278"/>
      <c r="F237" s="278"/>
      <c r="G237" s="278"/>
      <c r="H237" s="278"/>
      <c r="I237" s="278"/>
      <c r="J237" s="278"/>
      <c r="K237" s="278"/>
      <c r="L237" s="278"/>
      <c r="M237" s="278"/>
      <c r="N237" s="235">
        <f t="shared" si="361"/>
        <v>0</v>
      </c>
      <c r="O237" s="346"/>
      <c r="P237" s="278"/>
      <c r="Q237" s="378"/>
      <c r="R237" s="377"/>
      <c r="S237" s="278"/>
      <c r="T237" s="378"/>
      <c r="U237" s="377"/>
      <c r="V237" s="278"/>
      <c r="W237" s="378"/>
      <c r="X237" s="377"/>
      <c r="Y237" s="278"/>
      <c r="Z237" s="347"/>
      <c r="AA237" s="278"/>
      <c r="AB237" s="800"/>
      <c r="AD237" s="279"/>
      <c r="AE237" s="278"/>
      <c r="AF237" s="278"/>
      <c r="AG237" s="279"/>
      <c r="AH237" s="278"/>
      <c r="AI237" s="278"/>
      <c r="AJ237" s="279"/>
      <c r="AK237" s="278"/>
      <c r="AL237" s="278"/>
      <c r="AM237" s="279"/>
      <c r="AN237" s="278"/>
      <c r="AQ237" s="202"/>
      <c r="AZ237" s="203"/>
      <c r="BF237" s="203"/>
      <c r="BK237" s="203"/>
      <c r="BP237" s="203"/>
      <c r="BQ237" s="202"/>
      <c r="CA237" s="203"/>
      <c r="CR237" s="122"/>
    </row>
    <row r="238" spans="1:96" ht="30" hidden="1" outlineLevel="2" x14ac:dyDescent="0.25">
      <c r="A238" s="138"/>
      <c r="B238" s="286" t="s">
        <v>178</v>
      </c>
      <c r="C238" s="1033"/>
      <c r="D238" s="287"/>
      <c r="E238" s="287"/>
      <c r="F238" s="287"/>
      <c r="G238" s="287"/>
      <c r="H238" s="287"/>
      <c r="I238" s="287"/>
      <c r="J238" s="287"/>
      <c r="K238" s="287"/>
      <c r="L238" s="287"/>
      <c r="M238" s="287"/>
      <c r="N238" s="235">
        <f t="shared" si="361"/>
        <v>0</v>
      </c>
      <c r="O238" s="352"/>
      <c r="P238" s="287"/>
      <c r="Q238" s="384"/>
      <c r="R238" s="383"/>
      <c r="S238" s="287"/>
      <c r="T238" s="384"/>
      <c r="U238" s="383"/>
      <c r="V238" s="287"/>
      <c r="W238" s="384"/>
      <c r="X238" s="383"/>
      <c r="Y238" s="287"/>
      <c r="Z238" s="353"/>
      <c r="AA238" s="287"/>
      <c r="AB238" s="803"/>
      <c r="AD238" s="288"/>
      <c r="AE238" s="287"/>
      <c r="AF238" s="287"/>
      <c r="AG238" s="288"/>
      <c r="AH238" s="287"/>
      <c r="AI238" s="287"/>
      <c r="AJ238" s="288"/>
      <c r="AK238" s="287"/>
      <c r="AL238" s="287"/>
      <c r="AM238" s="288"/>
      <c r="AN238" s="287"/>
      <c r="AQ238" s="202"/>
      <c r="AZ238" s="203"/>
      <c r="BF238" s="203"/>
      <c r="BK238" s="203"/>
      <c r="BP238" s="203"/>
      <c r="BQ238" s="202"/>
      <c r="CA238" s="203"/>
      <c r="CR238" s="122"/>
    </row>
    <row r="239" spans="1:96" ht="45" hidden="1" outlineLevel="2" x14ac:dyDescent="0.25">
      <c r="A239" s="138"/>
      <c r="B239" s="286" t="s">
        <v>1728</v>
      </c>
      <c r="C239" s="1033"/>
      <c r="D239" s="287"/>
      <c r="E239" s="287"/>
      <c r="F239" s="287"/>
      <c r="G239" s="287"/>
      <c r="H239" s="287"/>
      <c r="I239" s="287"/>
      <c r="J239" s="287"/>
      <c r="K239" s="287"/>
      <c r="L239" s="287"/>
      <c r="M239" s="287"/>
      <c r="N239" s="235">
        <f t="shared" si="361"/>
        <v>0</v>
      </c>
      <c r="O239" s="352"/>
      <c r="P239" s="287"/>
      <c r="Q239" s="384"/>
      <c r="R239" s="383"/>
      <c r="S239" s="287"/>
      <c r="T239" s="384"/>
      <c r="U239" s="383"/>
      <c r="V239" s="287"/>
      <c r="W239" s="384"/>
      <c r="X239" s="383"/>
      <c r="Y239" s="287"/>
      <c r="Z239" s="353"/>
      <c r="AA239" s="287"/>
      <c r="AB239" s="803"/>
      <c r="AD239" s="288"/>
      <c r="AE239" s="287"/>
      <c r="AF239" s="287"/>
      <c r="AG239" s="288"/>
      <c r="AH239" s="287"/>
      <c r="AI239" s="287"/>
      <c r="AJ239" s="288"/>
      <c r="AK239" s="287"/>
      <c r="AL239" s="287"/>
      <c r="AM239" s="288"/>
      <c r="AN239" s="287"/>
      <c r="AQ239" s="202"/>
      <c r="AZ239" s="203"/>
      <c r="BF239" s="203"/>
      <c r="BK239" s="203"/>
      <c r="BP239" s="203"/>
      <c r="BQ239" s="202"/>
      <c r="CA239" s="203"/>
      <c r="CR239" s="122"/>
    </row>
    <row r="240" spans="1:96" ht="45" hidden="1" outlineLevel="2" x14ac:dyDescent="0.25">
      <c r="A240" s="133"/>
      <c r="B240" s="253" t="s">
        <v>1659</v>
      </c>
      <c r="C240" s="970"/>
      <c r="D240" s="254"/>
      <c r="E240" s="254"/>
      <c r="F240" s="254"/>
      <c r="G240" s="254"/>
      <c r="H240" s="254"/>
      <c r="I240" s="254"/>
      <c r="J240" s="254"/>
      <c r="K240" s="254"/>
      <c r="L240" s="254"/>
      <c r="M240" s="254"/>
      <c r="N240" s="235">
        <f>SUM(O240,R240,U240,X240)</f>
        <v>0</v>
      </c>
      <c r="O240" s="329"/>
      <c r="P240" s="254"/>
      <c r="Q240" s="361"/>
      <c r="R240" s="360"/>
      <c r="S240" s="254"/>
      <c r="T240" s="361"/>
      <c r="U240" s="360"/>
      <c r="V240" s="254"/>
      <c r="W240" s="361"/>
      <c r="X240" s="360"/>
      <c r="Y240" s="254"/>
      <c r="Z240" s="330"/>
      <c r="AA240" s="254"/>
      <c r="AB240" s="793"/>
      <c r="AD240" s="255"/>
      <c r="AE240" s="254"/>
      <c r="AF240" s="254"/>
      <c r="AG240" s="255"/>
      <c r="AH240" s="254"/>
      <c r="AI240" s="254"/>
      <c r="AJ240" s="255"/>
      <c r="AK240" s="254"/>
      <c r="AL240" s="254"/>
      <c r="AM240" s="255"/>
      <c r="AN240" s="254"/>
      <c r="AQ240" s="202"/>
      <c r="AZ240" s="203"/>
      <c r="BF240" s="203"/>
      <c r="BK240" s="203"/>
      <c r="BP240" s="203"/>
      <c r="BQ240" s="202"/>
      <c r="CA240" s="203"/>
      <c r="CR240" s="122"/>
    </row>
    <row r="241" spans="1:96" ht="63" outlineLevel="1" collapsed="1" x14ac:dyDescent="0.25">
      <c r="A241" s="134" t="s">
        <v>452</v>
      </c>
      <c r="B241" s="115" t="s">
        <v>1818</v>
      </c>
      <c r="C241" s="1031" t="s">
        <v>243</v>
      </c>
      <c r="D241" s="115"/>
      <c r="E241" s="146"/>
      <c r="F241" s="109" t="s">
        <v>326</v>
      </c>
      <c r="G241" s="109" t="s">
        <v>953</v>
      </c>
      <c r="H241" s="111" t="s">
        <v>243</v>
      </c>
      <c r="I241" s="111" t="s">
        <v>243</v>
      </c>
      <c r="J241" s="111" t="s">
        <v>243</v>
      </c>
      <c r="K241" s="111" t="s">
        <v>242</v>
      </c>
      <c r="L241" s="111" t="s">
        <v>243</v>
      </c>
      <c r="M241" s="109">
        <v>2</v>
      </c>
      <c r="N241" s="235">
        <f t="shared" si="361"/>
        <v>2</v>
      </c>
      <c r="O241" s="200" t="str">
        <f t="shared" ref="O241" si="384">IF(AC241="ДА",$M241,"")</f>
        <v/>
      </c>
      <c r="P241" s="144"/>
      <c r="Q241" s="357">
        <f>IF(AC241="ДА",ROUNDUP(O241/5,0),0)</f>
        <v>0</v>
      </c>
      <c r="R241" s="356">
        <f>IF(AF241="ДА",$M241,"")</f>
        <v>2</v>
      </c>
      <c r="S241" s="144"/>
      <c r="T241" s="357">
        <f>IF(AF241="ДА",ROUNDUP(R241/5,0),0)</f>
        <v>1</v>
      </c>
      <c r="U241" s="356" t="str">
        <f>IF(AI241="ДА",$M241,"")</f>
        <v/>
      </c>
      <c r="V241" s="144"/>
      <c r="W241" s="357">
        <f>IF(AI241="ДА",ROUNDUP(U241/5,0),0)</f>
        <v>0</v>
      </c>
      <c r="X241" s="356" t="str">
        <f>IF(AL241="ДА",$M241,"")</f>
        <v/>
      </c>
      <c r="Y241" s="144"/>
      <c r="Z241" s="201">
        <f>IF(AL241="ДА",ROUNDUP(X241/5,0),0)</f>
        <v>0</v>
      </c>
      <c r="AA241" s="388" t="str">
        <f>IF(OR(AC241="ДА",AF241="ДА",AI241="ДА",AL241="ДА"),"ДА","НЕТ")</f>
        <v>ДА</v>
      </c>
      <c r="AB241" s="388"/>
      <c r="AC241" s="37" t="str">
        <f>IF(AC$8=$BT$9,$BT241,IF(AC$8=$BS$9,$BS241,IF(AC$8=$BU$9,$BU241,IF(AC$8=$BV$9,$BV241,IF(AC$8=$BW$9,$BW241,IF(AC$8=$BX$9,$BX241,IF(AC$8=$BY$9,$BY241,IF(AC$8=$BZ$9,$BZ241,IF(AC$8=$CA$9,$CA241,IF(AC$8=$CC$9,$CC241,IF(AC$8=$CD$9,$CD241,IF(AC$8=$CE$9,$CE241,IF(AC$8=$CF$9,$CF241,IF(AC$8=$CG$9,$CG241,IF(AC$8=$CH$9,$CH241,IF(AC$8=$CI$9,$CI241,IF(AC$8=$CJ$9,$CJ241,IF(AC$8=$CK$9,$CK241,IF(AC$8=$CL$9,$CL241,IF(AC$8=$CM$9,$CM241,IF(AC$8=$CN$9,$CN241,IF(AC$8=$CO$9,$CO241,IF(AC$8=$CP$9,$CP241,IF(AC$8=$CQ$9,$CQ241,"НЕТ"))))))))))))))))))))))))</f>
        <v>НЕТ</v>
      </c>
      <c r="AD241" s="37" t="str">
        <f>IF(AC241="НЕТ","Не требуется",$CR241)</f>
        <v>Не требуется</v>
      </c>
      <c r="AE241" s="37"/>
      <c r="AF241" s="37" t="str">
        <f t="shared" ref="AF241:AL241" si="385">IF(AF$8=$BT$9,$BT241,IF(AF$8=$BS$9,$BS241,IF(AF$8=$BU$9,$BU241,IF(AF$8=$BV$9,$BV241,IF(AF$8=$BW$9,$BW241,IF(AF$8=$BX$9,$BX241,IF(AF$8=$BY$9,$BY241,IF(AF$8=$BZ$9,$BZ241,IF(AF$8=$CA$9,$CA241,IF(AF$8=$CC$9,$CC241,IF(AF$8=$CD$9,$CD241,IF(AF$8=$CE$9,$CE241,IF(AF$8=$CF$9,$CF241,IF(AF$8=$CG$9,$CG241,IF(AF$8=$CH$9,$CH241,IF(AF$8=$CI$9,$CI241,IF(AF$8=$CJ$9,$CJ241,IF(AF$8=$CK$9,$CK241,IF(AF$8=$CL$9,$CL241,IF(AF$8=$CM$9,$CM241,IF(AF$8=$CN$9,$CN241,IF(AF$8=$CO$9,$CO241,IF(AF$8=$CP$9,$CP241,IF(AF$8=$CQ$9,$CQ241,"НЕТ"))))))))))))))))))))))))</f>
        <v>ДА</v>
      </c>
      <c r="AG241" s="37" t="str">
        <f t="shared" si="385"/>
        <v>НЕТ</v>
      </c>
      <c r="AH241" s="37" t="str">
        <f t="shared" si="385"/>
        <v>НЕТ</v>
      </c>
      <c r="AI241" s="37" t="str">
        <f t="shared" si="385"/>
        <v>НЕТ</v>
      </c>
      <c r="AJ241" s="37" t="str">
        <f t="shared" si="385"/>
        <v>НЕТ</v>
      </c>
      <c r="AK241" s="37" t="str">
        <f t="shared" si="385"/>
        <v>НЕТ</v>
      </c>
      <c r="AL241" s="37" t="str">
        <f t="shared" si="385"/>
        <v>НЕТ</v>
      </c>
      <c r="AM241" s="37" t="str">
        <f>IF(AL241="НЕТ","Не требуется",$CR241)</f>
        <v>Не требуется</v>
      </c>
      <c r="AN241" s="37"/>
      <c r="AQ241" s="200"/>
      <c r="AR241" s="230"/>
      <c r="AS241" s="144" t="str">
        <f t="shared" ref="AS241" si="386">IF(BS241="ДА",$M241,"")</f>
        <v/>
      </c>
      <c r="AT241" s="144" t="str">
        <f t="shared" ref="AT241" si="387">IF(BT241="ДА",$M241,"")</f>
        <v/>
      </c>
      <c r="AU241" s="144" t="str">
        <f t="shared" ref="AU241" si="388">IF(BU241="ДА",$M241,"")</f>
        <v/>
      </c>
      <c r="AV241" s="144" t="str">
        <f t="shared" ref="AV241" si="389">IF(BV241="ДА",$M241,"")</f>
        <v/>
      </c>
      <c r="AW241" s="144" t="str">
        <f>IF(BX241="ДА",$M241,"")</f>
        <v/>
      </c>
      <c r="AX241" s="144">
        <f>IF(BY241="ДА",$M241,"")</f>
        <v>2</v>
      </c>
      <c r="AY241" s="144">
        <f>IF(BZ241="ДА",$M241,"")</f>
        <v>2</v>
      </c>
      <c r="AZ241" s="201">
        <f>IF(CA241="ДА",$M241,"")</f>
        <v>2</v>
      </c>
      <c r="BA241" s="235"/>
      <c r="BB241" s="144">
        <f t="shared" ref="BB241:BP241" si="390">IF(CC241="ДА",$M241,"")</f>
        <v>2</v>
      </c>
      <c r="BC241" s="144">
        <f t="shared" si="390"/>
        <v>2</v>
      </c>
      <c r="BD241" s="144">
        <f t="shared" si="390"/>
        <v>2</v>
      </c>
      <c r="BE241" s="144" t="str">
        <f t="shared" si="390"/>
        <v/>
      </c>
      <c r="BF241" s="201" t="str">
        <f t="shared" si="390"/>
        <v/>
      </c>
      <c r="BG241" s="144">
        <f t="shared" si="390"/>
        <v>2</v>
      </c>
      <c r="BH241" s="144">
        <f t="shared" si="390"/>
        <v>2</v>
      </c>
      <c r="BI241" s="144" t="str">
        <f t="shared" si="390"/>
        <v/>
      </c>
      <c r="BJ241" s="144" t="str">
        <f t="shared" si="390"/>
        <v/>
      </c>
      <c r="BK241" s="201" t="str">
        <f t="shared" si="390"/>
        <v/>
      </c>
      <c r="BL241" s="144" t="str">
        <f t="shared" si="390"/>
        <v/>
      </c>
      <c r="BM241" s="144" t="str">
        <f t="shared" si="390"/>
        <v/>
      </c>
      <c r="BN241" s="144" t="str">
        <f t="shared" si="390"/>
        <v/>
      </c>
      <c r="BO241" s="144" t="str">
        <f t="shared" si="390"/>
        <v/>
      </c>
      <c r="BP241" s="201" t="str">
        <f t="shared" si="390"/>
        <v/>
      </c>
      <c r="BQ241" s="209"/>
      <c r="BR241" s="388"/>
      <c r="BS241" s="37" t="s">
        <v>255</v>
      </c>
      <c r="BT241" s="37" t="s">
        <v>255</v>
      </c>
      <c r="BU241" s="37" t="s">
        <v>255</v>
      </c>
      <c r="BV241" s="37" t="s">
        <v>255</v>
      </c>
      <c r="BW241" s="37" t="s">
        <v>255</v>
      </c>
      <c r="BX241" s="37" t="s">
        <v>255</v>
      </c>
      <c r="BY241" s="37" t="s">
        <v>246</v>
      </c>
      <c r="BZ241" s="37" t="s">
        <v>246</v>
      </c>
      <c r="CA241" s="123" t="s">
        <v>246</v>
      </c>
      <c r="CB241" s="223"/>
      <c r="CC241" s="37" t="s">
        <v>246</v>
      </c>
      <c r="CD241" s="37" t="s">
        <v>246</v>
      </c>
      <c r="CE241" s="37" t="s">
        <v>246</v>
      </c>
      <c r="CF241" s="37" t="s">
        <v>255</v>
      </c>
      <c r="CG241" s="37" t="s">
        <v>255</v>
      </c>
      <c r="CH241" s="37" t="s">
        <v>246</v>
      </c>
      <c r="CI241" s="37" t="s">
        <v>246</v>
      </c>
      <c r="CJ241" s="37" t="s">
        <v>255</v>
      </c>
      <c r="CK241" s="37" t="s">
        <v>255</v>
      </c>
      <c r="CL241" s="37" t="s">
        <v>255</v>
      </c>
      <c r="CM241" s="37" t="s">
        <v>255</v>
      </c>
      <c r="CN241" s="37" t="s">
        <v>255</v>
      </c>
      <c r="CO241" s="37" t="s">
        <v>255</v>
      </c>
      <c r="CP241" s="37" t="s">
        <v>255</v>
      </c>
      <c r="CQ241" s="37" t="s">
        <v>255</v>
      </c>
      <c r="CR241" s="123" t="s">
        <v>301</v>
      </c>
    </row>
    <row r="242" spans="1:96" ht="105" hidden="1" outlineLevel="2" x14ac:dyDescent="0.25">
      <c r="A242" s="139"/>
      <c r="B242" s="280" t="s">
        <v>376</v>
      </c>
      <c r="C242" s="1034"/>
      <c r="D242" s="281"/>
      <c r="E242" s="281"/>
      <c r="F242" s="281"/>
      <c r="G242" s="281"/>
      <c r="H242" s="281"/>
      <c r="I242" s="281"/>
      <c r="J242" s="281"/>
      <c r="K242" s="281"/>
      <c r="L242" s="281"/>
      <c r="M242" s="281"/>
      <c r="N242" s="235">
        <f t="shared" si="361"/>
        <v>0</v>
      </c>
      <c r="O242" s="350"/>
      <c r="P242" s="281"/>
      <c r="Q242" s="382"/>
      <c r="R242" s="381"/>
      <c r="S242" s="281"/>
      <c r="T242" s="382"/>
      <c r="U242" s="381"/>
      <c r="V242" s="281"/>
      <c r="W242" s="382"/>
      <c r="X242" s="381"/>
      <c r="Y242" s="281"/>
      <c r="Z242" s="351"/>
      <c r="AA242" s="281"/>
      <c r="AB242" s="802"/>
      <c r="AD242" s="282"/>
      <c r="AE242" s="281"/>
      <c r="AF242" s="281"/>
      <c r="AG242" s="282"/>
      <c r="AH242" s="281"/>
      <c r="AI242" s="281"/>
      <c r="AJ242" s="282"/>
      <c r="AK242" s="281"/>
      <c r="AL242" s="281"/>
      <c r="AM242" s="282"/>
      <c r="AN242" s="281"/>
      <c r="AQ242" s="202"/>
      <c r="AZ242" s="203"/>
      <c r="BF242" s="203"/>
      <c r="BK242" s="203"/>
      <c r="BP242" s="203"/>
      <c r="BQ242" s="202"/>
      <c r="CA242" s="203"/>
      <c r="CR242" s="122"/>
    </row>
    <row r="243" spans="1:96" ht="150" hidden="1" outlineLevel="2" x14ac:dyDescent="0.25">
      <c r="A243" s="133"/>
      <c r="B243" s="277" t="s">
        <v>377</v>
      </c>
      <c r="C243" s="1032"/>
      <c r="D243" s="278"/>
      <c r="E243" s="278"/>
      <c r="F243" s="278"/>
      <c r="G243" s="278"/>
      <c r="H243" s="278"/>
      <c r="I243" s="278"/>
      <c r="J243" s="278"/>
      <c r="K243" s="278"/>
      <c r="L243" s="278"/>
      <c r="M243" s="278"/>
      <c r="N243" s="235">
        <f t="shared" si="361"/>
        <v>0</v>
      </c>
      <c r="O243" s="346"/>
      <c r="P243" s="278"/>
      <c r="Q243" s="378"/>
      <c r="R243" s="377"/>
      <c r="S243" s="278"/>
      <c r="T243" s="378"/>
      <c r="U243" s="377"/>
      <c r="V243" s="278"/>
      <c r="W243" s="378"/>
      <c r="X243" s="377"/>
      <c r="Y243" s="278"/>
      <c r="Z243" s="347"/>
      <c r="AA243" s="278"/>
      <c r="AB243" s="800"/>
      <c r="AD243" s="279"/>
      <c r="AE243" s="278"/>
      <c r="AF243" s="278"/>
      <c r="AG243" s="279"/>
      <c r="AH243" s="278"/>
      <c r="AI243" s="278"/>
      <c r="AJ243" s="279"/>
      <c r="AK243" s="278"/>
      <c r="AL243" s="278"/>
      <c r="AM243" s="279"/>
      <c r="AN243" s="278"/>
      <c r="AQ243" s="202"/>
      <c r="AZ243" s="203"/>
      <c r="BF243" s="203"/>
      <c r="BK243" s="203"/>
      <c r="BP243" s="203"/>
      <c r="BQ243" s="202"/>
      <c r="CA243" s="203"/>
      <c r="CR243" s="122"/>
    </row>
    <row r="244" spans="1:96" ht="165" hidden="1" outlineLevel="2" x14ac:dyDescent="0.25">
      <c r="A244" s="133"/>
      <c r="B244" s="277" t="s">
        <v>378</v>
      </c>
      <c r="C244" s="1032"/>
      <c r="D244" s="278"/>
      <c r="E244" s="278"/>
      <c r="F244" s="278"/>
      <c r="G244" s="278"/>
      <c r="H244" s="278"/>
      <c r="I244" s="278"/>
      <c r="J244" s="278"/>
      <c r="K244" s="278"/>
      <c r="L244" s="278"/>
      <c r="M244" s="278"/>
      <c r="N244" s="235">
        <f t="shared" si="361"/>
        <v>0</v>
      </c>
      <c r="O244" s="346"/>
      <c r="P244" s="278"/>
      <c r="Q244" s="378"/>
      <c r="R244" s="377"/>
      <c r="S244" s="278"/>
      <c r="T244" s="378"/>
      <c r="U244" s="377"/>
      <c r="V244" s="278"/>
      <c r="W244" s="378"/>
      <c r="X244" s="377"/>
      <c r="Y244" s="278"/>
      <c r="Z244" s="347"/>
      <c r="AA244" s="278"/>
      <c r="AB244" s="800"/>
      <c r="AD244" s="279"/>
      <c r="AE244" s="278"/>
      <c r="AF244" s="278"/>
      <c r="AG244" s="279"/>
      <c r="AH244" s="278"/>
      <c r="AI244" s="278"/>
      <c r="AJ244" s="279"/>
      <c r="AK244" s="278"/>
      <c r="AL244" s="278"/>
      <c r="AM244" s="279"/>
      <c r="AN244" s="278"/>
      <c r="AQ244" s="202"/>
      <c r="AZ244" s="203"/>
      <c r="BF244" s="203"/>
      <c r="BK244" s="203"/>
      <c r="BP244" s="203"/>
      <c r="BQ244" s="202"/>
      <c r="CA244" s="203"/>
      <c r="CR244" s="122"/>
    </row>
    <row r="245" spans="1:96" ht="45" hidden="1" outlineLevel="2" x14ac:dyDescent="0.25">
      <c r="A245" s="133"/>
      <c r="B245" s="253" t="s">
        <v>1658</v>
      </c>
      <c r="C245" s="970"/>
      <c r="D245" s="254"/>
      <c r="E245" s="254"/>
      <c r="F245" s="254"/>
      <c r="G245" s="254"/>
      <c r="H245" s="254"/>
      <c r="I245" s="254"/>
      <c r="J245" s="254"/>
      <c r="K245" s="254"/>
      <c r="L245" s="254"/>
      <c r="M245" s="254"/>
      <c r="N245" s="235">
        <f>SUM(O245,R245,U245,X245)</f>
        <v>0</v>
      </c>
      <c r="O245" s="329"/>
      <c r="P245" s="254"/>
      <c r="Q245" s="361"/>
      <c r="R245" s="360"/>
      <c r="S245" s="254"/>
      <c r="T245" s="361"/>
      <c r="U245" s="360"/>
      <c r="V245" s="254"/>
      <c r="W245" s="361"/>
      <c r="X245" s="360"/>
      <c r="Y245" s="254"/>
      <c r="Z245" s="330"/>
      <c r="AA245" s="254"/>
      <c r="AB245" s="793"/>
      <c r="AD245" s="255"/>
      <c r="AE245" s="254"/>
      <c r="AF245" s="254"/>
      <c r="AG245" s="255"/>
      <c r="AH245" s="254"/>
      <c r="AI245" s="254"/>
      <c r="AJ245" s="255"/>
      <c r="AK245" s="254"/>
      <c r="AL245" s="254"/>
      <c r="AM245" s="255"/>
      <c r="AN245" s="254"/>
      <c r="AQ245" s="202"/>
      <c r="AZ245" s="203"/>
      <c r="BF245" s="203"/>
      <c r="BK245" s="203"/>
      <c r="BP245" s="203"/>
      <c r="BQ245" s="202"/>
      <c r="CA245" s="203"/>
      <c r="CR245" s="122"/>
    </row>
    <row r="246" spans="1:96" ht="30" hidden="1" outlineLevel="2" x14ac:dyDescent="0.25">
      <c r="A246" s="133"/>
      <c r="B246" s="277" t="s">
        <v>379</v>
      </c>
      <c r="C246" s="1032"/>
      <c r="D246" s="278"/>
      <c r="E246" s="278"/>
      <c r="F246" s="278"/>
      <c r="G246" s="278"/>
      <c r="H246" s="278"/>
      <c r="I246" s="278"/>
      <c r="J246" s="278"/>
      <c r="K246" s="278"/>
      <c r="L246" s="278"/>
      <c r="M246" s="278"/>
      <c r="N246" s="235">
        <f t="shared" si="361"/>
        <v>0</v>
      </c>
      <c r="O246" s="346"/>
      <c r="P246" s="278"/>
      <c r="Q246" s="378"/>
      <c r="R246" s="377"/>
      <c r="S246" s="278"/>
      <c r="T246" s="378"/>
      <c r="U246" s="377"/>
      <c r="V246" s="278"/>
      <c r="W246" s="378"/>
      <c r="X246" s="377"/>
      <c r="Y246" s="278"/>
      <c r="Z246" s="347"/>
      <c r="AA246" s="278"/>
      <c r="AB246" s="800"/>
      <c r="AD246" s="279"/>
      <c r="AE246" s="278"/>
      <c r="AF246" s="278"/>
      <c r="AG246" s="279"/>
      <c r="AH246" s="278"/>
      <c r="AI246" s="278"/>
      <c r="AJ246" s="279"/>
      <c r="AK246" s="278"/>
      <c r="AL246" s="278"/>
      <c r="AM246" s="279"/>
      <c r="AN246" s="278"/>
      <c r="AQ246" s="202"/>
      <c r="AZ246" s="203"/>
      <c r="BF246" s="203"/>
      <c r="BK246" s="203"/>
      <c r="BP246" s="203"/>
      <c r="BQ246" s="202"/>
      <c r="CA246" s="203"/>
      <c r="CR246" s="122"/>
    </row>
    <row r="247" spans="1:96" ht="78.75" outlineLevel="1" collapsed="1" x14ac:dyDescent="0.25">
      <c r="A247" s="134" t="s">
        <v>453</v>
      </c>
      <c r="B247" s="115" t="s">
        <v>1826</v>
      </c>
      <c r="C247" s="1031" t="s">
        <v>243</v>
      </c>
      <c r="D247" s="115"/>
      <c r="E247" s="146"/>
      <c r="F247" s="109" t="s">
        <v>326</v>
      </c>
      <c r="G247" s="109" t="s">
        <v>953</v>
      </c>
      <c r="H247" s="111" t="s">
        <v>243</v>
      </c>
      <c r="I247" s="111" t="s">
        <v>243</v>
      </c>
      <c r="J247" s="111" t="s">
        <v>243</v>
      </c>
      <c r="K247" s="111" t="s">
        <v>242</v>
      </c>
      <c r="L247" s="111" t="s">
        <v>243</v>
      </c>
      <c r="M247" s="109">
        <v>2</v>
      </c>
      <c r="N247" s="235">
        <f t="shared" si="361"/>
        <v>2</v>
      </c>
      <c r="O247" s="200" t="str">
        <f t="shared" ref="O247" si="391">IF(AC247="ДА",$M247,"")</f>
        <v/>
      </c>
      <c r="P247" s="144"/>
      <c r="Q247" s="357">
        <f>IF(AC247="ДА",ROUNDUP(O247/5,0),0)</f>
        <v>0</v>
      </c>
      <c r="R247" s="356">
        <f>IF(AF247="ДА",$M247,"")</f>
        <v>2</v>
      </c>
      <c r="S247" s="144"/>
      <c r="T247" s="357">
        <f>IF(AF247="ДА",ROUNDUP(R247/5,0),0)</f>
        <v>1</v>
      </c>
      <c r="U247" s="356" t="str">
        <f>IF(AI247="ДА",$M247,"")</f>
        <v/>
      </c>
      <c r="V247" s="144"/>
      <c r="W247" s="357">
        <f>IF(AI247="ДА",ROUNDUP(U247/5,0),0)</f>
        <v>0</v>
      </c>
      <c r="X247" s="356" t="str">
        <f>IF(AL247="ДА",$M247,"")</f>
        <v/>
      </c>
      <c r="Y247" s="144"/>
      <c r="Z247" s="201">
        <f>IF(AL247="ДА",ROUNDUP(X247/5,0),0)</f>
        <v>0</v>
      </c>
      <c r="AA247" s="388" t="str">
        <f>IF(OR(AC247="ДА",AF247="ДА",AI247="ДА",AL247="ДА"),"ДА","НЕТ")</f>
        <v>ДА</v>
      </c>
      <c r="AB247" s="388"/>
      <c r="AC247" s="37" t="str">
        <f>IF(AC$8=$BT$9,$BT247,IF(AC$8=$BS$9,$BS247,IF(AC$8=$BU$9,$BU247,IF(AC$8=$BV$9,$BV247,IF(AC$8=$BW$9,$BW247,IF(AC$8=$BX$9,$BX247,IF(AC$8=$BY$9,$BY247,IF(AC$8=$BZ$9,$BZ247,IF(AC$8=$CA$9,$CA247,IF(AC$8=$CC$9,$CC247,IF(AC$8=$CD$9,$CD247,IF(AC$8=$CE$9,$CE247,IF(AC$8=$CF$9,$CF247,IF(AC$8=$CG$9,$CG247,IF(AC$8=$CH$9,$CH247,IF(AC$8=$CI$9,$CI247,IF(AC$8=$CJ$9,$CJ247,IF(AC$8=$CK$9,$CK247,IF(AC$8=$CL$9,$CL247,IF(AC$8=$CM$9,$CM247,IF(AC$8=$CN$9,$CN247,IF(AC$8=$CO$9,$CO247,IF(AC$8=$CP$9,$CP247,IF(AC$8=$CQ$9,$CQ247,"НЕТ"))))))))))))))))))))))))</f>
        <v>НЕТ</v>
      </c>
      <c r="AD247" s="37" t="str">
        <f>IF(AC247="НЕТ","Не требуется",$CR247)</f>
        <v>Не требуется</v>
      </c>
      <c r="AE247" s="37"/>
      <c r="AF247" s="37" t="str">
        <f t="shared" ref="AF247:AL247" si="392">IF(AF$8=$BT$9,$BT247,IF(AF$8=$BS$9,$BS247,IF(AF$8=$BU$9,$BU247,IF(AF$8=$BV$9,$BV247,IF(AF$8=$BW$9,$BW247,IF(AF$8=$BX$9,$BX247,IF(AF$8=$BY$9,$BY247,IF(AF$8=$BZ$9,$BZ247,IF(AF$8=$CA$9,$CA247,IF(AF$8=$CC$9,$CC247,IF(AF$8=$CD$9,$CD247,IF(AF$8=$CE$9,$CE247,IF(AF$8=$CF$9,$CF247,IF(AF$8=$CG$9,$CG247,IF(AF$8=$CH$9,$CH247,IF(AF$8=$CI$9,$CI247,IF(AF$8=$CJ$9,$CJ247,IF(AF$8=$CK$9,$CK247,IF(AF$8=$CL$9,$CL247,IF(AF$8=$CM$9,$CM247,IF(AF$8=$CN$9,$CN247,IF(AF$8=$CO$9,$CO247,IF(AF$8=$CP$9,$CP247,IF(AF$8=$CQ$9,$CQ247,"НЕТ"))))))))))))))))))))))))</f>
        <v>ДА</v>
      </c>
      <c r="AG247" s="37" t="str">
        <f t="shared" si="392"/>
        <v>НЕТ</v>
      </c>
      <c r="AH247" s="37" t="str">
        <f t="shared" si="392"/>
        <v>НЕТ</v>
      </c>
      <c r="AI247" s="37" t="str">
        <f t="shared" si="392"/>
        <v>НЕТ</v>
      </c>
      <c r="AJ247" s="37" t="str">
        <f t="shared" si="392"/>
        <v>НЕТ</v>
      </c>
      <c r="AK247" s="37" t="str">
        <f t="shared" si="392"/>
        <v>НЕТ</v>
      </c>
      <c r="AL247" s="37" t="str">
        <f t="shared" si="392"/>
        <v>НЕТ</v>
      </c>
      <c r="AM247" s="37" t="str">
        <f>IF(AL247="НЕТ","Не требуется",$CR247)</f>
        <v>Не требуется</v>
      </c>
      <c r="AN247" s="37"/>
      <c r="AQ247" s="200"/>
      <c r="AR247" s="230"/>
      <c r="AS247" s="144" t="str">
        <f t="shared" ref="AS247" si="393">IF(BS247="ДА",$M247,"")</f>
        <v/>
      </c>
      <c r="AT247" s="144" t="str">
        <f t="shared" ref="AT247" si="394">IF(BT247="ДА",$M247,"")</f>
        <v/>
      </c>
      <c r="AU247" s="144" t="str">
        <f t="shared" ref="AU247" si="395">IF(BU247="ДА",$M247,"")</f>
        <v/>
      </c>
      <c r="AV247" s="144" t="str">
        <f t="shared" ref="AV247" si="396">IF(BV247="ДА",$M247,"")</f>
        <v/>
      </c>
      <c r="AW247" s="144" t="str">
        <f>IF(BX247="ДА",$M247,"")</f>
        <v/>
      </c>
      <c r="AX247" s="144">
        <f>IF(BY247="ДА",$M247,"")</f>
        <v>2</v>
      </c>
      <c r="AY247" s="144">
        <f>IF(BZ247="ДА",$M247,"")</f>
        <v>2</v>
      </c>
      <c r="AZ247" s="201">
        <f>IF(CA247="ДА",$M247,"")</f>
        <v>2</v>
      </c>
      <c r="BA247" s="235"/>
      <c r="BB247" s="144">
        <f t="shared" ref="BB247:BP247" si="397">IF(CC247="ДА",$M247,"")</f>
        <v>2</v>
      </c>
      <c r="BC247" s="144">
        <f t="shared" si="397"/>
        <v>2</v>
      </c>
      <c r="BD247" s="144" t="str">
        <f t="shared" si="397"/>
        <v/>
      </c>
      <c r="BE247" s="144" t="str">
        <f t="shared" si="397"/>
        <v/>
      </c>
      <c r="BF247" s="201" t="str">
        <f t="shared" si="397"/>
        <v/>
      </c>
      <c r="BG247" s="144" t="str">
        <f t="shared" si="397"/>
        <v/>
      </c>
      <c r="BH247" s="144" t="str">
        <f t="shared" si="397"/>
        <v/>
      </c>
      <c r="BI247" s="144" t="str">
        <f t="shared" si="397"/>
        <v/>
      </c>
      <c r="BJ247" s="144" t="str">
        <f t="shared" si="397"/>
        <v/>
      </c>
      <c r="BK247" s="201" t="str">
        <f t="shared" si="397"/>
        <v/>
      </c>
      <c r="BL247" s="144" t="str">
        <f t="shared" si="397"/>
        <v/>
      </c>
      <c r="BM247" s="144" t="str">
        <f t="shared" si="397"/>
        <v/>
      </c>
      <c r="BN247" s="144" t="str">
        <f t="shared" si="397"/>
        <v/>
      </c>
      <c r="BO247" s="144" t="str">
        <f t="shared" si="397"/>
        <v/>
      </c>
      <c r="BP247" s="201" t="str">
        <f t="shared" si="397"/>
        <v/>
      </c>
      <c r="BQ247" s="209"/>
      <c r="BR247" s="388"/>
      <c r="BS247" s="37" t="s">
        <v>255</v>
      </c>
      <c r="BT247" s="37" t="s">
        <v>255</v>
      </c>
      <c r="BU247" s="37" t="s">
        <v>255</v>
      </c>
      <c r="BV247" s="37" t="s">
        <v>255</v>
      </c>
      <c r="BW247" s="37" t="s">
        <v>255</v>
      </c>
      <c r="BX247" s="37" t="s">
        <v>255</v>
      </c>
      <c r="BY247" s="37" t="s">
        <v>246</v>
      </c>
      <c r="BZ247" s="37" t="s">
        <v>246</v>
      </c>
      <c r="CA247" s="123" t="s">
        <v>246</v>
      </c>
      <c r="CB247" s="223"/>
      <c r="CC247" s="37" t="s">
        <v>246</v>
      </c>
      <c r="CD247" s="37" t="s">
        <v>246</v>
      </c>
      <c r="CE247" s="37" t="s">
        <v>255</v>
      </c>
      <c r="CF247" s="37" t="s">
        <v>255</v>
      </c>
      <c r="CG247" s="37" t="s">
        <v>255</v>
      </c>
      <c r="CH247" s="37" t="s">
        <v>255</v>
      </c>
      <c r="CI247" s="37" t="s">
        <v>255</v>
      </c>
      <c r="CJ247" s="37" t="s">
        <v>255</v>
      </c>
      <c r="CK247" s="37" t="s">
        <v>255</v>
      </c>
      <c r="CL247" s="37" t="s">
        <v>255</v>
      </c>
      <c r="CM247" s="37" t="s">
        <v>255</v>
      </c>
      <c r="CN247" s="37" t="s">
        <v>255</v>
      </c>
      <c r="CO247" s="37" t="s">
        <v>255</v>
      </c>
      <c r="CP247" s="37" t="s">
        <v>255</v>
      </c>
      <c r="CQ247" s="37" t="s">
        <v>255</v>
      </c>
      <c r="CR247" s="123" t="s">
        <v>301</v>
      </c>
    </row>
    <row r="248" spans="1:96" ht="60" hidden="1" outlineLevel="2" x14ac:dyDescent="0.25">
      <c r="A248" s="133"/>
      <c r="B248" s="277" t="s">
        <v>1825</v>
      </c>
      <c r="C248" s="1032"/>
      <c r="D248" s="278"/>
      <c r="E248" s="278"/>
      <c r="F248" s="278"/>
      <c r="G248" s="278"/>
      <c r="H248" s="278"/>
      <c r="I248" s="278"/>
      <c r="J248" s="278"/>
      <c r="K248" s="278"/>
      <c r="L248" s="278"/>
      <c r="M248" s="278"/>
      <c r="N248" s="235">
        <f t="shared" si="361"/>
        <v>0</v>
      </c>
      <c r="O248" s="346"/>
      <c r="P248" s="278"/>
      <c r="Q248" s="378"/>
      <c r="R248" s="377"/>
      <c r="S248" s="278"/>
      <c r="T248" s="378"/>
      <c r="U248" s="377"/>
      <c r="V248" s="278"/>
      <c r="W248" s="378"/>
      <c r="X248" s="377"/>
      <c r="Y248" s="278"/>
      <c r="Z248" s="347"/>
      <c r="AA248" s="278"/>
      <c r="AB248" s="800"/>
      <c r="AD248" s="279"/>
      <c r="AE248" s="278"/>
      <c r="AF248" s="278"/>
      <c r="AG248" s="279"/>
      <c r="AH248" s="278"/>
      <c r="AI248" s="278"/>
      <c r="AJ248" s="279"/>
      <c r="AK248" s="278"/>
      <c r="AL248" s="278"/>
      <c r="AM248" s="279"/>
      <c r="AN248" s="278"/>
      <c r="AQ248" s="202"/>
      <c r="AZ248" s="203"/>
      <c r="BF248" s="203"/>
      <c r="BK248" s="203"/>
      <c r="BP248" s="203"/>
      <c r="BQ248" s="202"/>
      <c r="CA248" s="203"/>
      <c r="CR248" s="122"/>
    </row>
    <row r="249" spans="1:96" ht="30" hidden="1" outlineLevel="2" x14ac:dyDescent="0.25">
      <c r="A249" s="133"/>
      <c r="B249" s="277" t="s">
        <v>380</v>
      </c>
      <c r="C249" s="1032"/>
      <c r="D249" s="278"/>
      <c r="E249" s="278"/>
      <c r="F249" s="278"/>
      <c r="G249" s="278"/>
      <c r="H249" s="278"/>
      <c r="I249" s="278"/>
      <c r="J249" s="278"/>
      <c r="K249" s="278"/>
      <c r="L249" s="278"/>
      <c r="M249" s="278"/>
      <c r="N249" s="235">
        <f t="shared" si="361"/>
        <v>0</v>
      </c>
      <c r="O249" s="346"/>
      <c r="P249" s="278"/>
      <c r="Q249" s="378"/>
      <c r="R249" s="377"/>
      <c r="S249" s="278"/>
      <c r="T249" s="378"/>
      <c r="U249" s="377"/>
      <c r="V249" s="278"/>
      <c r="W249" s="378"/>
      <c r="X249" s="377"/>
      <c r="Y249" s="278"/>
      <c r="Z249" s="347"/>
      <c r="AA249" s="278"/>
      <c r="AB249" s="800"/>
      <c r="AD249" s="279"/>
      <c r="AE249" s="278"/>
      <c r="AF249" s="278"/>
      <c r="AG249" s="279"/>
      <c r="AH249" s="278"/>
      <c r="AI249" s="278"/>
      <c r="AJ249" s="279"/>
      <c r="AK249" s="278"/>
      <c r="AL249" s="278"/>
      <c r="AM249" s="279"/>
      <c r="AN249" s="278"/>
      <c r="AQ249" s="202"/>
      <c r="AZ249" s="203"/>
      <c r="BF249" s="203"/>
      <c r="BK249" s="203"/>
      <c r="BP249" s="203"/>
      <c r="BQ249" s="202"/>
      <c r="CA249" s="203"/>
      <c r="CR249" s="122"/>
    </row>
    <row r="250" spans="1:96" ht="30" outlineLevel="1" x14ac:dyDescent="0.25">
      <c r="A250" s="112" t="s">
        <v>454</v>
      </c>
      <c r="B250" s="121" t="s">
        <v>394</v>
      </c>
      <c r="C250" s="1024" t="s">
        <v>243</v>
      </c>
      <c r="D250" s="121"/>
      <c r="E250" s="121"/>
      <c r="F250" s="34" t="s">
        <v>225</v>
      </c>
      <c r="G250" s="120" t="s">
        <v>579</v>
      </c>
      <c r="H250" s="111" t="s">
        <v>243</v>
      </c>
      <c r="I250" s="111" t="s">
        <v>243</v>
      </c>
      <c r="J250" s="111" t="s">
        <v>1693</v>
      </c>
      <c r="K250" s="111" t="s">
        <v>242</v>
      </c>
      <c r="L250" s="111" t="s">
        <v>243</v>
      </c>
      <c r="M250" s="34">
        <v>3</v>
      </c>
      <c r="N250" s="235">
        <f t="shared" si="361"/>
        <v>0</v>
      </c>
      <c r="O250" s="200" t="str">
        <f t="shared" ref="O250:O253" si="398">IF(AC250="ДА",$M250,"")</f>
        <v/>
      </c>
      <c r="P250" s="144"/>
      <c r="Q250" s="357">
        <f t="shared" ref="Q250:Q253" si="399">IF(AC250="ДА",ROUNDUP(O250/5,0),0)</f>
        <v>0</v>
      </c>
      <c r="R250" s="356" t="str">
        <f>IF(AF250="ДА",$M250,"")</f>
        <v/>
      </c>
      <c r="S250" s="144"/>
      <c r="T250" s="357">
        <f>IF(AF250="ДА",ROUNDUP(R250/5,0),0)</f>
        <v>0</v>
      </c>
      <c r="U250" s="356" t="str">
        <f>IF(AI250="ДА",$M250,"")</f>
        <v/>
      </c>
      <c r="V250" s="144"/>
      <c r="W250" s="357">
        <f>IF(AI250="ДА",ROUNDUP(U250/5,0),0)</f>
        <v>0</v>
      </c>
      <c r="X250" s="356" t="str">
        <f>IF(AL250="ДА",$M250,"")</f>
        <v/>
      </c>
      <c r="Y250" s="144"/>
      <c r="Z250" s="201">
        <f>IF(AL250="ДА",ROUNDUP(X250/5,0),0)</f>
        <v>0</v>
      </c>
      <c r="AA250" s="388" t="str">
        <f>IF(OR(AC250="ДА",AF250="ДА",AI250="ДА",AL250="ДА"),"ДА","НЕТ")</f>
        <v>НЕТ</v>
      </c>
      <c r="AB250" s="388"/>
      <c r="AC250" s="37" t="str">
        <f>IF(AC$8=$BT$9,$BT250,IF(AC$8=$BS$9,$BS250,IF(AC$8=$BU$9,$BU250,IF(AC$8=$BV$9,$BV250,IF(AC$8=$BW$9,$BW250,IF(AC$8=$BX$9,$BX250,IF(AC$8=$BY$9,$BY250,IF(AC$8=$BZ$9,$BZ250,IF(AC$8=$CA$9,$CA250,IF(AC$8=$CC$9,$CC250,IF(AC$8=$CD$9,$CD250,IF(AC$8=$CE$9,$CE250,IF(AC$8=$CF$9,$CF250,IF(AC$8=$CG$9,$CG250,IF(AC$8=$CH$9,$CH250,IF(AC$8=$CI$9,$CI250,IF(AC$8=$CJ$9,$CJ250,IF(AC$8=$CK$9,$CK250,IF(AC$8=$CL$9,$CL250,IF(AC$8=$CM$9,$CM250,IF(AC$8=$CN$9,$CN250,IF(AC$8=$CO$9,$CO250,IF(AC$8=$CP$9,$CP250,IF(AC$8=$CQ$9,$CQ250,"НЕТ"))))))))))))))))))))))))</f>
        <v>НЕТ</v>
      </c>
      <c r="AD250" s="37" t="str">
        <f>IF(AC250="НЕТ","Не требуется",$CR250)</f>
        <v>Не требуется</v>
      </c>
      <c r="AE250" s="37"/>
      <c r="AF250" s="37" t="str">
        <f t="shared" ref="AF250:AL253" si="400">IF(AF$8=$BT$9,$BT250,IF(AF$8=$BS$9,$BS250,IF(AF$8=$BU$9,$BU250,IF(AF$8=$BV$9,$BV250,IF(AF$8=$BW$9,$BW250,IF(AF$8=$BX$9,$BX250,IF(AF$8=$BY$9,$BY250,IF(AF$8=$BZ$9,$BZ250,IF(AF$8=$CA$9,$CA250,IF(AF$8=$CC$9,$CC250,IF(AF$8=$CD$9,$CD250,IF(AF$8=$CE$9,$CE250,IF(AF$8=$CF$9,$CF250,IF(AF$8=$CG$9,$CG250,IF(AF$8=$CH$9,$CH250,IF(AF$8=$CI$9,$CI250,IF(AF$8=$CJ$9,$CJ250,IF(AF$8=$CK$9,$CK250,IF(AF$8=$CL$9,$CL250,IF(AF$8=$CM$9,$CM250,IF(AF$8=$CN$9,$CN250,IF(AF$8=$CO$9,$CO250,IF(AF$8=$CP$9,$CP250,IF(AF$8=$CQ$9,$CQ250,"НЕТ"))))))))))))))))))))))))</f>
        <v>НЕТ</v>
      </c>
      <c r="AG250" s="37" t="str">
        <f t="shared" si="400"/>
        <v>НЕТ</v>
      </c>
      <c r="AH250" s="37" t="str">
        <f t="shared" si="400"/>
        <v>НЕТ</v>
      </c>
      <c r="AI250" s="37" t="str">
        <f t="shared" si="400"/>
        <v>НЕТ</v>
      </c>
      <c r="AJ250" s="37" t="str">
        <f t="shared" si="400"/>
        <v>НЕТ</v>
      </c>
      <c r="AK250" s="37" t="str">
        <f t="shared" si="400"/>
        <v>НЕТ</v>
      </c>
      <c r="AL250" s="37" t="str">
        <f t="shared" si="400"/>
        <v>НЕТ</v>
      </c>
      <c r="AM250" s="37" t="str">
        <f>IF(AL250="НЕТ","Не требуется",$CR250)</f>
        <v>Не требуется</v>
      </c>
      <c r="AN250" s="37"/>
      <c r="AQ250" s="200"/>
      <c r="AR250" s="230"/>
      <c r="AS250" s="144" t="str">
        <f t="shared" ref="AS250:AS253" si="401">IF(BS250="ДА",$M250,"")</f>
        <v/>
      </c>
      <c r="AT250" s="144" t="str">
        <f t="shared" ref="AT250:AT253" si="402">IF(BT250="ДА",$M250,"")</f>
        <v/>
      </c>
      <c r="AU250" s="144" t="str">
        <f t="shared" ref="AU250:AU253" si="403">IF(BU250="ДА",$M250,"")</f>
        <v/>
      </c>
      <c r="AV250" s="144" t="str">
        <f t="shared" ref="AV250:AV253" si="404">IF(BV250="ДА",$M250,"")</f>
        <v/>
      </c>
      <c r="AW250" s="144" t="str">
        <f t="shared" ref="AW250:AZ253" si="405">IF(BX250="ДА",$M250,"")</f>
        <v/>
      </c>
      <c r="AX250" s="144" t="str">
        <f t="shared" si="405"/>
        <v/>
      </c>
      <c r="AY250" s="144" t="str">
        <f t="shared" si="405"/>
        <v/>
      </c>
      <c r="AZ250" s="201">
        <f t="shared" si="405"/>
        <v>3</v>
      </c>
      <c r="BA250" s="235"/>
      <c r="BB250" s="144" t="str">
        <f t="shared" ref="BB250:BP253" si="406">IF(CC250="ДА",$M250,"")</f>
        <v/>
      </c>
      <c r="BC250" s="144" t="str">
        <f t="shared" si="406"/>
        <v/>
      </c>
      <c r="BD250" s="144" t="str">
        <f t="shared" si="406"/>
        <v/>
      </c>
      <c r="BE250" s="144" t="str">
        <f t="shared" si="406"/>
        <v/>
      </c>
      <c r="BF250" s="201" t="str">
        <f t="shared" si="406"/>
        <v/>
      </c>
      <c r="BG250" s="144" t="str">
        <f t="shared" si="406"/>
        <v/>
      </c>
      <c r="BH250" s="144" t="str">
        <f t="shared" si="406"/>
        <v/>
      </c>
      <c r="BI250" s="144" t="str">
        <f t="shared" si="406"/>
        <v/>
      </c>
      <c r="BJ250" s="144" t="str">
        <f t="shared" si="406"/>
        <v/>
      </c>
      <c r="BK250" s="201" t="str">
        <f t="shared" si="406"/>
        <v/>
      </c>
      <c r="BL250" s="144" t="str">
        <f t="shared" si="406"/>
        <v/>
      </c>
      <c r="BM250" s="144" t="str">
        <f t="shared" si="406"/>
        <v/>
      </c>
      <c r="BN250" s="144" t="str">
        <f t="shared" si="406"/>
        <v/>
      </c>
      <c r="BO250" s="144" t="str">
        <f t="shared" si="406"/>
        <v/>
      </c>
      <c r="BP250" s="201" t="str">
        <f t="shared" si="406"/>
        <v/>
      </c>
      <c r="BQ250" s="209"/>
      <c r="BR250" s="388"/>
      <c r="BS250" s="37" t="s">
        <v>255</v>
      </c>
      <c r="BT250" s="37" t="s">
        <v>255</v>
      </c>
      <c r="BU250" s="37" t="s">
        <v>255</v>
      </c>
      <c r="BV250" s="37" t="s">
        <v>255</v>
      </c>
      <c r="BW250" s="37" t="s">
        <v>255</v>
      </c>
      <c r="BX250" s="37" t="s">
        <v>255</v>
      </c>
      <c r="BY250" s="37" t="s">
        <v>255</v>
      </c>
      <c r="BZ250" s="37" t="s">
        <v>255</v>
      </c>
      <c r="CA250" s="123" t="s">
        <v>246</v>
      </c>
      <c r="CB250" s="223"/>
      <c r="CC250" s="37" t="s">
        <v>255</v>
      </c>
      <c r="CD250" s="37" t="s">
        <v>255</v>
      </c>
      <c r="CE250" s="37" t="s">
        <v>255</v>
      </c>
      <c r="CF250" s="37" t="s">
        <v>255</v>
      </c>
      <c r="CG250" s="37" t="s">
        <v>255</v>
      </c>
      <c r="CH250" s="37" t="s">
        <v>255</v>
      </c>
      <c r="CI250" s="37" t="s">
        <v>255</v>
      </c>
      <c r="CJ250" s="37" t="s">
        <v>255</v>
      </c>
      <c r="CK250" s="37" t="s">
        <v>255</v>
      </c>
      <c r="CL250" s="37" t="s">
        <v>255</v>
      </c>
      <c r="CM250" s="37" t="s">
        <v>255</v>
      </c>
      <c r="CN250" s="37" t="s">
        <v>255</v>
      </c>
      <c r="CO250" s="37" t="s">
        <v>255</v>
      </c>
      <c r="CP250" s="37" t="s">
        <v>255</v>
      </c>
      <c r="CQ250" s="37" t="s">
        <v>255</v>
      </c>
      <c r="CR250" s="123" t="s">
        <v>302</v>
      </c>
    </row>
    <row r="251" spans="1:96" ht="30" outlineLevel="1" x14ac:dyDescent="0.25">
      <c r="A251" s="112" t="s">
        <v>1682</v>
      </c>
      <c r="B251" s="121" t="s">
        <v>235</v>
      </c>
      <c r="C251" s="1024" t="s">
        <v>243</v>
      </c>
      <c r="D251" s="121"/>
      <c r="E251" s="121"/>
      <c r="F251" s="34" t="s">
        <v>225</v>
      </c>
      <c r="G251" s="120" t="s">
        <v>579</v>
      </c>
      <c r="H251" s="111" t="s">
        <v>1693</v>
      </c>
      <c r="I251" s="111" t="s">
        <v>1693</v>
      </c>
      <c r="J251" s="111" t="s">
        <v>1693</v>
      </c>
      <c r="K251" s="111" t="s">
        <v>1693</v>
      </c>
      <c r="L251" s="111" t="s">
        <v>1693</v>
      </c>
      <c r="M251" s="34">
        <v>10</v>
      </c>
      <c r="N251" s="235">
        <f t="shared" si="361"/>
        <v>0</v>
      </c>
      <c r="O251" s="200" t="str">
        <f t="shared" si="398"/>
        <v/>
      </c>
      <c r="P251" s="144"/>
      <c r="Q251" s="357">
        <f t="shared" si="399"/>
        <v>0</v>
      </c>
      <c r="R251" s="356" t="str">
        <f>IF(AF251="ДА",$M251,"")</f>
        <v/>
      </c>
      <c r="S251" s="144"/>
      <c r="T251" s="357">
        <f>IF(AF251="ДА",ROUNDUP(R251/5,0),0)</f>
        <v>0</v>
      </c>
      <c r="U251" s="356" t="str">
        <f>IF(AI251="ДА",$M251,"")</f>
        <v/>
      </c>
      <c r="V251" s="144"/>
      <c r="W251" s="357">
        <f>IF(AI251="ДА",ROUNDUP(U251/5,0),0)</f>
        <v>0</v>
      </c>
      <c r="X251" s="356" t="str">
        <f>IF(AL251="ДА",$M251,"")</f>
        <v/>
      </c>
      <c r="Y251" s="144"/>
      <c r="Z251" s="201">
        <f>IF(AL251="ДА",ROUNDUP(X251/5,0),0)</f>
        <v>0</v>
      </c>
      <c r="AA251" s="388" t="str">
        <f>IF(OR(AC251="ДА",AF251="ДА",AI251="ДА",AL251="ДА"),"ДА","НЕТ")</f>
        <v>НЕТ</v>
      </c>
      <c r="AB251" s="388"/>
      <c r="AC251" s="37" t="str">
        <f>IF(AC$8=$BT$9,$BT251,IF(AC$8=$BS$9,$BS251,IF(AC$8=$BU$9,$BU251,IF(AC$8=$BV$9,$BV251,IF(AC$8=$BW$9,$BW251,IF(AC$8=$BX$9,$BX251,IF(AC$8=$BY$9,$BY251,IF(AC$8=$BZ$9,$BZ251,IF(AC$8=$CA$9,$CA251,IF(AC$8=$CC$9,$CC251,IF(AC$8=$CD$9,$CD251,IF(AC$8=$CE$9,$CE251,IF(AC$8=$CF$9,$CF251,IF(AC$8=$CG$9,$CG251,IF(AC$8=$CH$9,$CH251,IF(AC$8=$CI$9,$CI251,IF(AC$8=$CJ$9,$CJ251,IF(AC$8=$CK$9,$CK251,IF(AC$8=$CL$9,$CL251,IF(AC$8=$CM$9,$CM251,IF(AC$8=$CN$9,$CN251,IF(AC$8=$CO$9,$CO251,IF(AC$8=$CP$9,$CP251,IF(AC$8=$CQ$9,$CQ251,"НЕТ"))))))))))))))))))))))))</f>
        <v>НЕТ</v>
      </c>
      <c r="AD251" s="37" t="str">
        <f>IF(AC251="НЕТ","Не требуется",$CR251)</f>
        <v>Не требуется</v>
      </c>
      <c r="AE251" s="37"/>
      <c r="AF251" s="37" t="str">
        <f t="shared" si="400"/>
        <v>НЕТ</v>
      </c>
      <c r="AG251" s="37" t="str">
        <f t="shared" si="400"/>
        <v>НЕТ</v>
      </c>
      <c r="AH251" s="37" t="str">
        <f t="shared" si="400"/>
        <v>НЕТ</v>
      </c>
      <c r="AI251" s="37" t="str">
        <f t="shared" si="400"/>
        <v>НЕТ</v>
      </c>
      <c r="AJ251" s="37" t="str">
        <f t="shared" si="400"/>
        <v>НЕТ</v>
      </c>
      <c r="AK251" s="37" t="str">
        <f t="shared" si="400"/>
        <v>НЕТ</v>
      </c>
      <c r="AL251" s="37" t="str">
        <f t="shared" si="400"/>
        <v>НЕТ</v>
      </c>
      <c r="AM251" s="37" t="str">
        <f>IF(AL251="НЕТ","Не требуется",$CR251)</f>
        <v>Не требуется</v>
      </c>
      <c r="AN251" s="37"/>
      <c r="AQ251" s="200"/>
      <c r="AR251" s="230"/>
      <c r="AS251" s="144" t="str">
        <f t="shared" si="401"/>
        <v/>
      </c>
      <c r="AT251" s="144" t="str">
        <f t="shared" si="402"/>
        <v/>
      </c>
      <c r="AU251" s="144" t="str">
        <f t="shared" si="403"/>
        <v/>
      </c>
      <c r="AV251" s="144" t="str">
        <f t="shared" si="404"/>
        <v/>
      </c>
      <c r="AW251" s="144" t="str">
        <f t="shared" si="405"/>
        <v/>
      </c>
      <c r="AX251" s="144" t="str">
        <f t="shared" si="405"/>
        <v/>
      </c>
      <c r="AY251" s="144" t="str">
        <f t="shared" si="405"/>
        <v/>
      </c>
      <c r="AZ251" s="201">
        <f t="shared" si="405"/>
        <v>10</v>
      </c>
      <c r="BA251" s="235"/>
      <c r="BB251" s="144" t="str">
        <f t="shared" si="406"/>
        <v/>
      </c>
      <c r="BC251" s="144">
        <f t="shared" si="406"/>
        <v>10</v>
      </c>
      <c r="BD251" s="144" t="str">
        <f t="shared" si="406"/>
        <v/>
      </c>
      <c r="BE251" s="144" t="str">
        <f t="shared" si="406"/>
        <v/>
      </c>
      <c r="BF251" s="201" t="str">
        <f t="shared" si="406"/>
        <v/>
      </c>
      <c r="BG251" s="144" t="str">
        <f t="shared" si="406"/>
        <v/>
      </c>
      <c r="BH251" s="144" t="str">
        <f t="shared" si="406"/>
        <v/>
      </c>
      <c r="BI251" s="144" t="str">
        <f t="shared" si="406"/>
        <v/>
      </c>
      <c r="BJ251" s="144" t="str">
        <f t="shared" si="406"/>
        <v/>
      </c>
      <c r="BK251" s="201" t="str">
        <f t="shared" si="406"/>
        <v/>
      </c>
      <c r="BL251" s="144" t="str">
        <f t="shared" si="406"/>
        <v/>
      </c>
      <c r="BM251" s="144" t="str">
        <f t="shared" si="406"/>
        <v/>
      </c>
      <c r="BN251" s="144" t="str">
        <f t="shared" si="406"/>
        <v/>
      </c>
      <c r="BO251" s="144" t="str">
        <f t="shared" si="406"/>
        <v/>
      </c>
      <c r="BP251" s="201" t="str">
        <f t="shared" si="406"/>
        <v/>
      </c>
      <c r="BQ251" s="209"/>
      <c r="BR251" s="388"/>
      <c r="BS251" s="37" t="s">
        <v>255</v>
      </c>
      <c r="BT251" s="37" t="s">
        <v>255</v>
      </c>
      <c r="BU251" s="37" t="s">
        <v>255</v>
      </c>
      <c r="BV251" s="37" t="s">
        <v>255</v>
      </c>
      <c r="BW251" s="37" t="s">
        <v>255</v>
      </c>
      <c r="BX251" s="37" t="s">
        <v>255</v>
      </c>
      <c r="BY251" s="37" t="s">
        <v>255</v>
      </c>
      <c r="BZ251" s="37" t="s">
        <v>255</v>
      </c>
      <c r="CA251" s="123" t="s">
        <v>246</v>
      </c>
      <c r="CB251" s="223"/>
      <c r="CC251" s="37" t="s">
        <v>255</v>
      </c>
      <c r="CD251" s="37" t="s">
        <v>246</v>
      </c>
      <c r="CE251" s="37" t="s">
        <v>255</v>
      </c>
      <c r="CF251" s="37" t="s">
        <v>255</v>
      </c>
      <c r="CG251" s="37" t="s">
        <v>255</v>
      </c>
      <c r="CH251" s="37" t="s">
        <v>255</v>
      </c>
      <c r="CI251" s="37" t="s">
        <v>255</v>
      </c>
      <c r="CJ251" s="37" t="s">
        <v>255</v>
      </c>
      <c r="CK251" s="37" t="s">
        <v>255</v>
      </c>
      <c r="CL251" s="37" t="s">
        <v>255</v>
      </c>
      <c r="CM251" s="37" t="s">
        <v>255</v>
      </c>
      <c r="CN251" s="37" t="s">
        <v>255</v>
      </c>
      <c r="CO251" s="37" t="s">
        <v>255</v>
      </c>
      <c r="CP251" s="37" t="s">
        <v>255</v>
      </c>
      <c r="CQ251" s="37" t="s">
        <v>255</v>
      </c>
      <c r="CR251" s="123" t="s">
        <v>302</v>
      </c>
    </row>
    <row r="252" spans="1:96" ht="90" outlineLevel="1" x14ac:dyDescent="0.25">
      <c r="A252" s="112" t="s">
        <v>1684</v>
      </c>
      <c r="B252" s="121" t="s">
        <v>1824</v>
      </c>
      <c r="C252" s="1024" t="s">
        <v>243</v>
      </c>
      <c r="D252" s="121"/>
      <c r="E252" s="121"/>
      <c r="F252" s="34" t="s">
        <v>225</v>
      </c>
      <c r="G252" s="120" t="s">
        <v>579</v>
      </c>
      <c r="H252" s="111" t="s">
        <v>1693</v>
      </c>
      <c r="I252" s="111" t="s">
        <v>1693</v>
      </c>
      <c r="J252" s="111" t="s">
        <v>1693</v>
      </c>
      <c r="K252" s="111" t="s">
        <v>1693</v>
      </c>
      <c r="L252" s="111" t="s">
        <v>1693</v>
      </c>
      <c r="M252" s="34">
        <v>10</v>
      </c>
      <c r="N252" s="235">
        <f t="shared" si="361"/>
        <v>10</v>
      </c>
      <c r="O252" s="200" t="str">
        <f t="shared" si="398"/>
        <v/>
      </c>
      <c r="P252" s="144"/>
      <c r="Q252" s="357">
        <f t="shared" si="399"/>
        <v>0</v>
      </c>
      <c r="R252" s="356">
        <f>IF(AF252="ДА",$M252,"")</f>
        <v>10</v>
      </c>
      <c r="S252" s="144"/>
      <c r="T252" s="357">
        <f>IF(AF252="ДА",ROUNDUP(R252/5,0),0)</f>
        <v>2</v>
      </c>
      <c r="U252" s="356" t="str">
        <f>IF(AI252="ДА",$M252,"")</f>
        <v/>
      </c>
      <c r="V252" s="144"/>
      <c r="W252" s="357">
        <f>IF(AI252="ДА",ROUNDUP(U252/5,0),0)</f>
        <v>0</v>
      </c>
      <c r="X252" s="356" t="str">
        <f>IF(AL252="ДА",$M252,"")</f>
        <v/>
      </c>
      <c r="Y252" s="144"/>
      <c r="Z252" s="201">
        <f>IF(AL252="ДА",ROUNDUP(X252/5,0),0)</f>
        <v>0</v>
      </c>
      <c r="AA252" s="388" t="str">
        <f>IF(OR(AC252="ДА",AF252="ДА",AI252="ДА",AL252="ДА"),"ДА","НЕТ")</f>
        <v>ДА</v>
      </c>
      <c r="AB252" s="388"/>
      <c r="AC252" s="37" t="str">
        <f>IF(AC$8=$BT$9,$BT252,IF(AC$8=$BS$9,$BS252,IF(AC$8=$BU$9,$BU252,IF(AC$8=$BV$9,$BV252,IF(AC$8=$BW$9,$BW252,IF(AC$8=$BX$9,$BX252,IF(AC$8=$BY$9,$BY252,IF(AC$8=$BZ$9,$BZ252,IF(AC$8=$CA$9,$CA252,IF(AC$8=$CC$9,$CC252,IF(AC$8=$CD$9,$CD252,IF(AC$8=$CE$9,$CE252,IF(AC$8=$CF$9,$CF252,IF(AC$8=$CG$9,$CG252,IF(AC$8=$CH$9,$CH252,IF(AC$8=$CI$9,$CI252,IF(AC$8=$CJ$9,$CJ252,IF(AC$8=$CK$9,$CK252,IF(AC$8=$CL$9,$CL252,IF(AC$8=$CM$9,$CM252,IF(AC$8=$CN$9,$CN252,IF(AC$8=$CO$9,$CO252,IF(AC$8=$CP$9,$CP252,IF(AC$8=$CQ$9,$CQ252,"НЕТ"))))))))))))))))))))))))</f>
        <v>НЕТ</v>
      </c>
      <c r="AD252" s="37" t="str">
        <f>IF(AC252="НЕТ","Не требуется",$CR252)</f>
        <v>Не требуется</v>
      </c>
      <c r="AE252" s="37"/>
      <c r="AF252" s="37" t="str">
        <f t="shared" si="400"/>
        <v>ДА</v>
      </c>
      <c r="AG252" s="37" t="str">
        <f t="shared" si="400"/>
        <v>НЕТ</v>
      </c>
      <c r="AH252" s="37" t="str">
        <f t="shared" si="400"/>
        <v>НЕТ</v>
      </c>
      <c r="AI252" s="37" t="str">
        <f t="shared" si="400"/>
        <v>НЕТ</v>
      </c>
      <c r="AJ252" s="37" t="str">
        <f t="shared" si="400"/>
        <v>НЕТ</v>
      </c>
      <c r="AK252" s="37" t="str">
        <f t="shared" si="400"/>
        <v>НЕТ</v>
      </c>
      <c r="AL252" s="37" t="str">
        <f t="shared" si="400"/>
        <v>НЕТ</v>
      </c>
      <c r="AM252" s="37" t="str">
        <f>IF(AL252="НЕТ","Не требуется",$CR252)</f>
        <v>Не требуется</v>
      </c>
      <c r="AN252" s="37"/>
      <c r="AQ252" s="200"/>
      <c r="AR252" s="230"/>
      <c r="AS252" s="144" t="str">
        <f t="shared" si="401"/>
        <v/>
      </c>
      <c r="AT252" s="144" t="str">
        <f t="shared" si="402"/>
        <v/>
      </c>
      <c r="AU252" s="144" t="str">
        <f t="shared" si="403"/>
        <v/>
      </c>
      <c r="AV252" s="144" t="str">
        <f t="shared" si="404"/>
        <v/>
      </c>
      <c r="AW252" s="144" t="str">
        <f t="shared" si="405"/>
        <v/>
      </c>
      <c r="AX252" s="144">
        <f t="shared" si="405"/>
        <v>10</v>
      </c>
      <c r="AY252" s="144">
        <f t="shared" si="405"/>
        <v>10</v>
      </c>
      <c r="AZ252" s="201">
        <f t="shared" si="405"/>
        <v>10</v>
      </c>
      <c r="BA252" s="235"/>
      <c r="BB252" s="144">
        <f t="shared" si="406"/>
        <v>10</v>
      </c>
      <c r="BC252" s="144" t="str">
        <f t="shared" si="406"/>
        <v/>
      </c>
      <c r="BD252" s="144" t="str">
        <f t="shared" si="406"/>
        <v/>
      </c>
      <c r="BE252" s="144" t="str">
        <f t="shared" si="406"/>
        <v/>
      </c>
      <c r="BF252" s="201" t="str">
        <f t="shared" si="406"/>
        <v/>
      </c>
      <c r="BG252" s="144">
        <f t="shared" si="406"/>
        <v>10</v>
      </c>
      <c r="BH252" s="144">
        <f t="shared" si="406"/>
        <v>10</v>
      </c>
      <c r="BI252" s="144" t="str">
        <f t="shared" si="406"/>
        <v/>
      </c>
      <c r="BJ252" s="144" t="str">
        <f t="shared" si="406"/>
        <v/>
      </c>
      <c r="BK252" s="201" t="str">
        <f t="shared" si="406"/>
        <v/>
      </c>
      <c r="BL252" s="144" t="str">
        <f t="shared" si="406"/>
        <v/>
      </c>
      <c r="BM252" s="144" t="str">
        <f t="shared" si="406"/>
        <v/>
      </c>
      <c r="BN252" s="144" t="str">
        <f t="shared" si="406"/>
        <v/>
      </c>
      <c r="BO252" s="144" t="str">
        <f t="shared" si="406"/>
        <v/>
      </c>
      <c r="BP252" s="201" t="str">
        <f t="shared" si="406"/>
        <v/>
      </c>
      <c r="BQ252" s="209"/>
      <c r="BR252" s="388"/>
      <c r="BS252" s="37" t="s">
        <v>255</v>
      </c>
      <c r="BT252" s="37" t="s">
        <v>255</v>
      </c>
      <c r="BU252" s="37" t="s">
        <v>255</v>
      </c>
      <c r="BV252" s="37" t="s">
        <v>255</v>
      </c>
      <c r="BW252" s="37" t="s">
        <v>255</v>
      </c>
      <c r="BX252" s="37" t="s">
        <v>255</v>
      </c>
      <c r="BY252" s="37" t="s">
        <v>246</v>
      </c>
      <c r="BZ252" s="37" t="s">
        <v>246</v>
      </c>
      <c r="CA252" s="123" t="s">
        <v>246</v>
      </c>
      <c r="CB252" s="223"/>
      <c r="CC252" s="37" t="s">
        <v>246</v>
      </c>
      <c r="CD252" s="37" t="s">
        <v>255</v>
      </c>
      <c r="CE252" s="37" t="s">
        <v>255</v>
      </c>
      <c r="CF252" s="37" t="s">
        <v>255</v>
      </c>
      <c r="CG252" s="37" t="s">
        <v>255</v>
      </c>
      <c r="CH252" s="37" t="s">
        <v>246</v>
      </c>
      <c r="CI252" s="37" t="s">
        <v>246</v>
      </c>
      <c r="CJ252" s="37" t="s">
        <v>255</v>
      </c>
      <c r="CK252" s="37" t="s">
        <v>255</v>
      </c>
      <c r="CL252" s="37" t="s">
        <v>255</v>
      </c>
      <c r="CM252" s="37" t="s">
        <v>255</v>
      </c>
      <c r="CN252" s="37" t="s">
        <v>255</v>
      </c>
      <c r="CO252" s="37" t="s">
        <v>255</v>
      </c>
      <c r="CP252" s="37" t="s">
        <v>255</v>
      </c>
      <c r="CQ252" s="37" t="s">
        <v>255</v>
      </c>
      <c r="CR252" s="123" t="s">
        <v>302</v>
      </c>
    </row>
    <row r="253" spans="1:96" ht="30" outlineLevel="1" x14ac:dyDescent="0.25">
      <c r="A253" s="112" t="s">
        <v>1685</v>
      </c>
      <c r="B253" s="121" t="s">
        <v>237</v>
      </c>
      <c r="C253" s="1024" t="s">
        <v>243</v>
      </c>
      <c r="D253" s="121"/>
      <c r="E253" s="121"/>
      <c r="F253" s="34" t="s">
        <v>225</v>
      </c>
      <c r="G253" s="120" t="s">
        <v>579</v>
      </c>
      <c r="H253" s="111" t="s">
        <v>243</v>
      </c>
      <c r="I253" s="111" t="s">
        <v>1693</v>
      </c>
      <c r="J253" s="111" t="s">
        <v>243</v>
      </c>
      <c r="K253" s="111" t="s">
        <v>1693</v>
      </c>
      <c r="L253" s="111" t="s">
        <v>243</v>
      </c>
      <c r="M253" s="34">
        <v>5</v>
      </c>
      <c r="N253" s="235">
        <f t="shared" si="361"/>
        <v>0</v>
      </c>
      <c r="O253" s="200" t="str">
        <f t="shared" si="398"/>
        <v/>
      </c>
      <c r="P253" s="144"/>
      <c r="Q253" s="357">
        <f t="shared" si="399"/>
        <v>0</v>
      </c>
      <c r="R253" s="356" t="str">
        <f>IF(AF253="ДА",$M253,"")</f>
        <v/>
      </c>
      <c r="S253" s="144"/>
      <c r="T253" s="357">
        <f>IF(AF253="ДА",ROUNDUP(R253/5,0),0)</f>
        <v>0</v>
      </c>
      <c r="U253" s="356" t="str">
        <f>IF(AI253="ДА",$M253,"")</f>
        <v/>
      </c>
      <c r="V253" s="144"/>
      <c r="W253" s="357">
        <f>IF(AI253="ДА",ROUNDUP(U253/5,0),0)</f>
        <v>0</v>
      </c>
      <c r="X253" s="356" t="str">
        <f>IF(AL253="ДА",$M253,"")</f>
        <v/>
      </c>
      <c r="Y253" s="144"/>
      <c r="Z253" s="201">
        <f>IF(AL253="ДА",ROUNDUP(X253/5,0),0)</f>
        <v>0</v>
      </c>
      <c r="AA253" s="388" t="str">
        <f>IF(OR(AC253="ДА",AF253="ДА",AI253="ДА",AL253="ДА"),"ДА","НЕТ")</f>
        <v>НЕТ</v>
      </c>
      <c r="AB253" s="388"/>
      <c r="AC253" s="37" t="str">
        <f>IF(AC$8=$BT$9,$BT253,IF(AC$8=$BS$9,$BS253,IF(AC$8=$BU$9,$BU253,IF(AC$8=$BV$9,$BV253,IF(AC$8=$BW$9,$BW253,IF(AC$8=$BX$9,$BX253,IF(AC$8=$BY$9,$BY253,IF(AC$8=$BZ$9,$BZ253,IF(AC$8=$CA$9,$CA253,IF(AC$8=$CC$9,$CC253,IF(AC$8=$CD$9,$CD253,IF(AC$8=$CE$9,$CE253,IF(AC$8=$CF$9,$CF253,IF(AC$8=$CG$9,$CG253,IF(AC$8=$CH$9,$CH253,IF(AC$8=$CI$9,$CI253,IF(AC$8=$CJ$9,$CJ253,IF(AC$8=$CK$9,$CK253,IF(AC$8=$CL$9,$CL253,IF(AC$8=$CM$9,$CM253,IF(AC$8=$CN$9,$CN253,IF(AC$8=$CO$9,$CO253,IF(AC$8=$CP$9,$CP253,IF(AC$8=$CQ$9,$CQ253,"НЕТ"))))))))))))))))))))))))</f>
        <v>НЕТ</v>
      </c>
      <c r="AD253" s="37" t="str">
        <f>IF(AC253="НЕТ","Не требуется",$CR253)</f>
        <v>Не требуется</v>
      </c>
      <c r="AE253" s="37"/>
      <c r="AF253" s="37" t="str">
        <f t="shared" si="400"/>
        <v>НЕТ</v>
      </c>
      <c r="AG253" s="37" t="str">
        <f t="shared" si="400"/>
        <v>НЕТ</v>
      </c>
      <c r="AH253" s="37" t="str">
        <f t="shared" si="400"/>
        <v>НЕТ</v>
      </c>
      <c r="AI253" s="37" t="str">
        <f t="shared" si="400"/>
        <v>НЕТ</v>
      </c>
      <c r="AJ253" s="37" t="str">
        <f t="shared" si="400"/>
        <v>НЕТ</v>
      </c>
      <c r="AK253" s="37" t="str">
        <f t="shared" si="400"/>
        <v>НЕТ</v>
      </c>
      <c r="AL253" s="37" t="str">
        <f t="shared" si="400"/>
        <v>НЕТ</v>
      </c>
      <c r="AM253" s="37" t="str">
        <f>IF(AL253="НЕТ","Не требуется",$CR253)</f>
        <v>Не требуется</v>
      </c>
      <c r="AN253" s="37"/>
      <c r="AQ253" s="200"/>
      <c r="AR253" s="230"/>
      <c r="AS253" s="144" t="str">
        <f t="shared" si="401"/>
        <v/>
      </c>
      <c r="AT253" s="144" t="str">
        <f t="shared" si="402"/>
        <v/>
      </c>
      <c r="AU253" s="144" t="str">
        <f t="shared" si="403"/>
        <v/>
      </c>
      <c r="AV253" s="144" t="str">
        <f t="shared" si="404"/>
        <v/>
      </c>
      <c r="AW253" s="144" t="str">
        <f t="shared" si="405"/>
        <v/>
      </c>
      <c r="AX253" s="144" t="str">
        <f t="shared" si="405"/>
        <v/>
      </c>
      <c r="AY253" s="144" t="str">
        <f t="shared" si="405"/>
        <v/>
      </c>
      <c r="AZ253" s="201">
        <f t="shared" si="405"/>
        <v>5</v>
      </c>
      <c r="BA253" s="235"/>
      <c r="BB253" s="144" t="str">
        <f t="shared" si="406"/>
        <v/>
      </c>
      <c r="BC253" s="144" t="str">
        <f t="shared" si="406"/>
        <v/>
      </c>
      <c r="BD253" s="144" t="str">
        <f t="shared" si="406"/>
        <v/>
      </c>
      <c r="BE253" s="144" t="str">
        <f t="shared" si="406"/>
        <v/>
      </c>
      <c r="BF253" s="201" t="str">
        <f t="shared" si="406"/>
        <v/>
      </c>
      <c r="BG253" s="144" t="str">
        <f t="shared" si="406"/>
        <v/>
      </c>
      <c r="BH253" s="144" t="str">
        <f t="shared" si="406"/>
        <v/>
      </c>
      <c r="BI253" s="144" t="str">
        <f t="shared" si="406"/>
        <v/>
      </c>
      <c r="BJ253" s="144" t="str">
        <f t="shared" si="406"/>
        <v/>
      </c>
      <c r="BK253" s="201" t="str">
        <f t="shared" si="406"/>
        <v/>
      </c>
      <c r="BL253" s="144" t="str">
        <f t="shared" si="406"/>
        <v/>
      </c>
      <c r="BM253" s="144" t="str">
        <f t="shared" si="406"/>
        <v/>
      </c>
      <c r="BN253" s="144" t="str">
        <f t="shared" si="406"/>
        <v/>
      </c>
      <c r="BO253" s="144" t="str">
        <f t="shared" si="406"/>
        <v/>
      </c>
      <c r="BP253" s="201" t="str">
        <f t="shared" si="406"/>
        <v/>
      </c>
      <c r="BQ253" s="209"/>
      <c r="BR253" s="388"/>
      <c r="BS253" s="37" t="s">
        <v>255</v>
      </c>
      <c r="BT253" s="37" t="s">
        <v>255</v>
      </c>
      <c r="BU253" s="37" t="s">
        <v>255</v>
      </c>
      <c r="BV253" s="37" t="s">
        <v>255</v>
      </c>
      <c r="BW253" s="37" t="s">
        <v>255</v>
      </c>
      <c r="BX253" s="37" t="s">
        <v>255</v>
      </c>
      <c r="BY253" s="37" t="s">
        <v>255</v>
      </c>
      <c r="BZ253" s="37" t="s">
        <v>255</v>
      </c>
      <c r="CA253" s="123" t="s">
        <v>246</v>
      </c>
      <c r="CB253" s="223"/>
      <c r="CC253" s="37" t="s">
        <v>255</v>
      </c>
      <c r="CD253" s="37" t="s">
        <v>255</v>
      </c>
      <c r="CE253" s="37" t="s">
        <v>255</v>
      </c>
      <c r="CF253" s="37" t="s">
        <v>255</v>
      </c>
      <c r="CG253" s="37" t="s">
        <v>255</v>
      </c>
      <c r="CH253" s="37" t="s">
        <v>255</v>
      </c>
      <c r="CI253" s="37" t="s">
        <v>255</v>
      </c>
      <c r="CJ253" s="37" t="s">
        <v>255</v>
      </c>
      <c r="CK253" s="37" t="s">
        <v>255</v>
      </c>
      <c r="CL253" s="37" t="s">
        <v>255</v>
      </c>
      <c r="CM253" s="37" t="s">
        <v>255</v>
      </c>
      <c r="CN253" s="37" t="s">
        <v>255</v>
      </c>
      <c r="CO253" s="37" t="s">
        <v>255</v>
      </c>
      <c r="CP253" s="37" t="s">
        <v>255</v>
      </c>
      <c r="CQ253" s="37" t="s">
        <v>255</v>
      </c>
      <c r="CR253" s="123" t="s">
        <v>302</v>
      </c>
    </row>
    <row r="254" spans="1:96" ht="15.75" x14ac:dyDescent="0.25">
      <c r="A254" s="54" t="s">
        <v>455</v>
      </c>
      <c r="B254" s="119" t="s">
        <v>187</v>
      </c>
      <c r="C254" s="1030" t="s">
        <v>243</v>
      </c>
      <c r="D254" s="119"/>
      <c r="E254" s="493"/>
      <c r="F254" s="49" t="s">
        <v>221</v>
      </c>
      <c r="G254" s="49" t="s">
        <v>221</v>
      </c>
      <c r="H254" s="49" t="s">
        <v>221</v>
      </c>
      <c r="I254" s="49" t="s">
        <v>221</v>
      </c>
      <c r="J254" s="49" t="s">
        <v>221</v>
      </c>
      <c r="K254" s="49" t="s">
        <v>221</v>
      </c>
      <c r="L254" s="49" t="s">
        <v>221</v>
      </c>
      <c r="M254" s="81">
        <f>SUM(M255,M257,M260,M261,M262,M263)</f>
        <v>19</v>
      </c>
      <c r="N254" s="81">
        <f>SUM(N255,N257,N260,N261,N262,N263)</f>
        <v>12</v>
      </c>
      <c r="O254" s="81">
        <f t="shared" ref="O254:Z254" si="407">SUM(O255,O257,O260,O261,O262,O263)</f>
        <v>0</v>
      </c>
      <c r="P254" s="81">
        <f t="shared" si="407"/>
        <v>0</v>
      </c>
      <c r="Q254" s="81">
        <f t="shared" si="407"/>
        <v>0</v>
      </c>
      <c r="R254" s="81">
        <f t="shared" si="407"/>
        <v>12</v>
      </c>
      <c r="S254" s="81">
        <f t="shared" si="407"/>
        <v>0</v>
      </c>
      <c r="T254" s="81">
        <f t="shared" si="407"/>
        <v>4</v>
      </c>
      <c r="U254" s="81">
        <f t="shared" si="407"/>
        <v>0</v>
      </c>
      <c r="V254" s="81">
        <f t="shared" si="407"/>
        <v>0</v>
      </c>
      <c r="W254" s="81">
        <f t="shared" si="407"/>
        <v>0</v>
      </c>
      <c r="X254" s="81">
        <f t="shared" si="407"/>
        <v>0</v>
      </c>
      <c r="Y254" s="81">
        <f t="shared" si="407"/>
        <v>0</v>
      </c>
      <c r="Z254" s="81">
        <f t="shared" si="407"/>
        <v>0</v>
      </c>
      <c r="AA254" s="387" t="str">
        <f>IF(N254&gt;0,"ДА","НЕТ")</f>
        <v>ДА</v>
      </c>
      <c r="AB254" s="387"/>
      <c r="AC254" s="140" t="str">
        <f>IF(O254&gt;0,"ДА","НЕТ")</f>
        <v>НЕТ</v>
      </c>
      <c r="AD254" s="118"/>
      <c r="AE254" s="140"/>
      <c r="AF254" s="140" t="str">
        <f>IF(R254&gt;0,"ДА","НЕТ")</f>
        <v>ДА</v>
      </c>
      <c r="AG254" s="118"/>
      <c r="AH254" s="140"/>
      <c r="AI254" s="140" t="str">
        <f>IF(U254&gt;0,"ДА","НЕТ")</f>
        <v>НЕТ</v>
      </c>
      <c r="AJ254" s="118"/>
      <c r="AK254" s="140"/>
      <c r="AL254" s="140" t="str">
        <f>IF(X254&gt;0,"ДА","НЕТ")</f>
        <v>НЕТ</v>
      </c>
      <c r="AM254" s="118"/>
      <c r="AN254" s="140"/>
      <c r="AQ254" s="199"/>
      <c r="AR254" s="229"/>
      <c r="AS254" s="49">
        <f t="shared" ref="AS254:AY254" si="408">SUM(AS255,AS257,AS260,AS261,AS262,AS263)</f>
        <v>0</v>
      </c>
      <c r="AT254" s="49">
        <f t="shared" si="408"/>
        <v>0</v>
      </c>
      <c r="AU254" s="49">
        <f t="shared" si="408"/>
        <v>0</v>
      </c>
      <c r="AV254" s="49">
        <f t="shared" si="408"/>
        <v>0</v>
      </c>
      <c r="AW254" s="49">
        <f t="shared" si="408"/>
        <v>0</v>
      </c>
      <c r="AX254" s="49">
        <f t="shared" si="408"/>
        <v>2</v>
      </c>
      <c r="AY254" s="49">
        <f t="shared" si="408"/>
        <v>12</v>
      </c>
      <c r="AZ254" s="52">
        <f t="shared" ref="AZ254:BE254" si="409">SUM(AZ255,AZ257,AZ260,AZ261,AZ262,AZ263)</f>
        <v>19</v>
      </c>
      <c r="BA254" s="81"/>
      <c r="BB254" s="49">
        <f t="shared" si="409"/>
        <v>2</v>
      </c>
      <c r="BC254" s="49">
        <f t="shared" si="409"/>
        <v>0</v>
      </c>
      <c r="BD254" s="49">
        <f t="shared" si="409"/>
        <v>2</v>
      </c>
      <c r="BE254" s="49">
        <f t="shared" si="409"/>
        <v>0</v>
      </c>
      <c r="BF254" s="52">
        <f t="shared" ref="BF254:BJ254" si="410">SUM(BF255,BF257,BF260,BF261,BF262,BF263)</f>
        <v>0</v>
      </c>
      <c r="BG254" s="49">
        <f t="shared" si="410"/>
        <v>0</v>
      </c>
      <c r="BH254" s="49">
        <f t="shared" si="410"/>
        <v>2</v>
      </c>
      <c r="BI254" s="49">
        <f t="shared" si="410"/>
        <v>0</v>
      </c>
      <c r="BJ254" s="49">
        <f t="shared" si="410"/>
        <v>0</v>
      </c>
      <c r="BK254" s="52">
        <f t="shared" ref="BK254:BO254" si="411">SUM(BK255,BK257,BK260,BK261,BK262,BK263)</f>
        <v>0</v>
      </c>
      <c r="BL254" s="49">
        <f t="shared" si="411"/>
        <v>0</v>
      </c>
      <c r="BM254" s="49">
        <f t="shared" si="411"/>
        <v>0</v>
      </c>
      <c r="BN254" s="49">
        <f t="shared" si="411"/>
        <v>0</v>
      </c>
      <c r="BO254" s="49">
        <f t="shared" si="411"/>
        <v>0</v>
      </c>
      <c r="BP254" s="52">
        <f t="shared" ref="BP254" si="412">SUM(BP255,BP257,BP260,BP261,BP262,BP263)</f>
        <v>0</v>
      </c>
      <c r="BQ254" s="209"/>
      <c r="BR254" s="388"/>
      <c r="BS254" s="140" t="str">
        <f t="shared" ref="BS254:BV254" si="413">IF(AS254&gt;0,"ДА","НЕТ")</f>
        <v>НЕТ</v>
      </c>
      <c r="BT254" s="140" t="str">
        <f t="shared" si="413"/>
        <v>НЕТ</v>
      </c>
      <c r="BU254" s="140" t="str">
        <f t="shared" si="413"/>
        <v>НЕТ</v>
      </c>
      <c r="BV254" s="140" t="str">
        <f t="shared" si="413"/>
        <v>НЕТ</v>
      </c>
      <c r="BW254" s="140" t="str">
        <f>IF(AS254&gt;0,"ДА","НЕТ")</f>
        <v>НЕТ</v>
      </c>
      <c r="BX254" s="140" t="str">
        <f>IF(AW254&gt;0,"ДА","НЕТ")</f>
        <v>НЕТ</v>
      </c>
      <c r="BY254" s="140" t="str">
        <f>IF(AX254&gt;0,"ДА","НЕТ")</f>
        <v>ДА</v>
      </c>
      <c r="BZ254" s="140" t="str">
        <f>IF(AY254&gt;0,"ДА","НЕТ")</f>
        <v>ДА</v>
      </c>
      <c r="CA254" s="208" t="str">
        <f>IF(AZ254&gt;0,"ДА","НЕТ")</f>
        <v>ДА</v>
      </c>
      <c r="CB254" s="222"/>
      <c r="CC254" s="140" t="str">
        <f t="shared" ref="CC254:CQ254" si="414">IF(BB254&gt;0,"ДА","НЕТ")</f>
        <v>ДА</v>
      </c>
      <c r="CD254" s="140" t="str">
        <f t="shared" si="414"/>
        <v>НЕТ</v>
      </c>
      <c r="CE254" s="140" t="str">
        <f t="shared" si="414"/>
        <v>ДА</v>
      </c>
      <c r="CF254" s="140" t="str">
        <f t="shared" si="414"/>
        <v>НЕТ</v>
      </c>
      <c r="CG254" s="140" t="str">
        <f t="shared" si="414"/>
        <v>НЕТ</v>
      </c>
      <c r="CH254" s="140" t="str">
        <f t="shared" si="414"/>
        <v>НЕТ</v>
      </c>
      <c r="CI254" s="140" t="str">
        <f t="shared" si="414"/>
        <v>ДА</v>
      </c>
      <c r="CJ254" s="140" t="str">
        <f t="shared" si="414"/>
        <v>НЕТ</v>
      </c>
      <c r="CK254" s="140" t="str">
        <f t="shared" si="414"/>
        <v>НЕТ</v>
      </c>
      <c r="CL254" s="140" t="str">
        <f t="shared" si="414"/>
        <v>НЕТ</v>
      </c>
      <c r="CM254" s="140" t="str">
        <f t="shared" si="414"/>
        <v>НЕТ</v>
      </c>
      <c r="CN254" s="140" t="str">
        <f t="shared" si="414"/>
        <v>НЕТ</v>
      </c>
      <c r="CO254" s="140" t="str">
        <f t="shared" si="414"/>
        <v>НЕТ</v>
      </c>
      <c r="CP254" s="140" t="str">
        <f t="shared" si="414"/>
        <v>НЕТ</v>
      </c>
      <c r="CQ254" s="140" t="str">
        <f t="shared" si="414"/>
        <v>НЕТ</v>
      </c>
      <c r="CR254" s="122"/>
    </row>
    <row r="255" spans="1:96" ht="31.5" outlineLevel="1" collapsed="1" x14ac:dyDescent="0.25">
      <c r="A255" s="134" t="s">
        <v>456</v>
      </c>
      <c r="B255" s="115" t="s">
        <v>483</v>
      </c>
      <c r="C255" s="1031" t="s">
        <v>243</v>
      </c>
      <c r="D255" s="115"/>
      <c r="E255" s="146"/>
      <c r="F255" s="109" t="s">
        <v>326</v>
      </c>
      <c r="G255" s="109" t="s">
        <v>953</v>
      </c>
      <c r="H255" s="111" t="s">
        <v>243</v>
      </c>
      <c r="I255" s="111" t="s">
        <v>243</v>
      </c>
      <c r="J255" s="111" t="s">
        <v>242</v>
      </c>
      <c r="K255" s="111" t="s">
        <v>242</v>
      </c>
      <c r="L255" s="111" t="s">
        <v>242</v>
      </c>
      <c r="M255" s="109">
        <v>2</v>
      </c>
      <c r="N255" s="235">
        <f t="shared" ref="N255:N263" si="415">SUM(O255,R255,U255,X255)</f>
        <v>2</v>
      </c>
      <c r="O255" s="200" t="str">
        <f t="shared" ref="O255" si="416">IF(AC255="ДА",$M255,"")</f>
        <v/>
      </c>
      <c r="P255" s="144"/>
      <c r="Q255" s="357">
        <f>IF(AC255="ДА",ROUNDUP(O255/5,0),0)</f>
        <v>0</v>
      </c>
      <c r="R255" s="356">
        <f>IF(AF255="ДА",$M255,"")</f>
        <v>2</v>
      </c>
      <c r="S255" s="144"/>
      <c r="T255" s="357">
        <f>IF(AF255="ДА",ROUNDUP(R255/5,0),0)</f>
        <v>1</v>
      </c>
      <c r="U255" s="356" t="str">
        <f>IF(AI255="ДА",$M255,"")</f>
        <v/>
      </c>
      <c r="V255" s="144"/>
      <c r="W255" s="357">
        <f>IF(AI255="ДА",ROUNDUP(U255/5,0),0)</f>
        <v>0</v>
      </c>
      <c r="X255" s="356" t="str">
        <f>IF(AL255="ДА",$M255,"")</f>
        <v/>
      </c>
      <c r="Y255" s="144"/>
      <c r="Z255" s="201">
        <f>IF(AL255="ДА",ROUNDUP(X255/5,0),0)</f>
        <v>0</v>
      </c>
      <c r="AA255" s="388" t="str">
        <f>IF(OR(AC255="ДА",AF255="ДА",AI255="ДА",AL255="ДА"),"ДА","НЕТ")</f>
        <v>ДА</v>
      </c>
      <c r="AB255" s="388"/>
      <c r="AC255" s="37" t="str">
        <f>IF(AC$8=$BT$9,$BT255,IF(AC$8=$BS$9,$BS255,IF(AC$8=$BU$9,$BU255,IF(AC$8=$BV$9,$BV255,IF(AC$8=$BW$9,$BW255,IF(AC$8=$BX$9,$BX255,IF(AC$8=$BY$9,$BY255,IF(AC$8=$BZ$9,$BZ255,IF(AC$8=$CA$9,$CA255,IF(AC$8=$CC$9,$CC255,IF(AC$8=$CD$9,$CD255,IF(AC$8=$CE$9,$CE255,IF(AC$8=$CF$9,$CF255,IF(AC$8=$CG$9,$CG255,IF(AC$8=$CH$9,$CH255,IF(AC$8=$CI$9,$CI255,IF(AC$8=$CJ$9,$CJ255,IF(AC$8=$CK$9,$CK255,IF(AC$8=$CL$9,$CL255,IF(AC$8=$CM$9,$CM255,IF(AC$8=$CN$9,$CN255,IF(AC$8=$CO$9,$CO255,IF(AC$8=$CP$9,$CP255,IF(AC$8=$CQ$9,$CQ255,"НЕТ"))))))))))))))))))))))))</f>
        <v>НЕТ</v>
      </c>
      <c r="AD255" s="37" t="str">
        <f>IF(AC255="НЕТ","Не требуется",$CR255)</f>
        <v>Не требуется</v>
      </c>
      <c r="AE255" s="37"/>
      <c r="AF255" s="37" t="str">
        <f t="shared" ref="AF255:AL255" si="417">IF(AF$8=$BT$9,$BT255,IF(AF$8=$BS$9,$BS255,IF(AF$8=$BU$9,$BU255,IF(AF$8=$BV$9,$BV255,IF(AF$8=$BW$9,$BW255,IF(AF$8=$BX$9,$BX255,IF(AF$8=$BY$9,$BY255,IF(AF$8=$BZ$9,$BZ255,IF(AF$8=$CA$9,$CA255,IF(AF$8=$CC$9,$CC255,IF(AF$8=$CD$9,$CD255,IF(AF$8=$CE$9,$CE255,IF(AF$8=$CF$9,$CF255,IF(AF$8=$CG$9,$CG255,IF(AF$8=$CH$9,$CH255,IF(AF$8=$CI$9,$CI255,IF(AF$8=$CJ$9,$CJ255,IF(AF$8=$CK$9,$CK255,IF(AF$8=$CL$9,$CL255,IF(AF$8=$CM$9,$CM255,IF(AF$8=$CN$9,$CN255,IF(AF$8=$CO$9,$CO255,IF(AF$8=$CP$9,$CP255,IF(AF$8=$CQ$9,$CQ255,"НЕТ"))))))))))))))))))))))))</f>
        <v>ДА</v>
      </c>
      <c r="AG255" s="37" t="str">
        <f t="shared" si="417"/>
        <v>НЕТ</v>
      </c>
      <c r="AH255" s="37" t="str">
        <f t="shared" si="417"/>
        <v>НЕТ</v>
      </c>
      <c r="AI255" s="37" t="str">
        <f t="shared" si="417"/>
        <v>НЕТ</v>
      </c>
      <c r="AJ255" s="37" t="str">
        <f t="shared" si="417"/>
        <v>НЕТ</v>
      </c>
      <c r="AK255" s="37" t="str">
        <f t="shared" si="417"/>
        <v>НЕТ</v>
      </c>
      <c r="AL255" s="37" t="str">
        <f t="shared" si="417"/>
        <v>НЕТ</v>
      </c>
      <c r="AM255" s="37" t="str">
        <f>IF(AL255="НЕТ","Не требуется",$CR255)</f>
        <v>Не требуется</v>
      </c>
      <c r="AN255" s="37"/>
      <c r="AQ255" s="200"/>
      <c r="AR255" s="230"/>
      <c r="AS255" s="144" t="str">
        <f t="shared" ref="AS255" si="418">IF(BS255="ДА",$M255,"")</f>
        <v/>
      </c>
      <c r="AT255" s="144" t="str">
        <f t="shared" ref="AT255" si="419">IF(BT255="ДА",$M255,"")</f>
        <v/>
      </c>
      <c r="AU255" s="144" t="str">
        <f t="shared" ref="AU255" si="420">IF(BU255="ДА",$M255,"")</f>
        <v/>
      </c>
      <c r="AV255" s="144" t="str">
        <f t="shared" ref="AV255" si="421">IF(BV255="ДА",$M255,"")</f>
        <v/>
      </c>
      <c r="AW255" s="144" t="str">
        <f>IF(BX255="ДА",$M255,"")</f>
        <v/>
      </c>
      <c r="AX255" s="144">
        <f>IF(BY255="ДА",$M255,"")</f>
        <v>2</v>
      </c>
      <c r="AY255" s="144">
        <f>IF(BZ255="ДА",$M255,"")</f>
        <v>2</v>
      </c>
      <c r="AZ255" s="201">
        <f>IF(CA255="ДА",$M255,"")</f>
        <v>2</v>
      </c>
      <c r="BA255" s="235"/>
      <c r="BB255" s="144">
        <f t="shared" ref="BB255:BP255" si="422">IF(CC255="ДА",$M255,"")</f>
        <v>2</v>
      </c>
      <c r="BC255" s="144" t="str">
        <f t="shared" si="422"/>
        <v/>
      </c>
      <c r="BD255" s="144">
        <f t="shared" si="422"/>
        <v>2</v>
      </c>
      <c r="BE255" s="144" t="str">
        <f t="shared" si="422"/>
        <v/>
      </c>
      <c r="BF255" s="201" t="str">
        <f t="shared" si="422"/>
        <v/>
      </c>
      <c r="BG255" s="144" t="str">
        <f t="shared" si="422"/>
        <v/>
      </c>
      <c r="BH255" s="144">
        <f t="shared" si="422"/>
        <v>2</v>
      </c>
      <c r="BI255" s="144" t="str">
        <f t="shared" si="422"/>
        <v/>
      </c>
      <c r="BJ255" s="144" t="str">
        <f t="shared" si="422"/>
        <v/>
      </c>
      <c r="BK255" s="201" t="str">
        <f t="shared" si="422"/>
        <v/>
      </c>
      <c r="BL255" s="144" t="str">
        <f t="shared" si="422"/>
        <v/>
      </c>
      <c r="BM255" s="144" t="str">
        <f t="shared" si="422"/>
        <v/>
      </c>
      <c r="BN255" s="144" t="str">
        <f t="shared" si="422"/>
        <v/>
      </c>
      <c r="BO255" s="144" t="str">
        <f t="shared" si="422"/>
        <v/>
      </c>
      <c r="BP255" s="201" t="str">
        <f t="shared" si="422"/>
        <v/>
      </c>
      <c r="BQ255" s="209"/>
      <c r="BR255" s="388"/>
      <c r="BS255" s="37" t="s">
        <v>255</v>
      </c>
      <c r="BT255" s="37" t="s">
        <v>255</v>
      </c>
      <c r="BU255" s="37" t="s">
        <v>255</v>
      </c>
      <c r="BV255" s="37" t="s">
        <v>255</v>
      </c>
      <c r="BW255" s="37" t="s">
        <v>255</v>
      </c>
      <c r="BX255" s="37" t="s">
        <v>255</v>
      </c>
      <c r="BY255" s="37" t="s">
        <v>246</v>
      </c>
      <c r="BZ255" s="37" t="s">
        <v>246</v>
      </c>
      <c r="CA255" s="123" t="s">
        <v>246</v>
      </c>
      <c r="CB255" s="223"/>
      <c r="CC255" s="37" t="s">
        <v>246</v>
      </c>
      <c r="CD255" s="37" t="s">
        <v>255</v>
      </c>
      <c r="CE255" s="37" t="s">
        <v>246</v>
      </c>
      <c r="CF255" s="37" t="s">
        <v>255</v>
      </c>
      <c r="CG255" s="37" t="s">
        <v>255</v>
      </c>
      <c r="CH255" s="37" t="s">
        <v>255</v>
      </c>
      <c r="CI255" s="37" t="s">
        <v>246</v>
      </c>
      <c r="CJ255" s="37" t="s">
        <v>255</v>
      </c>
      <c r="CK255" s="37" t="s">
        <v>255</v>
      </c>
      <c r="CL255" s="37" t="s">
        <v>255</v>
      </c>
      <c r="CM255" s="37" t="s">
        <v>255</v>
      </c>
      <c r="CN255" s="37" t="s">
        <v>255</v>
      </c>
      <c r="CO255" s="37" t="s">
        <v>255</v>
      </c>
      <c r="CP255" s="37" t="s">
        <v>255</v>
      </c>
      <c r="CQ255" s="37" t="s">
        <v>255</v>
      </c>
      <c r="CR255" s="123" t="s">
        <v>300</v>
      </c>
    </row>
    <row r="256" spans="1:96" ht="60" hidden="1" outlineLevel="2" x14ac:dyDescent="0.25">
      <c r="A256" s="133"/>
      <c r="B256" s="277" t="s">
        <v>381</v>
      </c>
      <c r="C256" s="1032" t="s">
        <v>2296</v>
      </c>
      <c r="D256" s="278"/>
      <c r="E256" s="278"/>
      <c r="F256" s="278"/>
      <c r="G256" s="278"/>
      <c r="H256" s="278"/>
      <c r="I256" s="278"/>
      <c r="J256" s="278"/>
      <c r="K256" s="278"/>
      <c r="L256" s="278"/>
      <c r="M256" s="278"/>
      <c r="N256" s="235">
        <f t="shared" si="415"/>
        <v>0</v>
      </c>
      <c r="O256" s="346"/>
      <c r="P256" s="278"/>
      <c r="Q256" s="378"/>
      <c r="R256" s="377"/>
      <c r="S256" s="278"/>
      <c r="T256" s="378"/>
      <c r="U256" s="377"/>
      <c r="V256" s="278"/>
      <c r="W256" s="378"/>
      <c r="X256" s="377"/>
      <c r="Y256" s="278"/>
      <c r="Z256" s="347"/>
      <c r="AA256" s="278"/>
      <c r="AB256" s="800"/>
      <c r="AD256" s="279"/>
      <c r="AE256" s="278"/>
      <c r="AF256" s="278"/>
      <c r="AG256" s="279"/>
      <c r="AH256" s="278"/>
      <c r="AI256" s="278"/>
      <c r="AJ256" s="279"/>
      <c r="AK256" s="278"/>
      <c r="AL256" s="278"/>
      <c r="AM256" s="279"/>
      <c r="AN256" s="278"/>
      <c r="AQ256" s="202"/>
      <c r="AZ256" s="203"/>
      <c r="BF256" s="203"/>
      <c r="BK256" s="203"/>
      <c r="BP256" s="203"/>
      <c r="BQ256" s="202"/>
      <c r="CA256" s="203"/>
      <c r="CR256" s="123" t="s">
        <v>300</v>
      </c>
    </row>
    <row r="257" spans="1:96" ht="15.75" outlineLevel="1" collapsed="1" x14ac:dyDescent="0.25">
      <c r="A257" s="134" t="s">
        <v>457</v>
      </c>
      <c r="B257" s="115" t="s">
        <v>191</v>
      </c>
      <c r="C257" s="1031" t="s">
        <v>243</v>
      </c>
      <c r="D257" s="115"/>
      <c r="E257" s="146"/>
      <c r="F257" s="109" t="s">
        <v>326</v>
      </c>
      <c r="G257" s="109" t="s">
        <v>953</v>
      </c>
      <c r="H257" s="111" t="s">
        <v>243</v>
      </c>
      <c r="I257" s="111" t="s">
        <v>243</v>
      </c>
      <c r="J257" s="111" t="s">
        <v>242</v>
      </c>
      <c r="K257" s="111" t="s">
        <v>242</v>
      </c>
      <c r="L257" s="111" t="s">
        <v>243</v>
      </c>
      <c r="M257" s="109">
        <v>2</v>
      </c>
      <c r="N257" s="235">
        <f t="shared" si="415"/>
        <v>2</v>
      </c>
      <c r="O257" s="200" t="str">
        <f t="shared" ref="O257" si="423">IF(AC257="ДА",$M257,"")</f>
        <v/>
      </c>
      <c r="P257" s="144"/>
      <c r="Q257" s="357">
        <f>IF(AC257="ДА",ROUNDUP(O257/5,0),0)</f>
        <v>0</v>
      </c>
      <c r="R257" s="356">
        <f>IF(AF257="ДА",$M257,"")</f>
        <v>2</v>
      </c>
      <c r="S257" s="144"/>
      <c r="T257" s="357">
        <f>IF(AF257="ДА",ROUNDUP(R257/5,0),0)</f>
        <v>1</v>
      </c>
      <c r="U257" s="356" t="str">
        <f>IF(AI257="ДА",$M257,"")</f>
        <v/>
      </c>
      <c r="V257" s="144"/>
      <c r="W257" s="357">
        <f>IF(AI257="ДА",ROUNDUP(U257/5,0),0)</f>
        <v>0</v>
      </c>
      <c r="X257" s="356" t="str">
        <f>IF(AL257="ДА",$M257,"")</f>
        <v/>
      </c>
      <c r="Y257" s="144"/>
      <c r="Z257" s="201">
        <f>IF(AL257="ДА",ROUNDUP(X257/5,0),0)</f>
        <v>0</v>
      </c>
      <c r="AA257" s="388" t="str">
        <f>IF(OR(AC257="ДА",AF257="ДА",AI257="ДА",AL257="ДА"),"ДА","НЕТ")</f>
        <v>ДА</v>
      </c>
      <c r="AB257" s="388"/>
      <c r="AC257" s="37" t="str">
        <f>IF(AC$8=$BT$9,$BT257,IF(AC$8=$BS$9,$BS257,IF(AC$8=$BU$9,$BU257,IF(AC$8=$BV$9,$BV257,IF(AC$8=$BW$9,$BW257,IF(AC$8=$BX$9,$BX257,IF(AC$8=$BY$9,$BY257,IF(AC$8=$BZ$9,$BZ257,IF(AC$8=$CA$9,$CA257,IF(AC$8=$CC$9,$CC257,IF(AC$8=$CD$9,$CD257,IF(AC$8=$CE$9,$CE257,IF(AC$8=$CF$9,$CF257,IF(AC$8=$CG$9,$CG257,IF(AC$8=$CH$9,$CH257,IF(AC$8=$CI$9,$CI257,IF(AC$8=$CJ$9,$CJ257,IF(AC$8=$CK$9,$CK257,IF(AC$8=$CL$9,$CL257,IF(AC$8=$CM$9,$CM257,IF(AC$8=$CN$9,$CN257,IF(AC$8=$CO$9,$CO257,IF(AC$8=$CP$9,$CP257,IF(AC$8=$CQ$9,$CQ257,"НЕТ"))))))))))))))))))))))))</f>
        <v>НЕТ</v>
      </c>
      <c r="AD257" s="37" t="str">
        <f>IF(AC257="НЕТ","Не требуется",$CR257)</f>
        <v>Не требуется</v>
      </c>
      <c r="AE257" s="37"/>
      <c r="AF257" s="37" t="str">
        <f t="shared" ref="AF257:AL257" si="424">IF(AF$8=$BT$9,$BT257,IF(AF$8=$BS$9,$BS257,IF(AF$8=$BU$9,$BU257,IF(AF$8=$BV$9,$BV257,IF(AF$8=$BW$9,$BW257,IF(AF$8=$BX$9,$BX257,IF(AF$8=$BY$9,$BY257,IF(AF$8=$BZ$9,$BZ257,IF(AF$8=$CA$9,$CA257,IF(AF$8=$CC$9,$CC257,IF(AF$8=$CD$9,$CD257,IF(AF$8=$CE$9,$CE257,IF(AF$8=$CF$9,$CF257,IF(AF$8=$CG$9,$CG257,IF(AF$8=$CH$9,$CH257,IF(AF$8=$CI$9,$CI257,IF(AF$8=$CJ$9,$CJ257,IF(AF$8=$CK$9,$CK257,IF(AF$8=$CL$9,$CL257,IF(AF$8=$CM$9,$CM257,IF(AF$8=$CN$9,$CN257,IF(AF$8=$CO$9,$CO257,IF(AF$8=$CP$9,$CP257,IF(AF$8=$CQ$9,$CQ257,"НЕТ"))))))))))))))))))))))))</f>
        <v>ДА</v>
      </c>
      <c r="AG257" s="37" t="str">
        <f t="shared" si="424"/>
        <v>НЕТ</v>
      </c>
      <c r="AH257" s="37" t="str">
        <f t="shared" si="424"/>
        <v>НЕТ</v>
      </c>
      <c r="AI257" s="37" t="str">
        <f t="shared" si="424"/>
        <v>НЕТ</v>
      </c>
      <c r="AJ257" s="37" t="str">
        <f t="shared" si="424"/>
        <v>НЕТ</v>
      </c>
      <c r="AK257" s="37" t="str">
        <f t="shared" si="424"/>
        <v>НЕТ</v>
      </c>
      <c r="AL257" s="37" t="str">
        <f t="shared" si="424"/>
        <v>НЕТ</v>
      </c>
      <c r="AM257" s="37" t="str">
        <f>IF(AL257="НЕТ","Не требуется",$CR257)</f>
        <v>Не требуется</v>
      </c>
      <c r="AN257" s="37"/>
      <c r="AQ257" s="200"/>
      <c r="AR257" s="230"/>
      <c r="AS257" s="144" t="str">
        <f t="shared" ref="AS257" si="425">IF(BS257="ДА",$M257,"")</f>
        <v/>
      </c>
      <c r="AT257" s="144" t="str">
        <f t="shared" ref="AT257" si="426">IF(BT257="ДА",$M257,"")</f>
        <v/>
      </c>
      <c r="AU257" s="144" t="str">
        <f t="shared" ref="AU257" si="427">IF(BU257="ДА",$M257,"")</f>
        <v/>
      </c>
      <c r="AV257" s="144" t="str">
        <f t="shared" ref="AV257" si="428">IF(BV257="ДА",$M257,"")</f>
        <v/>
      </c>
      <c r="AW257" s="144" t="str">
        <f>IF(BX257="ДА",$M257,"")</f>
        <v/>
      </c>
      <c r="AX257" s="144" t="str">
        <f>IF(BY257="ДА",$M257,"")</f>
        <v/>
      </c>
      <c r="AY257" s="144">
        <f>IF(BZ257="ДА",$M257,"")</f>
        <v>2</v>
      </c>
      <c r="AZ257" s="201">
        <f>IF(CA257="ДА",$M257,"")</f>
        <v>2</v>
      </c>
      <c r="BA257" s="235"/>
      <c r="BB257" s="144" t="str">
        <f t="shared" ref="BB257:BP257" si="429">IF(CC257="ДА",$M257,"")</f>
        <v/>
      </c>
      <c r="BC257" s="144" t="str">
        <f t="shared" si="429"/>
        <v/>
      </c>
      <c r="BD257" s="144" t="str">
        <f t="shared" si="429"/>
        <v/>
      </c>
      <c r="BE257" s="144" t="str">
        <f t="shared" si="429"/>
        <v/>
      </c>
      <c r="BF257" s="201" t="str">
        <f t="shared" si="429"/>
        <v/>
      </c>
      <c r="BG257" s="144" t="str">
        <f t="shared" si="429"/>
        <v/>
      </c>
      <c r="BH257" s="144" t="str">
        <f t="shared" si="429"/>
        <v/>
      </c>
      <c r="BI257" s="144" t="str">
        <f t="shared" si="429"/>
        <v/>
      </c>
      <c r="BJ257" s="144" t="str">
        <f t="shared" si="429"/>
        <v/>
      </c>
      <c r="BK257" s="201" t="str">
        <f t="shared" si="429"/>
        <v/>
      </c>
      <c r="BL257" s="144" t="str">
        <f t="shared" si="429"/>
        <v/>
      </c>
      <c r="BM257" s="144" t="str">
        <f t="shared" si="429"/>
        <v/>
      </c>
      <c r="BN257" s="144" t="str">
        <f t="shared" si="429"/>
        <v/>
      </c>
      <c r="BO257" s="144" t="str">
        <f t="shared" si="429"/>
        <v/>
      </c>
      <c r="BP257" s="201" t="str">
        <f t="shared" si="429"/>
        <v/>
      </c>
      <c r="BQ257" s="209"/>
      <c r="BR257" s="388"/>
      <c r="BS257" s="37" t="s">
        <v>255</v>
      </c>
      <c r="BT257" s="37" t="s">
        <v>255</v>
      </c>
      <c r="BU257" s="37" t="s">
        <v>255</v>
      </c>
      <c r="BV257" s="37" t="s">
        <v>255</v>
      </c>
      <c r="BW257" s="37" t="s">
        <v>255</v>
      </c>
      <c r="BX257" s="37" t="s">
        <v>255</v>
      </c>
      <c r="BY257" s="37" t="s">
        <v>255</v>
      </c>
      <c r="BZ257" s="37" t="s">
        <v>246</v>
      </c>
      <c r="CA257" s="123" t="s">
        <v>246</v>
      </c>
      <c r="CB257" s="223"/>
      <c r="CC257" s="37" t="s">
        <v>255</v>
      </c>
      <c r="CD257" s="37" t="s">
        <v>255</v>
      </c>
      <c r="CE257" s="37" t="s">
        <v>255</v>
      </c>
      <c r="CF257" s="37" t="s">
        <v>255</v>
      </c>
      <c r="CG257" s="37" t="s">
        <v>255</v>
      </c>
      <c r="CH257" s="37" t="s">
        <v>255</v>
      </c>
      <c r="CI257" s="37" t="s">
        <v>255</v>
      </c>
      <c r="CJ257" s="37" t="s">
        <v>255</v>
      </c>
      <c r="CK257" s="37" t="s">
        <v>255</v>
      </c>
      <c r="CL257" s="37" t="s">
        <v>255</v>
      </c>
      <c r="CM257" s="37" t="s">
        <v>255</v>
      </c>
      <c r="CN257" s="37" t="s">
        <v>255</v>
      </c>
      <c r="CO257" s="37" t="s">
        <v>255</v>
      </c>
      <c r="CP257" s="37" t="s">
        <v>255</v>
      </c>
      <c r="CQ257" s="37" t="s">
        <v>255</v>
      </c>
      <c r="CR257" s="123" t="s">
        <v>300</v>
      </c>
    </row>
    <row r="258" spans="1:96" ht="60" hidden="1" outlineLevel="2" x14ac:dyDescent="0.25">
      <c r="A258" s="133"/>
      <c r="B258" s="277" t="s">
        <v>192</v>
      </c>
      <c r="C258" s="278"/>
      <c r="D258" s="278"/>
      <c r="E258" s="278"/>
      <c r="F258" s="278"/>
      <c r="G258" s="278"/>
      <c r="H258" s="278"/>
      <c r="I258" s="278"/>
      <c r="J258" s="278"/>
      <c r="K258" s="278"/>
      <c r="L258" s="278"/>
      <c r="M258" s="278"/>
      <c r="N258" s="235">
        <f t="shared" si="415"/>
        <v>0</v>
      </c>
      <c r="O258" s="346"/>
      <c r="P258" s="278"/>
      <c r="Q258" s="378"/>
      <c r="R258" s="377"/>
      <c r="S258" s="278"/>
      <c r="T258" s="378"/>
      <c r="U258" s="377"/>
      <c r="V258" s="278"/>
      <c r="W258" s="378"/>
      <c r="X258" s="377"/>
      <c r="Y258" s="278"/>
      <c r="Z258" s="347"/>
      <c r="AA258" s="278"/>
      <c r="AB258" s="800"/>
      <c r="AD258" s="279"/>
      <c r="AE258" s="278"/>
      <c r="AF258" s="278"/>
      <c r="AG258" s="279"/>
      <c r="AH258" s="278"/>
      <c r="AI258" s="278"/>
      <c r="AJ258" s="279"/>
      <c r="AK258" s="278"/>
      <c r="AL258" s="278"/>
      <c r="AM258" s="279"/>
      <c r="AN258" s="278"/>
      <c r="AQ258" s="202"/>
      <c r="AZ258" s="203"/>
      <c r="BF258" s="203"/>
      <c r="BK258" s="203"/>
      <c r="BP258" s="203"/>
      <c r="BQ258" s="202"/>
      <c r="CA258" s="203"/>
      <c r="CR258" s="122"/>
    </row>
    <row r="259" spans="1:96" ht="30" hidden="1" outlineLevel="2" x14ac:dyDescent="0.25">
      <c r="A259" s="133"/>
      <c r="B259" s="277" t="s">
        <v>193</v>
      </c>
      <c r="C259" s="278"/>
      <c r="D259" s="278"/>
      <c r="E259" s="278"/>
      <c r="F259" s="278"/>
      <c r="G259" s="278"/>
      <c r="H259" s="278"/>
      <c r="I259" s="278"/>
      <c r="J259" s="278"/>
      <c r="K259" s="278"/>
      <c r="L259" s="278"/>
      <c r="M259" s="278"/>
      <c r="N259" s="235">
        <f t="shared" si="415"/>
        <v>0</v>
      </c>
      <c r="O259" s="346"/>
      <c r="P259" s="278"/>
      <c r="Q259" s="378"/>
      <c r="R259" s="377"/>
      <c r="S259" s="278"/>
      <c r="T259" s="378"/>
      <c r="U259" s="377"/>
      <c r="V259" s="278"/>
      <c r="W259" s="378"/>
      <c r="X259" s="377"/>
      <c r="Y259" s="278"/>
      <c r="Z259" s="347"/>
      <c r="AA259" s="278"/>
      <c r="AB259" s="800"/>
      <c r="AD259" s="279"/>
      <c r="AE259" s="278"/>
      <c r="AF259" s="278"/>
      <c r="AG259" s="279"/>
      <c r="AH259" s="278"/>
      <c r="AI259" s="278"/>
      <c r="AJ259" s="279"/>
      <c r="AK259" s="278"/>
      <c r="AL259" s="278"/>
      <c r="AM259" s="279"/>
      <c r="AN259" s="278"/>
      <c r="AQ259" s="202"/>
      <c r="AZ259" s="203"/>
      <c r="BF259" s="203"/>
      <c r="BK259" s="203"/>
      <c r="BP259" s="203"/>
      <c r="BQ259" s="202"/>
      <c r="CA259" s="203"/>
      <c r="CR259" s="122"/>
    </row>
    <row r="260" spans="1:96" ht="30" outlineLevel="1" x14ac:dyDescent="0.25">
      <c r="A260" s="112" t="s">
        <v>458</v>
      </c>
      <c r="B260" s="121" t="s">
        <v>238</v>
      </c>
      <c r="C260" s="1024" t="s">
        <v>243</v>
      </c>
      <c r="D260" s="121"/>
      <c r="E260" s="121"/>
      <c r="F260" s="34" t="s">
        <v>225</v>
      </c>
      <c r="G260" s="120" t="s">
        <v>579</v>
      </c>
      <c r="H260" s="111" t="s">
        <v>1693</v>
      </c>
      <c r="I260" s="111" t="s">
        <v>1693</v>
      </c>
      <c r="J260" s="111" t="s">
        <v>1693</v>
      </c>
      <c r="K260" s="111" t="s">
        <v>1693</v>
      </c>
      <c r="L260" s="111" t="s">
        <v>1693</v>
      </c>
      <c r="M260" s="34">
        <v>5</v>
      </c>
      <c r="N260" s="235">
        <f t="shared" si="415"/>
        <v>0</v>
      </c>
      <c r="O260" s="200" t="str">
        <f t="shared" ref="O260:O263" si="430">IF(AC260="ДА",$M260,"")</f>
        <v/>
      </c>
      <c r="P260" s="144"/>
      <c r="Q260" s="357">
        <f t="shared" ref="Q260:Q263" si="431">IF(AC260="ДА",ROUNDUP(O260/5,0),0)</f>
        <v>0</v>
      </c>
      <c r="R260" s="356" t="str">
        <f>IF(AF260="ДА",$M260,"")</f>
        <v/>
      </c>
      <c r="S260" s="144"/>
      <c r="T260" s="357">
        <f>IF(AF260="ДА",ROUNDUP(R260/5,0),0)</f>
        <v>0</v>
      </c>
      <c r="U260" s="356" t="str">
        <f>IF(AI260="ДА",$M260,"")</f>
        <v/>
      </c>
      <c r="V260" s="144"/>
      <c r="W260" s="357">
        <f>IF(AI260="ДА",ROUNDUP(U260/5,0),0)</f>
        <v>0</v>
      </c>
      <c r="X260" s="356" t="str">
        <f>IF(AL260="ДА",$M260,"")</f>
        <v/>
      </c>
      <c r="Y260" s="144"/>
      <c r="Z260" s="201">
        <f>IF(AL260="ДА",ROUNDUP(X260/5,0),0)</f>
        <v>0</v>
      </c>
      <c r="AA260" s="388" t="str">
        <f>IF(OR(AC260="ДА",AF260="ДА",AI260="ДА",AL260="ДА"),"ДА","НЕТ")</f>
        <v>НЕТ</v>
      </c>
      <c r="AB260" s="388"/>
      <c r="AC260" s="37" t="str">
        <f>IF(AC$8=$BT$9,$BT260,IF(AC$8=$BS$9,$BS260,IF(AC$8=$BU$9,$BU260,IF(AC$8=$BV$9,$BV260,IF(AC$8=$BW$9,$BW260,IF(AC$8=$BX$9,$BX260,IF(AC$8=$BY$9,$BY260,IF(AC$8=$BZ$9,$BZ260,IF(AC$8=$CA$9,$CA260,IF(AC$8=$CC$9,$CC260,IF(AC$8=$CD$9,$CD260,IF(AC$8=$CE$9,$CE260,IF(AC$8=$CF$9,$CF260,IF(AC$8=$CG$9,$CG260,IF(AC$8=$CH$9,$CH260,IF(AC$8=$CI$9,$CI260,IF(AC$8=$CJ$9,$CJ260,IF(AC$8=$CK$9,$CK260,IF(AC$8=$CL$9,$CL260,IF(AC$8=$CM$9,$CM260,IF(AC$8=$CN$9,$CN260,IF(AC$8=$CO$9,$CO260,IF(AC$8=$CP$9,$CP260,IF(AC$8=$CQ$9,$CQ260,"НЕТ"))))))))))))))))))))))))</f>
        <v>НЕТ</v>
      </c>
      <c r="AD260" s="37" t="str">
        <f>IF(AC260="НЕТ","Не требуется",$CR260)</f>
        <v>Не требуется</v>
      </c>
      <c r="AE260" s="37"/>
      <c r="AF260" s="37" t="str">
        <f t="shared" ref="AF260:AL263" si="432">IF(AF$8=$BT$9,$BT260,IF(AF$8=$BS$9,$BS260,IF(AF$8=$BU$9,$BU260,IF(AF$8=$BV$9,$BV260,IF(AF$8=$BW$9,$BW260,IF(AF$8=$BX$9,$BX260,IF(AF$8=$BY$9,$BY260,IF(AF$8=$BZ$9,$BZ260,IF(AF$8=$CA$9,$CA260,IF(AF$8=$CC$9,$CC260,IF(AF$8=$CD$9,$CD260,IF(AF$8=$CE$9,$CE260,IF(AF$8=$CF$9,$CF260,IF(AF$8=$CG$9,$CG260,IF(AF$8=$CH$9,$CH260,IF(AF$8=$CI$9,$CI260,IF(AF$8=$CJ$9,$CJ260,IF(AF$8=$CK$9,$CK260,IF(AF$8=$CL$9,$CL260,IF(AF$8=$CM$9,$CM260,IF(AF$8=$CN$9,$CN260,IF(AF$8=$CO$9,$CO260,IF(AF$8=$CP$9,$CP260,IF(AF$8=$CQ$9,$CQ260,"НЕТ"))))))))))))))))))))))))</f>
        <v>НЕТ</v>
      </c>
      <c r="AG260" s="37" t="str">
        <f t="shared" si="432"/>
        <v>НЕТ</v>
      </c>
      <c r="AH260" s="37" t="str">
        <f t="shared" si="432"/>
        <v>НЕТ</v>
      </c>
      <c r="AI260" s="37" t="str">
        <f t="shared" si="432"/>
        <v>НЕТ</v>
      </c>
      <c r="AJ260" s="37" t="str">
        <f t="shared" si="432"/>
        <v>НЕТ</v>
      </c>
      <c r="AK260" s="37" t="str">
        <f t="shared" si="432"/>
        <v>НЕТ</v>
      </c>
      <c r="AL260" s="37" t="str">
        <f t="shared" si="432"/>
        <v>НЕТ</v>
      </c>
      <c r="AM260" s="37" t="str">
        <f>IF(AL260="НЕТ","Не требуется",$CR260)</f>
        <v>Не требуется</v>
      </c>
      <c r="AN260" s="37"/>
      <c r="AQ260" s="200"/>
      <c r="AR260" s="230"/>
      <c r="AS260" s="144" t="str">
        <f t="shared" ref="AS260:AS263" si="433">IF(BS260="ДА",$M260,"")</f>
        <v/>
      </c>
      <c r="AT260" s="144" t="str">
        <f t="shared" ref="AT260:AT263" si="434">IF(BT260="ДА",$M260,"")</f>
        <v/>
      </c>
      <c r="AU260" s="144" t="str">
        <f t="shared" ref="AU260:AU263" si="435">IF(BU260="ДА",$M260,"")</f>
        <v/>
      </c>
      <c r="AV260" s="144" t="str">
        <f t="shared" ref="AV260:AV263" si="436">IF(BV260="ДА",$M260,"")</f>
        <v/>
      </c>
      <c r="AW260" s="144" t="str">
        <f t="shared" ref="AW260:AZ263" si="437">IF(BX260="ДА",$M260,"")</f>
        <v/>
      </c>
      <c r="AX260" s="144" t="str">
        <f t="shared" si="437"/>
        <v/>
      </c>
      <c r="AY260" s="144" t="str">
        <f t="shared" si="437"/>
        <v/>
      </c>
      <c r="AZ260" s="201">
        <f t="shared" si="437"/>
        <v>5</v>
      </c>
      <c r="BA260" s="235"/>
      <c r="BB260" s="144" t="str">
        <f t="shared" ref="BB260:BP263" si="438">IF(CC260="ДА",$M260,"")</f>
        <v/>
      </c>
      <c r="BC260" s="144" t="str">
        <f t="shared" si="438"/>
        <v/>
      </c>
      <c r="BD260" s="144" t="str">
        <f t="shared" si="438"/>
        <v/>
      </c>
      <c r="BE260" s="144" t="str">
        <f t="shared" si="438"/>
        <v/>
      </c>
      <c r="BF260" s="201" t="str">
        <f t="shared" si="438"/>
        <v/>
      </c>
      <c r="BG260" s="144" t="str">
        <f t="shared" si="438"/>
        <v/>
      </c>
      <c r="BH260" s="144" t="str">
        <f t="shared" si="438"/>
        <v/>
      </c>
      <c r="BI260" s="144" t="str">
        <f t="shared" si="438"/>
        <v/>
      </c>
      <c r="BJ260" s="144" t="str">
        <f t="shared" si="438"/>
        <v/>
      </c>
      <c r="BK260" s="201" t="str">
        <f t="shared" si="438"/>
        <v/>
      </c>
      <c r="BL260" s="144" t="str">
        <f t="shared" si="438"/>
        <v/>
      </c>
      <c r="BM260" s="144" t="str">
        <f t="shared" si="438"/>
        <v/>
      </c>
      <c r="BN260" s="144" t="str">
        <f t="shared" si="438"/>
        <v/>
      </c>
      <c r="BO260" s="144" t="str">
        <f t="shared" si="438"/>
        <v/>
      </c>
      <c r="BP260" s="201" t="str">
        <f t="shared" si="438"/>
        <v/>
      </c>
      <c r="BQ260" s="209"/>
      <c r="BR260" s="388"/>
      <c r="BS260" s="37" t="s">
        <v>255</v>
      </c>
      <c r="BT260" s="37" t="s">
        <v>255</v>
      </c>
      <c r="BU260" s="37" t="s">
        <v>255</v>
      </c>
      <c r="BV260" s="37" t="s">
        <v>255</v>
      </c>
      <c r="BW260" s="37" t="s">
        <v>255</v>
      </c>
      <c r="BX260" s="37" t="s">
        <v>255</v>
      </c>
      <c r="BY260" s="37" t="s">
        <v>255</v>
      </c>
      <c r="BZ260" s="37" t="s">
        <v>255</v>
      </c>
      <c r="CA260" s="123" t="s">
        <v>246</v>
      </c>
      <c r="CB260" s="223"/>
      <c r="CC260" s="37" t="s">
        <v>255</v>
      </c>
      <c r="CD260" s="37" t="s">
        <v>255</v>
      </c>
      <c r="CE260" s="37" t="s">
        <v>255</v>
      </c>
      <c r="CF260" s="37" t="s">
        <v>255</v>
      </c>
      <c r="CG260" s="37" t="s">
        <v>255</v>
      </c>
      <c r="CH260" s="37" t="s">
        <v>255</v>
      </c>
      <c r="CI260" s="37" t="s">
        <v>255</v>
      </c>
      <c r="CJ260" s="37" t="s">
        <v>255</v>
      </c>
      <c r="CK260" s="37" t="s">
        <v>255</v>
      </c>
      <c r="CL260" s="37" t="s">
        <v>255</v>
      </c>
      <c r="CM260" s="37" t="s">
        <v>255</v>
      </c>
      <c r="CN260" s="37" t="s">
        <v>255</v>
      </c>
      <c r="CO260" s="37" t="s">
        <v>255</v>
      </c>
      <c r="CP260" s="37" t="s">
        <v>255</v>
      </c>
      <c r="CQ260" s="37" t="s">
        <v>255</v>
      </c>
      <c r="CR260" s="123" t="s">
        <v>302</v>
      </c>
    </row>
    <row r="261" spans="1:96" ht="30" outlineLevel="1" x14ac:dyDescent="0.25">
      <c r="A261" s="112" t="s">
        <v>459</v>
      </c>
      <c r="B261" s="121" t="s">
        <v>239</v>
      </c>
      <c r="C261" s="1024" t="s">
        <v>243</v>
      </c>
      <c r="D261" s="121"/>
      <c r="E261" s="121"/>
      <c r="F261" s="34" t="s">
        <v>225</v>
      </c>
      <c r="G261" s="120" t="s">
        <v>579</v>
      </c>
      <c r="H261" s="111" t="s">
        <v>1693</v>
      </c>
      <c r="I261" s="111" t="s">
        <v>1693</v>
      </c>
      <c r="J261" s="111" t="s">
        <v>1693</v>
      </c>
      <c r="K261" s="111" t="s">
        <v>1693</v>
      </c>
      <c r="L261" s="111" t="s">
        <v>1693</v>
      </c>
      <c r="M261" s="34">
        <v>2</v>
      </c>
      <c r="N261" s="235">
        <f t="shared" si="415"/>
        <v>0</v>
      </c>
      <c r="O261" s="200" t="str">
        <f t="shared" si="430"/>
        <v/>
      </c>
      <c r="P261" s="144"/>
      <c r="Q261" s="357">
        <f t="shared" si="431"/>
        <v>0</v>
      </c>
      <c r="R261" s="356" t="str">
        <f>IF(AF261="ДА",$M261,"")</f>
        <v/>
      </c>
      <c r="S261" s="144"/>
      <c r="T261" s="357">
        <f>IF(AF261="ДА",ROUNDUP(R261/5,0),0)</f>
        <v>0</v>
      </c>
      <c r="U261" s="356" t="str">
        <f>IF(AI261="ДА",$M261,"")</f>
        <v/>
      </c>
      <c r="V261" s="144"/>
      <c r="W261" s="357">
        <f>IF(AI261="ДА",ROUNDUP(U261/5,0),0)</f>
        <v>0</v>
      </c>
      <c r="X261" s="356" t="str">
        <f>IF(AL261="ДА",$M261,"")</f>
        <v/>
      </c>
      <c r="Y261" s="144"/>
      <c r="Z261" s="201">
        <f>IF(AL261="ДА",ROUNDUP(X261/5,0),0)</f>
        <v>0</v>
      </c>
      <c r="AA261" s="388" t="str">
        <f>IF(OR(AC261="ДА",AF261="ДА",AI261="ДА",AL261="ДА"),"ДА","НЕТ")</f>
        <v>НЕТ</v>
      </c>
      <c r="AB261" s="388"/>
      <c r="AC261" s="37" t="str">
        <f>IF(AC$8=$BT$9,$BT261,IF(AC$8=$BS$9,$BS261,IF(AC$8=$BU$9,$BU261,IF(AC$8=$BV$9,$BV261,IF(AC$8=$BW$9,$BW261,IF(AC$8=$BX$9,$BX261,IF(AC$8=$BY$9,$BY261,IF(AC$8=$BZ$9,$BZ261,IF(AC$8=$CA$9,$CA261,IF(AC$8=$CC$9,$CC261,IF(AC$8=$CD$9,$CD261,IF(AC$8=$CE$9,$CE261,IF(AC$8=$CF$9,$CF261,IF(AC$8=$CG$9,$CG261,IF(AC$8=$CH$9,$CH261,IF(AC$8=$CI$9,$CI261,IF(AC$8=$CJ$9,$CJ261,IF(AC$8=$CK$9,$CK261,IF(AC$8=$CL$9,$CL261,IF(AC$8=$CM$9,$CM261,IF(AC$8=$CN$9,$CN261,IF(AC$8=$CO$9,$CO261,IF(AC$8=$CP$9,$CP261,IF(AC$8=$CQ$9,$CQ261,"НЕТ"))))))))))))))))))))))))</f>
        <v>НЕТ</v>
      </c>
      <c r="AD261" s="37" t="str">
        <f>IF(AC261="НЕТ","Не требуется",$CR261)</f>
        <v>Не требуется</v>
      </c>
      <c r="AE261" s="37"/>
      <c r="AF261" s="37" t="str">
        <f t="shared" si="432"/>
        <v>НЕТ</v>
      </c>
      <c r="AG261" s="37" t="str">
        <f t="shared" si="432"/>
        <v>НЕТ</v>
      </c>
      <c r="AH261" s="37" t="str">
        <f t="shared" si="432"/>
        <v>НЕТ</v>
      </c>
      <c r="AI261" s="37" t="str">
        <f t="shared" si="432"/>
        <v>НЕТ</v>
      </c>
      <c r="AJ261" s="37" t="str">
        <f t="shared" si="432"/>
        <v>НЕТ</v>
      </c>
      <c r="AK261" s="37" t="str">
        <f t="shared" si="432"/>
        <v>НЕТ</v>
      </c>
      <c r="AL261" s="37" t="str">
        <f t="shared" si="432"/>
        <v>НЕТ</v>
      </c>
      <c r="AM261" s="37" t="str">
        <f>IF(AL261="НЕТ","Не требуется",$CR261)</f>
        <v>Не требуется</v>
      </c>
      <c r="AN261" s="37"/>
      <c r="AQ261" s="200"/>
      <c r="AR261" s="230"/>
      <c r="AS261" s="144" t="str">
        <f t="shared" si="433"/>
        <v/>
      </c>
      <c r="AT261" s="144" t="str">
        <f t="shared" si="434"/>
        <v/>
      </c>
      <c r="AU261" s="144" t="str">
        <f t="shared" si="435"/>
        <v/>
      </c>
      <c r="AV261" s="144" t="str">
        <f t="shared" si="436"/>
        <v/>
      </c>
      <c r="AW261" s="144" t="str">
        <f t="shared" si="437"/>
        <v/>
      </c>
      <c r="AX261" s="144" t="str">
        <f t="shared" si="437"/>
        <v/>
      </c>
      <c r="AY261" s="144" t="str">
        <f t="shared" si="437"/>
        <v/>
      </c>
      <c r="AZ261" s="201">
        <f t="shared" si="437"/>
        <v>2</v>
      </c>
      <c r="BA261" s="235"/>
      <c r="BB261" s="144" t="str">
        <f t="shared" si="438"/>
        <v/>
      </c>
      <c r="BC261" s="144" t="str">
        <f t="shared" si="438"/>
        <v/>
      </c>
      <c r="BD261" s="144" t="str">
        <f t="shared" si="438"/>
        <v/>
      </c>
      <c r="BE261" s="144" t="str">
        <f t="shared" si="438"/>
        <v/>
      </c>
      <c r="BF261" s="201" t="str">
        <f t="shared" si="438"/>
        <v/>
      </c>
      <c r="BG261" s="144" t="str">
        <f t="shared" si="438"/>
        <v/>
      </c>
      <c r="BH261" s="144" t="str">
        <f t="shared" si="438"/>
        <v/>
      </c>
      <c r="BI261" s="144" t="str">
        <f t="shared" si="438"/>
        <v/>
      </c>
      <c r="BJ261" s="144" t="str">
        <f t="shared" si="438"/>
        <v/>
      </c>
      <c r="BK261" s="201" t="str">
        <f t="shared" si="438"/>
        <v/>
      </c>
      <c r="BL261" s="144" t="str">
        <f t="shared" si="438"/>
        <v/>
      </c>
      <c r="BM261" s="144" t="str">
        <f t="shared" si="438"/>
        <v/>
      </c>
      <c r="BN261" s="144" t="str">
        <f t="shared" si="438"/>
        <v/>
      </c>
      <c r="BO261" s="144" t="str">
        <f t="shared" si="438"/>
        <v/>
      </c>
      <c r="BP261" s="201" t="str">
        <f t="shared" si="438"/>
        <v/>
      </c>
      <c r="BQ261" s="209"/>
      <c r="BR261" s="388"/>
      <c r="BS261" s="37" t="s">
        <v>255</v>
      </c>
      <c r="BT261" s="37" t="s">
        <v>255</v>
      </c>
      <c r="BU261" s="37" t="s">
        <v>255</v>
      </c>
      <c r="BV261" s="37" t="s">
        <v>255</v>
      </c>
      <c r="BW261" s="37" t="s">
        <v>255</v>
      </c>
      <c r="BX261" s="37" t="s">
        <v>255</v>
      </c>
      <c r="BY261" s="37" t="s">
        <v>255</v>
      </c>
      <c r="BZ261" s="37" t="s">
        <v>255</v>
      </c>
      <c r="CA261" s="123" t="s">
        <v>246</v>
      </c>
      <c r="CB261" s="223"/>
      <c r="CC261" s="37" t="s">
        <v>255</v>
      </c>
      <c r="CD261" s="37" t="s">
        <v>255</v>
      </c>
      <c r="CE261" s="37" t="s">
        <v>255</v>
      </c>
      <c r="CF261" s="37" t="s">
        <v>255</v>
      </c>
      <c r="CG261" s="37" t="s">
        <v>255</v>
      </c>
      <c r="CH261" s="37" t="s">
        <v>255</v>
      </c>
      <c r="CI261" s="37" t="s">
        <v>255</v>
      </c>
      <c r="CJ261" s="37" t="s">
        <v>255</v>
      </c>
      <c r="CK261" s="37" t="s">
        <v>255</v>
      </c>
      <c r="CL261" s="37" t="s">
        <v>255</v>
      </c>
      <c r="CM261" s="37" t="s">
        <v>255</v>
      </c>
      <c r="CN261" s="37" t="s">
        <v>255</v>
      </c>
      <c r="CO261" s="37" t="s">
        <v>255</v>
      </c>
      <c r="CP261" s="37" t="s">
        <v>255</v>
      </c>
      <c r="CQ261" s="37" t="s">
        <v>255</v>
      </c>
      <c r="CR261" s="123" t="s">
        <v>302</v>
      </c>
    </row>
    <row r="262" spans="1:96" ht="30" outlineLevel="1" x14ac:dyDescent="0.25">
      <c r="A262" s="112" t="s">
        <v>460</v>
      </c>
      <c r="B262" s="121" t="s">
        <v>240</v>
      </c>
      <c r="C262" s="1024" t="s">
        <v>243</v>
      </c>
      <c r="D262" s="121"/>
      <c r="E262" s="121"/>
      <c r="F262" s="34" t="s">
        <v>225</v>
      </c>
      <c r="G262" s="120" t="s">
        <v>579</v>
      </c>
      <c r="H262" s="111" t="s">
        <v>1693</v>
      </c>
      <c r="I262" s="111" t="s">
        <v>1693</v>
      </c>
      <c r="J262" s="111" t="s">
        <v>1693</v>
      </c>
      <c r="K262" s="111" t="s">
        <v>1693</v>
      </c>
      <c r="L262" s="111" t="s">
        <v>1693</v>
      </c>
      <c r="M262" s="34">
        <v>5</v>
      </c>
      <c r="N262" s="235">
        <f t="shared" si="415"/>
        <v>5</v>
      </c>
      <c r="O262" s="200" t="str">
        <f t="shared" si="430"/>
        <v/>
      </c>
      <c r="P262" s="144"/>
      <c r="Q262" s="357">
        <f t="shared" si="431"/>
        <v>0</v>
      </c>
      <c r="R262" s="356">
        <f>IF(AF262="ДА",$M262,"")</f>
        <v>5</v>
      </c>
      <c r="S262" s="144"/>
      <c r="T262" s="357">
        <f>IF(AF262="ДА",ROUNDUP(R262/5,0),0)</f>
        <v>1</v>
      </c>
      <c r="U262" s="356" t="str">
        <f>IF(AI262="ДА",$M262,"")</f>
        <v/>
      </c>
      <c r="V262" s="144"/>
      <c r="W262" s="357">
        <f>IF(AI262="ДА",ROUNDUP(U262/5,0),0)</f>
        <v>0</v>
      </c>
      <c r="X262" s="356" t="str">
        <f>IF(AL262="ДА",$M262,"")</f>
        <v/>
      </c>
      <c r="Y262" s="144"/>
      <c r="Z262" s="201">
        <f>IF(AL262="ДА",ROUNDUP(X262/5,0),0)</f>
        <v>0</v>
      </c>
      <c r="AA262" s="388" t="str">
        <f>IF(OR(AC262="ДА",AF262="ДА",AI262="ДА",AL262="ДА"),"ДА","НЕТ")</f>
        <v>ДА</v>
      </c>
      <c r="AB262" s="388"/>
      <c r="AC262" s="37" t="str">
        <f>IF(AC$8=$BT$9,$BT262,IF(AC$8=$BS$9,$BS262,IF(AC$8=$BU$9,$BU262,IF(AC$8=$BV$9,$BV262,IF(AC$8=$BW$9,$BW262,IF(AC$8=$BX$9,$BX262,IF(AC$8=$BY$9,$BY262,IF(AC$8=$BZ$9,$BZ262,IF(AC$8=$CA$9,$CA262,IF(AC$8=$CC$9,$CC262,IF(AC$8=$CD$9,$CD262,IF(AC$8=$CE$9,$CE262,IF(AC$8=$CF$9,$CF262,IF(AC$8=$CG$9,$CG262,IF(AC$8=$CH$9,$CH262,IF(AC$8=$CI$9,$CI262,IF(AC$8=$CJ$9,$CJ262,IF(AC$8=$CK$9,$CK262,IF(AC$8=$CL$9,$CL262,IF(AC$8=$CM$9,$CM262,IF(AC$8=$CN$9,$CN262,IF(AC$8=$CO$9,$CO262,IF(AC$8=$CP$9,$CP262,IF(AC$8=$CQ$9,$CQ262,"НЕТ"))))))))))))))))))))))))</f>
        <v>НЕТ</v>
      </c>
      <c r="AD262" s="37" t="str">
        <f>IF(AC262="НЕТ","Не требуется",$CR262)</f>
        <v>Не требуется</v>
      </c>
      <c r="AE262" s="37"/>
      <c r="AF262" s="37" t="str">
        <f t="shared" si="432"/>
        <v>ДА</v>
      </c>
      <c r="AG262" s="37" t="str">
        <f t="shared" si="432"/>
        <v>НЕТ</v>
      </c>
      <c r="AH262" s="37" t="str">
        <f t="shared" si="432"/>
        <v>НЕТ</v>
      </c>
      <c r="AI262" s="37" t="str">
        <f t="shared" si="432"/>
        <v>НЕТ</v>
      </c>
      <c r="AJ262" s="37" t="str">
        <f t="shared" si="432"/>
        <v>НЕТ</v>
      </c>
      <c r="AK262" s="37" t="str">
        <f t="shared" si="432"/>
        <v>НЕТ</v>
      </c>
      <c r="AL262" s="37" t="str">
        <f t="shared" si="432"/>
        <v>НЕТ</v>
      </c>
      <c r="AM262" s="37" t="str">
        <f>IF(AL262="НЕТ","Не требуется",$CR262)</f>
        <v>Не требуется</v>
      </c>
      <c r="AN262" s="37"/>
      <c r="AQ262" s="200"/>
      <c r="AR262" s="230"/>
      <c r="AS262" s="144" t="str">
        <f t="shared" si="433"/>
        <v/>
      </c>
      <c r="AT262" s="144" t="str">
        <f t="shared" si="434"/>
        <v/>
      </c>
      <c r="AU262" s="144" t="str">
        <f t="shared" si="435"/>
        <v/>
      </c>
      <c r="AV262" s="144" t="str">
        <f t="shared" si="436"/>
        <v/>
      </c>
      <c r="AW262" s="144" t="str">
        <f t="shared" si="437"/>
        <v/>
      </c>
      <c r="AX262" s="144" t="str">
        <f t="shared" si="437"/>
        <v/>
      </c>
      <c r="AY262" s="144">
        <f t="shared" si="437"/>
        <v>5</v>
      </c>
      <c r="AZ262" s="201">
        <f t="shared" si="437"/>
        <v>5</v>
      </c>
      <c r="BA262" s="235"/>
      <c r="BB262" s="144" t="str">
        <f t="shared" si="438"/>
        <v/>
      </c>
      <c r="BC262" s="144" t="str">
        <f t="shared" si="438"/>
        <v/>
      </c>
      <c r="BD262" s="144" t="str">
        <f t="shared" si="438"/>
        <v/>
      </c>
      <c r="BE262" s="144" t="str">
        <f t="shared" si="438"/>
        <v/>
      </c>
      <c r="BF262" s="201" t="str">
        <f t="shared" si="438"/>
        <v/>
      </c>
      <c r="BG262" s="144" t="str">
        <f t="shared" si="438"/>
        <v/>
      </c>
      <c r="BH262" s="144" t="str">
        <f t="shared" si="438"/>
        <v/>
      </c>
      <c r="BI262" s="144" t="str">
        <f t="shared" si="438"/>
        <v/>
      </c>
      <c r="BJ262" s="144" t="str">
        <f t="shared" si="438"/>
        <v/>
      </c>
      <c r="BK262" s="201" t="str">
        <f t="shared" si="438"/>
        <v/>
      </c>
      <c r="BL262" s="144" t="str">
        <f t="shared" si="438"/>
        <v/>
      </c>
      <c r="BM262" s="144" t="str">
        <f t="shared" si="438"/>
        <v/>
      </c>
      <c r="BN262" s="144" t="str">
        <f t="shared" si="438"/>
        <v/>
      </c>
      <c r="BO262" s="144" t="str">
        <f t="shared" si="438"/>
        <v/>
      </c>
      <c r="BP262" s="201" t="str">
        <f t="shared" si="438"/>
        <v/>
      </c>
      <c r="BQ262" s="209"/>
      <c r="BR262" s="388"/>
      <c r="BS262" s="37" t="s">
        <v>255</v>
      </c>
      <c r="BT262" s="37" t="s">
        <v>255</v>
      </c>
      <c r="BU262" s="37" t="s">
        <v>255</v>
      </c>
      <c r="BV262" s="37" t="s">
        <v>255</v>
      </c>
      <c r="BW262" s="37" t="s">
        <v>255</v>
      </c>
      <c r="BX262" s="37" t="s">
        <v>255</v>
      </c>
      <c r="BY262" s="37" t="s">
        <v>255</v>
      </c>
      <c r="BZ262" s="37" t="s">
        <v>246</v>
      </c>
      <c r="CA262" s="123" t="s">
        <v>246</v>
      </c>
      <c r="CB262" s="223"/>
      <c r="CC262" s="37" t="s">
        <v>255</v>
      </c>
      <c r="CD262" s="37" t="s">
        <v>255</v>
      </c>
      <c r="CE262" s="37" t="s">
        <v>255</v>
      </c>
      <c r="CF262" s="37" t="s">
        <v>255</v>
      </c>
      <c r="CG262" s="37" t="s">
        <v>255</v>
      </c>
      <c r="CH262" s="37" t="s">
        <v>255</v>
      </c>
      <c r="CI262" s="37" t="s">
        <v>255</v>
      </c>
      <c r="CJ262" s="37" t="s">
        <v>255</v>
      </c>
      <c r="CK262" s="37" t="s">
        <v>255</v>
      </c>
      <c r="CL262" s="37" t="s">
        <v>255</v>
      </c>
      <c r="CM262" s="37" t="s">
        <v>255</v>
      </c>
      <c r="CN262" s="37" t="s">
        <v>255</v>
      </c>
      <c r="CO262" s="37" t="s">
        <v>255</v>
      </c>
      <c r="CP262" s="37" t="s">
        <v>255</v>
      </c>
      <c r="CQ262" s="37" t="s">
        <v>255</v>
      </c>
      <c r="CR262" s="123" t="s">
        <v>302</v>
      </c>
    </row>
    <row r="263" spans="1:96" ht="30" outlineLevel="1" x14ac:dyDescent="0.25">
      <c r="A263" s="112" t="s">
        <v>461</v>
      </c>
      <c r="B263" s="121" t="s">
        <v>241</v>
      </c>
      <c r="C263" s="1024" t="s">
        <v>243</v>
      </c>
      <c r="D263" s="121"/>
      <c r="E263" s="121"/>
      <c r="F263" s="34" t="s">
        <v>225</v>
      </c>
      <c r="G263" s="120" t="s">
        <v>579</v>
      </c>
      <c r="H263" s="111" t="s">
        <v>1693</v>
      </c>
      <c r="I263" s="111" t="s">
        <v>1693</v>
      </c>
      <c r="J263" s="111" t="s">
        <v>1693</v>
      </c>
      <c r="K263" s="111" t="s">
        <v>1693</v>
      </c>
      <c r="L263" s="111" t="s">
        <v>1693</v>
      </c>
      <c r="M263" s="34">
        <v>3</v>
      </c>
      <c r="N263" s="235">
        <f t="shared" si="415"/>
        <v>3</v>
      </c>
      <c r="O263" s="200" t="str">
        <f t="shared" si="430"/>
        <v/>
      </c>
      <c r="P263" s="144"/>
      <c r="Q263" s="357">
        <f t="shared" si="431"/>
        <v>0</v>
      </c>
      <c r="R263" s="356">
        <f>IF(AF263="ДА",$M263,"")</f>
        <v>3</v>
      </c>
      <c r="S263" s="144"/>
      <c r="T263" s="357">
        <f>IF(AF263="ДА",ROUNDUP(R263/5,0),0)</f>
        <v>1</v>
      </c>
      <c r="U263" s="356" t="str">
        <f>IF(AI263="ДА",$M263,"")</f>
        <v/>
      </c>
      <c r="V263" s="144"/>
      <c r="W263" s="357">
        <f>IF(AI263="ДА",ROUNDUP(U263/5,0),0)</f>
        <v>0</v>
      </c>
      <c r="X263" s="356" t="str">
        <f>IF(AL263="ДА",$M263,"")</f>
        <v/>
      </c>
      <c r="Y263" s="144"/>
      <c r="Z263" s="201">
        <f>IF(AL263="ДА",ROUNDUP(X263/5,0),0)</f>
        <v>0</v>
      </c>
      <c r="AA263" s="388" t="str">
        <f>IF(OR(AC263="ДА",AF263="ДА",AI263="ДА",AL263="ДА"),"ДА","НЕТ")</f>
        <v>ДА</v>
      </c>
      <c r="AB263" s="388"/>
      <c r="AC263" s="37" t="str">
        <f>IF(AC$8=$BT$9,$BT263,IF(AC$8=$BS$9,$BS263,IF(AC$8=$BU$9,$BU263,IF(AC$8=$BV$9,$BV263,IF(AC$8=$BW$9,$BW263,IF(AC$8=$BX$9,$BX263,IF(AC$8=$BY$9,$BY263,IF(AC$8=$BZ$9,$BZ263,IF(AC$8=$CA$9,$CA263,IF(AC$8=$CC$9,$CC263,IF(AC$8=$CD$9,$CD263,IF(AC$8=$CE$9,$CE263,IF(AC$8=$CF$9,$CF263,IF(AC$8=$CG$9,$CG263,IF(AC$8=$CH$9,$CH263,IF(AC$8=$CI$9,$CI263,IF(AC$8=$CJ$9,$CJ263,IF(AC$8=$CK$9,$CK263,IF(AC$8=$CL$9,$CL263,IF(AC$8=$CM$9,$CM263,IF(AC$8=$CN$9,$CN263,IF(AC$8=$CO$9,$CO263,IF(AC$8=$CP$9,$CP263,IF(AC$8=$CQ$9,$CQ263,"НЕТ"))))))))))))))))))))))))</f>
        <v>НЕТ</v>
      </c>
      <c r="AD263" s="37" t="str">
        <f>IF(AC263="НЕТ","Не требуется",$CR263)</f>
        <v>Не требуется</v>
      </c>
      <c r="AE263" s="37"/>
      <c r="AF263" s="37" t="str">
        <f t="shared" si="432"/>
        <v>ДА</v>
      </c>
      <c r="AG263" s="37" t="str">
        <f t="shared" si="432"/>
        <v>НЕТ</v>
      </c>
      <c r="AH263" s="37" t="str">
        <f t="shared" si="432"/>
        <v>НЕТ</v>
      </c>
      <c r="AI263" s="37" t="str">
        <f t="shared" si="432"/>
        <v>НЕТ</v>
      </c>
      <c r="AJ263" s="37" t="str">
        <f t="shared" si="432"/>
        <v>НЕТ</v>
      </c>
      <c r="AK263" s="37" t="str">
        <f t="shared" si="432"/>
        <v>НЕТ</v>
      </c>
      <c r="AL263" s="37" t="str">
        <f t="shared" si="432"/>
        <v>НЕТ</v>
      </c>
      <c r="AM263" s="37" t="str">
        <f>IF(AL263="НЕТ","Не требуется",$CR263)</f>
        <v>Не требуется</v>
      </c>
      <c r="AN263" s="37"/>
      <c r="AQ263" s="200"/>
      <c r="AR263" s="230"/>
      <c r="AS263" s="144" t="str">
        <f t="shared" si="433"/>
        <v/>
      </c>
      <c r="AT263" s="144" t="str">
        <f t="shared" si="434"/>
        <v/>
      </c>
      <c r="AU263" s="144" t="str">
        <f t="shared" si="435"/>
        <v/>
      </c>
      <c r="AV263" s="144" t="str">
        <f t="shared" si="436"/>
        <v/>
      </c>
      <c r="AW263" s="144" t="str">
        <f t="shared" si="437"/>
        <v/>
      </c>
      <c r="AX263" s="144" t="str">
        <f t="shared" si="437"/>
        <v/>
      </c>
      <c r="AY263" s="144">
        <f t="shared" si="437"/>
        <v>3</v>
      </c>
      <c r="AZ263" s="201">
        <f t="shared" si="437"/>
        <v>3</v>
      </c>
      <c r="BA263" s="235"/>
      <c r="BB263" s="144" t="str">
        <f t="shared" si="438"/>
        <v/>
      </c>
      <c r="BC263" s="144" t="str">
        <f t="shared" si="438"/>
        <v/>
      </c>
      <c r="BD263" s="144" t="str">
        <f t="shared" si="438"/>
        <v/>
      </c>
      <c r="BE263" s="144" t="str">
        <f t="shared" si="438"/>
        <v/>
      </c>
      <c r="BF263" s="201" t="str">
        <f t="shared" si="438"/>
        <v/>
      </c>
      <c r="BG263" s="144" t="str">
        <f t="shared" si="438"/>
        <v/>
      </c>
      <c r="BH263" s="144" t="str">
        <f t="shared" si="438"/>
        <v/>
      </c>
      <c r="BI263" s="144" t="str">
        <f t="shared" si="438"/>
        <v/>
      </c>
      <c r="BJ263" s="144" t="str">
        <f t="shared" si="438"/>
        <v/>
      </c>
      <c r="BK263" s="201" t="str">
        <f t="shared" si="438"/>
        <v/>
      </c>
      <c r="BL263" s="144" t="str">
        <f t="shared" si="438"/>
        <v/>
      </c>
      <c r="BM263" s="144" t="str">
        <f t="shared" si="438"/>
        <v/>
      </c>
      <c r="BN263" s="144" t="str">
        <f t="shared" si="438"/>
        <v/>
      </c>
      <c r="BO263" s="144" t="str">
        <f t="shared" si="438"/>
        <v/>
      </c>
      <c r="BP263" s="201" t="str">
        <f t="shared" si="438"/>
        <v/>
      </c>
      <c r="BQ263" s="209"/>
      <c r="BR263" s="388"/>
      <c r="BS263" s="37" t="s">
        <v>255</v>
      </c>
      <c r="BT263" s="37" t="s">
        <v>255</v>
      </c>
      <c r="BU263" s="37" t="s">
        <v>255</v>
      </c>
      <c r="BV263" s="37" t="s">
        <v>255</v>
      </c>
      <c r="BW263" s="37" t="s">
        <v>255</v>
      </c>
      <c r="BX263" s="37" t="s">
        <v>255</v>
      </c>
      <c r="BY263" s="37" t="s">
        <v>255</v>
      </c>
      <c r="BZ263" s="37" t="s">
        <v>246</v>
      </c>
      <c r="CA263" s="123" t="s">
        <v>246</v>
      </c>
      <c r="CB263" s="223"/>
      <c r="CC263" s="37" t="s">
        <v>255</v>
      </c>
      <c r="CD263" s="37" t="s">
        <v>255</v>
      </c>
      <c r="CE263" s="37" t="s">
        <v>255</v>
      </c>
      <c r="CF263" s="37" t="s">
        <v>255</v>
      </c>
      <c r="CG263" s="37" t="s">
        <v>255</v>
      </c>
      <c r="CH263" s="37" t="s">
        <v>255</v>
      </c>
      <c r="CI263" s="37" t="s">
        <v>255</v>
      </c>
      <c r="CJ263" s="37" t="s">
        <v>255</v>
      </c>
      <c r="CK263" s="37" t="s">
        <v>255</v>
      </c>
      <c r="CL263" s="37" t="s">
        <v>255</v>
      </c>
      <c r="CM263" s="37" t="s">
        <v>255</v>
      </c>
      <c r="CN263" s="37" t="s">
        <v>255</v>
      </c>
      <c r="CO263" s="37" t="s">
        <v>255</v>
      </c>
      <c r="CP263" s="37" t="s">
        <v>255</v>
      </c>
      <c r="CQ263" s="37" t="s">
        <v>255</v>
      </c>
      <c r="CR263" s="123" t="s">
        <v>302</v>
      </c>
    </row>
    <row r="264" spans="1:96" ht="15.75" x14ac:dyDescent="0.25">
      <c r="A264" s="54" t="s">
        <v>462</v>
      </c>
      <c r="B264" s="119" t="s">
        <v>194</v>
      </c>
      <c r="C264" s="1030" t="s">
        <v>243</v>
      </c>
      <c r="D264" s="119"/>
      <c r="E264" s="493"/>
      <c r="F264" s="49" t="s">
        <v>221</v>
      </c>
      <c r="G264" s="49" t="s">
        <v>221</v>
      </c>
      <c r="H264" s="49" t="s">
        <v>221</v>
      </c>
      <c r="I264" s="49" t="s">
        <v>221</v>
      </c>
      <c r="J264" s="49" t="s">
        <v>221</v>
      </c>
      <c r="K264" s="49" t="s">
        <v>221</v>
      </c>
      <c r="L264" s="49" t="s">
        <v>221</v>
      </c>
      <c r="M264" s="81">
        <f>SUM(M265,M270,M281,M285,M295)</f>
        <v>19</v>
      </c>
      <c r="N264" s="81">
        <f>SUM(N265,N270,N281,N285,N295)</f>
        <v>0</v>
      </c>
      <c r="O264" s="81">
        <f t="shared" ref="O264:Z264" si="439">SUM(O265,O270,O281,O285,O295)</f>
        <v>0</v>
      </c>
      <c r="P264" s="81">
        <f t="shared" si="439"/>
        <v>0</v>
      </c>
      <c r="Q264" s="81">
        <f t="shared" si="439"/>
        <v>0</v>
      </c>
      <c r="R264" s="81">
        <f t="shared" si="439"/>
        <v>0</v>
      </c>
      <c r="S264" s="81">
        <f t="shared" si="439"/>
        <v>0</v>
      </c>
      <c r="T264" s="81">
        <f t="shared" si="439"/>
        <v>0</v>
      </c>
      <c r="U264" s="81">
        <f t="shared" si="439"/>
        <v>0</v>
      </c>
      <c r="V264" s="81">
        <f t="shared" si="439"/>
        <v>0</v>
      </c>
      <c r="W264" s="81">
        <f t="shared" si="439"/>
        <v>0</v>
      </c>
      <c r="X264" s="81">
        <f t="shared" si="439"/>
        <v>0</v>
      </c>
      <c r="Y264" s="81">
        <f t="shared" si="439"/>
        <v>0</v>
      </c>
      <c r="Z264" s="81">
        <f t="shared" si="439"/>
        <v>0</v>
      </c>
      <c r="AA264" s="387" t="str">
        <f>IF(N264&gt;0,"ДА","НЕТ")</f>
        <v>НЕТ</v>
      </c>
      <c r="AB264" s="387"/>
      <c r="AC264" s="140" t="str">
        <f>IF(O264&gt;0,"ДА","НЕТ")</f>
        <v>НЕТ</v>
      </c>
      <c r="AD264" s="118"/>
      <c r="AE264" s="140"/>
      <c r="AF264" s="140" t="str">
        <f>IF(R264&gt;0,"ДА","НЕТ")</f>
        <v>НЕТ</v>
      </c>
      <c r="AG264" s="118"/>
      <c r="AH264" s="140"/>
      <c r="AI264" s="140" t="str">
        <f>IF(U264&gt;0,"ДА","НЕТ")</f>
        <v>НЕТ</v>
      </c>
      <c r="AJ264" s="118"/>
      <c r="AK264" s="140"/>
      <c r="AL264" s="140" t="str">
        <f>IF(X264&gt;0,"ДА","НЕТ")</f>
        <v>НЕТ</v>
      </c>
      <c r="AM264" s="118"/>
      <c r="AN264" s="140"/>
      <c r="AQ264" s="199"/>
      <c r="AR264" s="229"/>
      <c r="AS264" s="49">
        <f t="shared" ref="AS264:AY264" si="440">SUM(AS265,AS270,AS281,AS285,AS295)</f>
        <v>0</v>
      </c>
      <c r="AT264" s="49">
        <f t="shared" si="440"/>
        <v>0</v>
      </c>
      <c r="AU264" s="49">
        <f t="shared" si="440"/>
        <v>0</v>
      </c>
      <c r="AV264" s="49">
        <f t="shared" si="440"/>
        <v>0</v>
      </c>
      <c r="AW264" s="49">
        <f t="shared" si="440"/>
        <v>0</v>
      </c>
      <c r="AX264" s="49">
        <f t="shared" si="440"/>
        <v>0</v>
      </c>
      <c r="AY264" s="49">
        <f t="shared" si="440"/>
        <v>0</v>
      </c>
      <c r="AZ264" s="52">
        <f t="shared" ref="AZ264:BE264" si="441">SUM(AZ265,AZ270,AZ281,AZ285,AZ295)</f>
        <v>0</v>
      </c>
      <c r="BA264" s="81"/>
      <c r="BB264" s="49">
        <f t="shared" si="441"/>
        <v>0</v>
      </c>
      <c r="BC264" s="49">
        <f t="shared" si="441"/>
        <v>0</v>
      </c>
      <c r="BD264" s="49">
        <f t="shared" si="441"/>
        <v>0</v>
      </c>
      <c r="BE264" s="49">
        <f t="shared" si="441"/>
        <v>11</v>
      </c>
      <c r="BF264" s="52">
        <f t="shared" ref="BF264:BJ264" si="442">SUM(BF265,BF270,BF281,BF285,BF295)</f>
        <v>11</v>
      </c>
      <c r="BG264" s="49">
        <f t="shared" si="442"/>
        <v>0</v>
      </c>
      <c r="BH264" s="49">
        <f t="shared" si="442"/>
        <v>0</v>
      </c>
      <c r="BI264" s="49">
        <f t="shared" si="442"/>
        <v>0</v>
      </c>
      <c r="BJ264" s="49">
        <f t="shared" si="442"/>
        <v>0</v>
      </c>
      <c r="BK264" s="52">
        <f t="shared" ref="BK264:BO264" si="443">SUM(BK265,BK270,BK281,BK285,BK295)</f>
        <v>0</v>
      </c>
      <c r="BL264" s="49">
        <f t="shared" si="443"/>
        <v>0</v>
      </c>
      <c r="BM264" s="49">
        <f t="shared" si="443"/>
        <v>0</v>
      </c>
      <c r="BN264" s="49">
        <f t="shared" si="443"/>
        <v>0</v>
      </c>
      <c r="BO264" s="49">
        <f t="shared" si="443"/>
        <v>0</v>
      </c>
      <c r="BP264" s="52">
        <f t="shared" ref="BP264" si="444">SUM(BP265,BP270,BP281,BP285,BP295)</f>
        <v>0</v>
      </c>
      <c r="BQ264" s="209"/>
      <c r="BR264" s="388"/>
      <c r="BS264" s="140" t="str">
        <f t="shared" ref="BS264:BV264" si="445">IF(AS264&gt;0,"ДА","НЕТ")</f>
        <v>НЕТ</v>
      </c>
      <c r="BT264" s="140" t="str">
        <f t="shared" si="445"/>
        <v>НЕТ</v>
      </c>
      <c r="BU264" s="140" t="str">
        <f t="shared" si="445"/>
        <v>НЕТ</v>
      </c>
      <c r="BV264" s="140" t="str">
        <f t="shared" si="445"/>
        <v>НЕТ</v>
      </c>
      <c r="BW264" s="140" t="str">
        <f>IF(AS264&gt;0,"ДА","НЕТ")</f>
        <v>НЕТ</v>
      </c>
      <c r="BX264" s="140" t="str">
        <f>IF(AW264&gt;0,"ДА","НЕТ")</f>
        <v>НЕТ</v>
      </c>
      <c r="BY264" s="140" t="str">
        <f>IF(AX264&gt;0,"ДА","НЕТ")</f>
        <v>НЕТ</v>
      </c>
      <c r="BZ264" s="140" t="str">
        <f>IF(AY264&gt;0,"ДА","НЕТ")</f>
        <v>НЕТ</v>
      </c>
      <c r="CA264" s="208" t="str">
        <f>IF(AZ264&gt;0,"ДА","НЕТ")</f>
        <v>НЕТ</v>
      </c>
      <c r="CB264" s="222"/>
      <c r="CC264" s="140" t="str">
        <f t="shared" ref="CC264:CQ264" si="446">IF(BB264&gt;0,"ДА","НЕТ")</f>
        <v>НЕТ</v>
      </c>
      <c r="CD264" s="140" t="str">
        <f t="shared" si="446"/>
        <v>НЕТ</v>
      </c>
      <c r="CE264" s="140" t="str">
        <f t="shared" si="446"/>
        <v>НЕТ</v>
      </c>
      <c r="CF264" s="140" t="str">
        <f t="shared" si="446"/>
        <v>ДА</v>
      </c>
      <c r="CG264" s="140" t="str">
        <f t="shared" si="446"/>
        <v>ДА</v>
      </c>
      <c r="CH264" s="140" t="str">
        <f t="shared" si="446"/>
        <v>НЕТ</v>
      </c>
      <c r="CI264" s="140" t="str">
        <f t="shared" si="446"/>
        <v>НЕТ</v>
      </c>
      <c r="CJ264" s="140" t="str">
        <f t="shared" si="446"/>
        <v>НЕТ</v>
      </c>
      <c r="CK264" s="140" t="str">
        <f t="shared" si="446"/>
        <v>НЕТ</v>
      </c>
      <c r="CL264" s="140" t="str">
        <f t="shared" si="446"/>
        <v>НЕТ</v>
      </c>
      <c r="CM264" s="140" t="str">
        <f t="shared" si="446"/>
        <v>НЕТ</v>
      </c>
      <c r="CN264" s="140" t="str">
        <f t="shared" si="446"/>
        <v>НЕТ</v>
      </c>
      <c r="CO264" s="140" t="str">
        <f t="shared" si="446"/>
        <v>НЕТ</v>
      </c>
      <c r="CP264" s="140" t="str">
        <f t="shared" si="446"/>
        <v>НЕТ</v>
      </c>
      <c r="CQ264" s="140" t="str">
        <f t="shared" si="446"/>
        <v>НЕТ</v>
      </c>
      <c r="CR264" s="122"/>
    </row>
    <row r="265" spans="1:96" ht="63.75" outlineLevel="1" collapsed="1" x14ac:dyDescent="0.25">
      <c r="A265" s="115" t="s">
        <v>463</v>
      </c>
      <c r="B265" s="242" t="s">
        <v>1755</v>
      </c>
      <c r="C265" s="1035" t="s">
        <v>2297</v>
      </c>
      <c r="D265" s="242"/>
      <c r="E265" s="497"/>
      <c r="F265" s="808" t="s">
        <v>326</v>
      </c>
      <c r="G265" s="808" t="s">
        <v>1754</v>
      </c>
      <c r="H265" s="111" t="s">
        <v>1693</v>
      </c>
      <c r="I265" s="111" t="s">
        <v>1693</v>
      </c>
      <c r="J265" s="111" t="s">
        <v>1693</v>
      </c>
      <c r="K265" s="111" t="s">
        <v>1693</v>
      </c>
      <c r="L265" s="111" t="s">
        <v>1693</v>
      </c>
      <c r="M265" s="241">
        <v>2</v>
      </c>
      <c r="N265" s="235">
        <f t="shared" ref="N265:N295" si="447">SUM(O265,R265,U265,X265)</f>
        <v>0</v>
      </c>
      <c r="O265" s="200" t="str">
        <f t="shared" ref="O265" si="448">IF(AC265="ДА",$M265,"")</f>
        <v/>
      </c>
      <c r="P265" s="144"/>
      <c r="Q265" s="357">
        <f>IF(AC265="ДА",ROUNDUP(O265/5,0),0)</f>
        <v>0</v>
      </c>
      <c r="R265" s="356" t="str">
        <f>IF(AF265="ДА",$M265,"")</f>
        <v/>
      </c>
      <c r="S265" s="144"/>
      <c r="T265" s="357">
        <f>IF(AF265="ДА",ROUNDUP(R265/5,0),0)</f>
        <v>0</v>
      </c>
      <c r="U265" s="356" t="str">
        <f>IF(AI265="ДА",$M265,"")</f>
        <v/>
      </c>
      <c r="V265" s="144"/>
      <c r="W265" s="357">
        <f>IF(AI265="ДА",ROUNDUP(U265/5,0),0)</f>
        <v>0</v>
      </c>
      <c r="X265" s="356" t="str">
        <f>IF(AL265="ДА",$M265,"")</f>
        <v/>
      </c>
      <c r="Y265" s="144"/>
      <c r="Z265" s="201">
        <f>IF(AL265="ДА",ROUNDUP(X265/5,0),0)</f>
        <v>0</v>
      </c>
      <c r="AA265" s="388" t="str">
        <f>IF(OR(AC265="ДА",AF265="ДА",AI265="ДА",AL265="ДА"),"ДА","НЕТ")</f>
        <v>НЕТ</v>
      </c>
      <c r="AB265" s="388"/>
      <c r="AC265" s="37" t="str">
        <f>IF(AC$8=$BT$9,$BT265,IF(AC$8=$BS$9,$BS265,IF(AC$8=$BU$9,$BU265,IF(AC$8=$BV$9,$BV265,IF(AC$8=$BW$9,$BW265,IF(AC$8=$BX$9,$BX265,IF(AC$8=$BY$9,$BY265,IF(AC$8=$BZ$9,$BZ265,IF(AC$8=$CA$9,$CA265,IF(AC$8=$CC$9,$CC265,IF(AC$8=$CD$9,$CD265,IF(AC$8=$CE$9,$CE265,IF(AC$8=$CF$9,$CF265,IF(AC$8=$CG$9,$CG265,IF(AC$8=$CH$9,$CH265,IF(AC$8=$CI$9,$CI265,IF(AC$8=$CJ$9,$CJ265,IF(AC$8=$CK$9,$CK265,IF(AC$8=$CL$9,$CL265,IF(AC$8=$CM$9,$CM265,IF(AC$8=$CN$9,$CN265,IF(AC$8=$CO$9,$CO265,IF(AC$8=$CP$9,$CP265,IF(AC$8=$CQ$9,$CQ265,"НЕТ"))))))))))))))))))))))))</f>
        <v>НЕТ</v>
      </c>
      <c r="AD265" s="37" t="str">
        <f>IF(AC265="НЕТ","Не требуется",$CR265)</f>
        <v>Не требуется</v>
      </c>
      <c r="AE265" s="37"/>
      <c r="AF265" s="37" t="str">
        <f t="shared" ref="AF265:AL265" si="449">IF(AF$8=$BT$9,$BT265,IF(AF$8=$BS$9,$BS265,IF(AF$8=$BU$9,$BU265,IF(AF$8=$BV$9,$BV265,IF(AF$8=$BW$9,$BW265,IF(AF$8=$BX$9,$BX265,IF(AF$8=$BY$9,$BY265,IF(AF$8=$BZ$9,$BZ265,IF(AF$8=$CA$9,$CA265,IF(AF$8=$CC$9,$CC265,IF(AF$8=$CD$9,$CD265,IF(AF$8=$CE$9,$CE265,IF(AF$8=$CF$9,$CF265,IF(AF$8=$CG$9,$CG265,IF(AF$8=$CH$9,$CH265,IF(AF$8=$CI$9,$CI265,IF(AF$8=$CJ$9,$CJ265,IF(AF$8=$CK$9,$CK265,IF(AF$8=$CL$9,$CL265,IF(AF$8=$CM$9,$CM265,IF(AF$8=$CN$9,$CN265,IF(AF$8=$CO$9,$CO265,IF(AF$8=$CP$9,$CP265,IF(AF$8=$CQ$9,$CQ265,"НЕТ"))))))))))))))))))))))))</f>
        <v>НЕТ</v>
      </c>
      <c r="AG265" s="37" t="str">
        <f t="shared" si="449"/>
        <v>НЕТ</v>
      </c>
      <c r="AH265" s="37" t="str">
        <f t="shared" si="449"/>
        <v>НЕТ</v>
      </c>
      <c r="AI265" s="37" t="str">
        <f t="shared" si="449"/>
        <v>НЕТ</v>
      </c>
      <c r="AJ265" s="37" t="str">
        <f t="shared" si="449"/>
        <v>НЕТ</v>
      </c>
      <c r="AK265" s="37" t="str">
        <f t="shared" si="449"/>
        <v>НЕТ</v>
      </c>
      <c r="AL265" s="37" t="str">
        <f t="shared" si="449"/>
        <v>НЕТ</v>
      </c>
      <c r="AM265" s="37" t="str">
        <f>IF(AL265="НЕТ","Не требуется",$CR265)</f>
        <v>Не требуется</v>
      </c>
      <c r="AN265" s="37"/>
      <c r="AQ265" s="200"/>
      <c r="AR265" s="230"/>
      <c r="AS265" s="144" t="str">
        <f t="shared" ref="AS265" si="450">IF(BS265="ДА",$M265,"")</f>
        <v/>
      </c>
      <c r="AT265" s="144" t="str">
        <f t="shared" ref="AT265" si="451">IF(BT265="ДА",$M265,"")</f>
        <v/>
      </c>
      <c r="AU265" s="144" t="str">
        <f t="shared" ref="AU265" si="452">IF(BU265="ДА",$M265,"")</f>
        <v/>
      </c>
      <c r="AV265" s="144" t="str">
        <f t="shared" ref="AV265" si="453">IF(BV265="ДА",$M265,"")</f>
        <v/>
      </c>
      <c r="AW265" s="144" t="str">
        <f>IF(BX265="ДА",$M265,"")</f>
        <v/>
      </c>
      <c r="AX265" s="144" t="str">
        <f>IF(BY265="ДА",$M265,"")</f>
        <v/>
      </c>
      <c r="AY265" s="144" t="str">
        <f>IF(BZ265="ДА",$M265,"")</f>
        <v/>
      </c>
      <c r="AZ265" s="201" t="str">
        <f>IF(CA265="ДА",$M265,"")</f>
        <v/>
      </c>
      <c r="BA265" s="235"/>
      <c r="BB265" s="144" t="str">
        <f t="shared" ref="BB265:BP265" si="454">IF(CC265="ДА",$M265,"")</f>
        <v/>
      </c>
      <c r="BC265" s="144" t="str">
        <f t="shared" si="454"/>
        <v/>
      </c>
      <c r="BD265" s="144" t="str">
        <f t="shared" si="454"/>
        <v/>
      </c>
      <c r="BE265" s="144">
        <f t="shared" si="454"/>
        <v>2</v>
      </c>
      <c r="BF265" s="201">
        <f t="shared" si="454"/>
        <v>2</v>
      </c>
      <c r="BG265" s="144" t="str">
        <f t="shared" si="454"/>
        <v/>
      </c>
      <c r="BH265" s="144" t="str">
        <f t="shared" si="454"/>
        <v/>
      </c>
      <c r="BI265" s="144" t="str">
        <f t="shared" si="454"/>
        <v/>
      </c>
      <c r="BJ265" s="144" t="str">
        <f t="shared" si="454"/>
        <v/>
      </c>
      <c r="BK265" s="201" t="str">
        <f t="shared" si="454"/>
        <v/>
      </c>
      <c r="BL265" s="144" t="str">
        <f t="shared" si="454"/>
        <v/>
      </c>
      <c r="BM265" s="144" t="str">
        <f t="shared" si="454"/>
        <v/>
      </c>
      <c r="BN265" s="144" t="str">
        <f t="shared" si="454"/>
        <v/>
      </c>
      <c r="BO265" s="144" t="str">
        <f t="shared" si="454"/>
        <v/>
      </c>
      <c r="BP265" s="201" t="str">
        <f t="shared" si="454"/>
        <v/>
      </c>
      <c r="BQ265" s="209"/>
      <c r="BR265" s="388"/>
      <c r="BS265" s="37" t="s">
        <v>255</v>
      </c>
      <c r="BT265" s="37" t="s">
        <v>255</v>
      </c>
      <c r="BU265" s="37" t="s">
        <v>255</v>
      </c>
      <c r="BV265" s="37" t="s">
        <v>255</v>
      </c>
      <c r="BW265" s="37" t="s">
        <v>255</v>
      </c>
      <c r="BX265" s="37" t="s">
        <v>255</v>
      </c>
      <c r="BY265" s="37" t="s">
        <v>255</v>
      </c>
      <c r="BZ265" s="37" t="s">
        <v>255</v>
      </c>
      <c r="CA265" s="37" t="s">
        <v>255</v>
      </c>
      <c r="CB265" s="223"/>
      <c r="CC265" s="37" t="s">
        <v>255</v>
      </c>
      <c r="CD265" s="37" t="s">
        <v>255</v>
      </c>
      <c r="CE265" s="37" t="s">
        <v>255</v>
      </c>
      <c r="CF265" s="37" t="s">
        <v>246</v>
      </c>
      <c r="CG265" s="37" t="s">
        <v>246</v>
      </c>
      <c r="CH265" s="37" t="s">
        <v>255</v>
      </c>
      <c r="CI265" s="37" t="s">
        <v>255</v>
      </c>
      <c r="CJ265" s="37" t="s">
        <v>255</v>
      </c>
      <c r="CK265" s="37" t="s">
        <v>255</v>
      </c>
      <c r="CL265" s="37" t="s">
        <v>255</v>
      </c>
      <c r="CM265" s="37" t="s">
        <v>255</v>
      </c>
      <c r="CN265" s="37" t="s">
        <v>255</v>
      </c>
      <c r="CO265" s="37" t="s">
        <v>255</v>
      </c>
      <c r="CP265" s="37" t="s">
        <v>255</v>
      </c>
      <c r="CQ265" s="37" t="s">
        <v>255</v>
      </c>
      <c r="CR265" s="123" t="s">
        <v>300</v>
      </c>
    </row>
    <row r="266" spans="1:96" ht="78.75" hidden="1" outlineLevel="2" x14ac:dyDescent="0.25">
      <c r="A266" s="133"/>
      <c r="B266" s="289" t="s">
        <v>1729</v>
      </c>
      <c r="C266" s="290"/>
      <c r="D266" s="290"/>
      <c r="E266" s="290"/>
      <c r="F266" s="290"/>
      <c r="G266" s="290"/>
      <c r="H266" s="290"/>
      <c r="I266" s="290"/>
      <c r="J266" s="290"/>
      <c r="K266" s="290"/>
      <c r="L266" s="290"/>
      <c r="M266" s="290"/>
      <c r="N266" s="235">
        <f t="shared" si="447"/>
        <v>0</v>
      </c>
      <c r="O266" s="354"/>
      <c r="P266" s="290"/>
      <c r="Q266" s="386"/>
      <c r="R266" s="385"/>
      <c r="S266" s="290"/>
      <c r="T266" s="386"/>
      <c r="U266" s="385"/>
      <c r="V266" s="290"/>
      <c r="W266" s="386"/>
      <c r="X266" s="385"/>
      <c r="Y266" s="290"/>
      <c r="Z266" s="355"/>
      <c r="AA266" s="290"/>
      <c r="AB266" s="804"/>
      <c r="AD266" s="291"/>
      <c r="AE266" s="290"/>
      <c r="AF266" s="290"/>
      <c r="AG266" s="291"/>
      <c r="AH266" s="290"/>
      <c r="AI266" s="290"/>
      <c r="AJ266" s="291"/>
      <c r="AK266" s="290"/>
      <c r="AL266" s="290"/>
      <c r="AM266" s="291"/>
      <c r="AN266" s="290"/>
      <c r="AQ266" s="202"/>
      <c r="AZ266" s="203"/>
      <c r="BF266" s="203"/>
      <c r="BK266" s="203"/>
      <c r="BP266" s="203"/>
      <c r="BQ266" s="202"/>
      <c r="CA266" s="203"/>
      <c r="CR266" s="122"/>
    </row>
    <row r="267" spans="1:96" ht="47.25" hidden="1" outlineLevel="2" x14ac:dyDescent="0.25">
      <c r="A267" s="133"/>
      <c r="B267" s="289" t="s">
        <v>551</v>
      </c>
      <c r="C267" s="290"/>
      <c r="D267" s="290"/>
      <c r="E267" s="290"/>
      <c r="F267" s="290"/>
      <c r="G267" s="290"/>
      <c r="H267" s="290"/>
      <c r="I267" s="290"/>
      <c r="J267" s="290"/>
      <c r="K267" s="290"/>
      <c r="L267" s="290"/>
      <c r="M267" s="290"/>
      <c r="N267" s="235">
        <f t="shared" si="447"/>
        <v>0</v>
      </c>
      <c r="O267" s="354"/>
      <c r="P267" s="290"/>
      <c r="Q267" s="386"/>
      <c r="R267" s="385"/>
      <c r="S267" s="290"/>
      <c r="T267" s="386"/>
      <c r="U267" s="385"/>
      <c r="V267" s="290"/>
      <c r="W267" s="386"/>
      <c r="X267" s="385"/>
      <c r="Y267" s="290"/>
      <c r="Z267" s="355"/>
      <c r="AA267" s="290"/>
      <c r="AB267" s="804"/>
      <c r="AD267" s="291"/>
      <c r="AE267" s="290"/>
      <c r="AF267" s="290"/>
      <c r="AG267" s="291"/>
      <c r="AH267" s="290"/>
      <c r="AI267" s="290"/>
      <c r="AJ267" s="291"/>
      <c r="AK267" s="290"/>
      <c r="AL267" s="290"/>
      <c r="AM267" s="291"/>
      <c r="AN267" s="290"/>
      <c r="AQ267" s="202"/>
      <c r="AZ267" s="203"/>
      <c r="BF267" s="203"/>
      <c r="BK267" s="203"/>
      <c r="BP267" s="203"/>
      <c r="BQ267" s="202"/>
      <c r="CA267" s="203"/>
      <c r="CR267" s="122"/>
    </row>
    <row r="268" spans="1:96" ht="78.75" hidden="1" outlineLevel="2" x14ac:dyDescent="0.25">
      <c r="A268" s="133"/>
      <c r="B268" s="289" t="s">
        <v>382</v>
      </c>
      <c r="C268" s="290"/>
      <c r="D268" s="290"/>
      <c r="E268" s="290"/>
      <c r="F268" s="290"/>
      <c r="G268" s="290"/>
      <c r="H268" s="290"/>
      <c r="I268" s="290"/>
      <c r="J268" s="290"/>
      <c r="K268" s="290"/>
      <c r="L268" s="290"/>
      <c r="M268" s="290"/>
      <c r="N268" s="235">
        <f t="shared" si="447"/>
        <v>0</v>
      </c>
      <c r="O268" s="354"/>
      <c r="P268" s="290"/>
      <c r="Q268" s="386"/>
      <c r="R268" s="385"/>
      <c r="S268" s="290"/>
      <c r="T268" s="386"/>
      <c r="U268" s="385"/>
      <c r="V268" s="290"/>
      <c r="W268" s="386"/>
      <c r="X268" s="385"/>
      <c r="Y268" s="290"/>
      <c r="Z268" s="355"/>
      <c r="AA268" s="290"/>
      <c r="AB268" s="804"/>
      <c r="AD268" s="291"/>
      <c r="AE268" s="290"/>
      <c r="AF268" s="290"/>
      <c r="AG268" s="291"/>
      <c r="AH268" s="290"/>
      <c r="AI268" s="290"/>
      <c r="AJ268" s="291"/>
      <c r="AK268" s="290"/>
      <c r="AL268" s="290"/>
      <c r="AM268" s="291"/>
      <c r="AN268" s="290"/>
      <c r="AQ268" s="202"/>
      <c r="AZ268" s="203"/>
      <c r="BF268" s="203"/>
      <c r="BK268" s="203"/>
      <c r="BP268" s="203"/>
      <c r="BQ268" s="202"/>
      <c r="CA268" s="203"/>
      <c r="CR268" s="122"/>
    </row>
    <row r="269" spans="1:96" ht="47.25" hidden="1" outlineLevel="2" x14ac:dyDescent="0.25">
      <c r="A269" s="133"/>
      <c r="B269" s="289" t="s">
        <v>1730</v>
      </c>
      <c r="C269" s="290"/>
      <c r="D269" s="290"/>
      <c r="E269" s="290"/>
      <c r="F269" s="290"/>
      <c r="G269" s="290"/>
      <c r="H269" s="290"/>
      <c r="I269" s="290"/>
      <c r="J269" s="290"/>
      <c r="K269" s="290"/>
      <c r="L269" s="290"/>
      <c r="M269" s="290"/>
      <c r="N269" s="235">
        <f t="shared" si="447"/>
        <v>0</v>
      </c>
      <c r="O269" s="354"/>
      <c r="P269" s="290"/>
      <c r="Q269" s="386"/>
      <c r="R269" s="385"/>
      <c r="S269" s="290"/>
      <c r="T269" s="386"/>
      <c r="U269" s="385"/>
      <c r="V269" s="290"/>
      <c r="W269" s="386"/>
      <c r="X269" s="385"/>
      <c r="Y269" s="290"/>
      <c r="Z269" s="355"/>
      <c r="AA269" s="290"/>
      <c r="AB269" s="804"/>
      <c r="AD269" s="291"/>
      <c r="AE269" s="290"/>
      <c r="AF269" s="290"/>
      <c r="AG269" s="291"/>
      <c r="AH269" s="290"/>
      <c r="AI269" s="290"/>
      <c r="AJ269" s="291"/>
      <c r="AK269" s="290"/>
      <c r="AL269" s="290"/>
      <c r="AM269" s="291"/>
      <c r="AN269" s="290"/>
      <c r="AQ269" s="202"/>
      <c r="AZ269" s="203"/>
      <c r="BF269" s="203"/>
      <c r="BK269" s="203"/>
      <c r="BP269" s="203"/>
      <c r="BQ269" s="202"/>
      <c r="CA269" s="203"/>
      <c r="CR269" s="122"/>
    </row>
    <row r="270" spans="1:96" ht="47.25" outlineLevel="1" collapsed="1" x14ac:dyDescent="0.25">
      <c r="A270" s="134" t="s">
        <v>464</v>
      </c>
      <c r="B270" s="115" t="s">
        <v>213</v>
      </c>
      <c r="C270" s="1031" t="s">
        <v>243</v>
      </c>
      <c r="D270" s="115"/>
      <c r="E270" s="146"/>
      <c r="F270" s="109" t="s">
        <v>326</v>
      </c>
      <c r="G270" s="109" t="s">
        <v>953</v>
      </c>
      <c r="H270" s="111" t="s">
        <v>1694</v>
      </c>
      <c r="I270" s="111" t="s">
        <v>1694</v>
      </c>
      <c r="J270" s="111" t="s">
        <v>1694</v>
      </c>
      <c r="K270" s="111" t="s">
        <v>1694</v>
      </c>
      <c r="L270" s="109"/>
      <c r="M270" s="109">
        <v>2</v>
      </c>
      <c r="N270" s="235">
        <f t="shared" si="447"/>
        <v>0</v>
      </c>
      <c r="O270" s="200" t="str">
        <f t="shared" ref="O270" si="455">IF(AC270="ДА",$M270,"")</f>
        <v/>
      </c>
      <c r="P270" s="144"/>
      <c r="Q270" s="357">
        <f>IF(AC270="ДА",ROUNDUP(O270/5,0),0)</f>
        <v>0</v>
      </c>
      <c r="R270" s="356" t="str">
        <f>IF(AF270="ДА",$M270,"")</f>
        <v/>
      </c>
      <c r="S270" s="144"/>
      <c r="T270" s="357">
        <f>IF(AF270="ДА",ROUNDUP(R270/5,0),0)</f>
        <v>0</v>
      </c>
      <c r="U270" s="356" t="str">
        <f>IF(AI270="ДА",$M270,"")</f>
        <v/>
      </c>
      <c r="V270" s="144"/>
      <c r="W270" s="357">
        <f>IF(AI270="ДА",ROUNDUP(U270/5,0),0)</f>
        <v>0</v>
      </c>
      <c r="X270" s="356" t="str">
        <f>IF(AL270="ДА",$M270,"")</f>
        <v/>
      </c>
      <c r="Y270" s="144"/>
      <c r="Z270" s="201">
        <f>IF(AL270="ДА",ROUNDUP(X270/5,0),0)</f>
        <v>0</v>
      </c>
      <c r="AA270" s="388" t="str">
        <f>IF(OR(AC270="ДА",AF270="ДА",AI270="ДА",AL270="ДА"),"ДА","НЕТ")</f>
        <v>НЕТ</v>
      </c>
      <c r="AB270" s="388"/>
      <c r="AC270" s="37" t="str">
        <f>IF(AC$8=$BT$9,$BT270,IF(AC$8=$BS$9,$BS270,IF(AC$8=$BU$9,$BU270,IF(AC$8=$BV$9,$BV270,IF(AC$8=$BW$9,$BW270,IF(AC$8=$BX$9,$BX270,IF(AC$8=$BY$9,$BY270,IF(AC$8=$BZ$9,$BZ270,IF(AC$8=$CA$9,$CA270,IF(AC$8=$CC$9,$CC270,IF(AC$8=$CD$9,$CD270,IF(AC$8=$CE$9,$CE270,IF(AC$8=$CF$9,$CF270,IF(AC$8=$CG$9,$CG270,IF(AC$8=$CH$9,$CH270,IF(AC$8=$CI$9,$CI270,IF(AC$8=$CJ$9,$CJ270,IF(AC$8=$CK$9,$CK270,IF(AC$8=$CL$9,$CL270,IF(AC$8=$CM$9,$CM270,IF(AC$8=$CN$9,$CN270,IF(AC$8=$CO$9,$CO270,IF(AC$8=$CP$9,$CP270,IF(AC$8=$CQ$9,$CQ270,"НЕТ"))))))))))))))))))))))))</f>
        <v>НЕТ</v>
      </c>
      <c r="AD270" s="37" t="str">
        <f>IF(AC270="НЕТ","Не требуется",$CR270)</f>
        <v>Не требуется</v>
      </c>
      <c r="AE270" s="37"/>
      <c r="AF270" s="37" t="str">
        <f t="shared" ref="AF270:AL270" si="456">IF(AF$8=$BT$9,$BT270,IF(AF$8=$BS$9,$BS270,IF(AF$8=$BU$9,$BU270,IF(AF$8=$BV$9,$BV270,IF(AF$8=$BW$9,$BW270,IF(AF$8=$BX$9,$BX270,IF(AF$8=$BY$9,$BY270,IF(AF$8=$BZ$9,$BZ270,IF(AF$8=$CA$9,$CA270,IF(AF$8=$CC$9,$CC270,IF(AF$8=$CD$9,$CD270,IF(AF$8=$CE$9,$CE270,IF(AF$8=$CF$9,$CF270,IF(AF$8=$CG$9,$CG270,IF(AF$8=$CH$9,$CH270,IF(AF$8=$CI$9,$CI270,IF(AF$8=$CJ$9,$CJ270,IF(AF$8=$CK$9,$CK270,IF(AF$8=$CL$9,$CL270,IF(AF$8=$CM$9,$CM270,IF(AF$8=$CN$9,$CN270,IF(AF$8=$CO$9,$CO270,IF(AF$8=$CP$9,$CP270,IF(AF$8=$CQ$9,$CQ270,"НЕТ"))))))))))))))))))))))))</f>
        <v>НЕТ</v>
      </c>
      <c r="AG270" s="37" t="str">
        <f t="shared" si="456"/>
        <v>НЕТ</v>
      </c>
      <c r="AH270" s="37" t="str">
        <f t="shared" si="456"/>
        <v>НЕТ</v>
      </c>
      <c r="AI270" s="37" t="str">
        <f t="shared" si="456"/>
        <v>НЕТ</v>
      </c>
      <c r="AJ270" s="37" t="str">
        <f t="shared" si="456"/>
        <v>НЕТ</v>
      </c>
      <c r="AK270" s="37" t="str">
        <f t="shared" si="456"/>
        <v>НЕТ</v>
      </c>
      <c r="AL270" s="37" t="str">
        <f t="shared" si="456"/>
        <v>НЕТ</v>
      </c>
      <c r="AM270" s="37" t="str">
        <f>IF(AL270="НЕТ","Не требуется",$CR270)</f>
        <v>Не требуется</v>
      </c>
      <c r="AN270" s="37"/>
      <c r="AQ270" s="200"/>
      <c r="AR270" s="230"/>
      <c r="AS270" s="144" t="str">
        <f t="shared" ref="AS270" si="457">IF(BS270="ДА",$M270,"")</f>
        <v/>
      </c>
      <c r="AT270" s="144" t="str">
        <f t="shared" ref="AT270" si="458">IF(BT270="ДА",$M270,"")</f>
        <v/>
      </c>
      <c r="AU270" s="144" t="str">
        <f t="shared" ref="AU270" si="459">IF(BU270="ДА",$M270,"")</f>
        <v/>
      </c>
      <c r="AV270" s="144" t="str">
        <f t="shared" ref="AV270" si="460">IF(BV270="ДА",$M270,"")</f>
        <v/>
      </c>
      <c r="AW270" s="144" t="str">
        <f>IF(BX270="ДА",$M270,"")</f>
        <v/>
      </c>
      <c r="AX270" s="144" t="str">
        <f>IF(BY270="ДА",$M270,"")</f>
        <v/>
      </c>
      <c r="AY270" s="144" t="str">
        <f>IF(BZ270="ДА",$M270,"")</f>
        <v/>
      </c>
      <c r="AZ270" s="201" t="str">
        <f>IF(CA270="ДА",$M270,"")</f>
        <v/>
      </c>
      <c r="BA270" s="235"/>
      <c r="BB270" s="144" t="str">
        <f t="shared" ref="BB270:BP270" si="461">IF(CC270="ДА",$M270,"")</f>
        <v/>
      </c>
      <c r="BC270" s="144" t="str">
        <f t="shared" si="461"/>
        <v/>
      </c>
      <c r="BD270" s="144" t="str">
        <f t="shared" si="461"/>
        <v/>
      </c>
      <c r="BE270" s="144">
        <f t="shared" si="461"/>
        <v>2</v>
      </c>
      <c r="BF270" s="201">
        <f t="shared" si="461"/>
        <v>2</v>
      </c>
      <c r="BG270" s="144" t="str">
        <f t="shared" si="461"/>
        <v/>
      </c>
      <c r="BH270" s="144" t="str">
        <f t="shared" si="461"/>
        <v/>
      </c>
      <c r="BI270" s="144" t="str">
        <f t="shared" si="461"/>
        <v/>
      </c>
      <c r="BJ270" s="144" t="str">
        <f t="shared" si="461"/>
        <v/>
      </c>
      <c r="BK270" s="201" t="str">
        <f t="shared" si="461"/>
        <v/>
      </c>
      <c r="BL270" s="144" t="str">
        <f t="shared" si="461"/>
        <v/>
      </c>
      <c r="BM270" s="144" t="str">
        <f t="shared" si="461"/>
        <v/>
      </c>
      <c r="BN270" s="144" t="str">
        <f t="shared" si="461"/>
        <v/>
      </c>
      <c r="BO270" s="144" t="str">
        <f t="shared" si="461"/>
        <v/>
      </c>
      <c r="BP270" s="201" t="str">
        <f t="shared" si="461"/>
        <v/>
      </c>
      <c r="BQ270" s="209"/>
      <c r="BR270" s="388"/>
      <c r="BS270" s="37" t="s">
        <v>255</v>
      </c>
      <c r="BT270" s="37" t="s">
        <v>255</v>
      </c>
      <c r="BU270" s="37" t="s">
        <v>255</v>
      </c>
      <c r="BV270" s="37" t="s">
        <v>255</v>
      </c>
      <c r="BW270" s="37" t="s">
        <v>255</v>
      </c>
      <c r="BX270" s="37" t="s">
        <v>255</v>
      </c>
      <c r="BY270" s="37" t="s">
        <v>255</v>
      </c>
      <c r="BZ270" s="37" t="s">
        <v>255</v>
      </c>
      <c r="CA270" s="37" t="s">
        <v>255</v>
      </c>
      <c r="CB270" s="223"/>
      <c r="CC270" s="37" t="s">
        <v>255</v>
      </c>
      <c r="CD270" s="37" t="s">
        <v>255</v>
      </c>
      <c r="CE270" s="37" t="s">
        <v>255</v>
      </c>
      <c r="CF270" s="37" t="s">
        <v>246</v>
      </c>
      <c r="CG270" s="37" t="s">
        <v>246</v>
      </c>
      <c r="CH270" s="37" t="s">
        <v>255</v>
      </c>
      <c r="CI270" s="37" t="s">
        <v>255</v>
      </c>
      <c r="CJ270" s="37" t="s">
        <v>255</v>
      </c>
      <c r="CK270" s="37" t="s">
        <v>255</v>
      </c>
      <c r="CL270" s="37" t="s">
        <v>255</v>
      </c>
      <c r="CM270" s="37" t="s">
        <v>255</v>
      </c>
      <c r="CN270" s="37" t="s">
        <v>255</v>
      </c>
      <c r="CO270" s="37" t="s">
        <v>255</v>
      </c>
      <c r="CP270" s="37" t="s">
        <v>255</v>
      </c>
      <c r="CQ270" s="37" t="s">
        <v>255</v>
      </c>
      <c r="CR270" s="123" t="s">
        <v>302</v>
      </c>
    </row>
    <row r="271" spans="1:96" ht="15.75" hidden="1" outlineLevel="2" x14ac:dyDescent="0.25">
      <c r="A271" s="133"/>
      <c r="B271" s="289" t="s">
        <v>383</v>
      </c>
      <c r="C271" s="290"/>
      <c r="D271" s="290"/>
      <c r="E271" s="290"/>
      <c r="F271" s="290"/>
      <c r="G271" s="290"/>
      <c r="H271" s="290"/>
      <c r="I271" s="290"/>
      <c r="J271" s="290"/>
      <c r="K271" s="290"/>
      <c r="L271" s="290"/>
      <c r="M271" s="290"/>
      <c r="N271" s="235">
        <f t="shared" si="447"/>
        <v>0</v>
      </c>
      <c r="O271" s="354"/>
      <c r="P271" s="290"/>
      <c r="Q271" s="386"/>
      <c r="R271" s="385"/>
      <c r="S271" s="290"/>
      <c r="T271" s="386"/>
      <c r="U271" s="385"/>
      <c r="V271" s="290"/>
      <c r="W271" s="386"/>
      <c r="X271" s="385"/>
      <c r="Y271" s="290"/>
      <c r="Z271" s="355"/>
      <c r="AA271" s="290"/>
      <c r="AB271" s="804"/>
      <c r="AD271" s="291"/>
      <c r="AE271" s="290"/>
      <c r="AF271" s="290"/>
      <c r="AG271" s="291"/>
      <c r="AH271" s="290"/>
      <c r="AI271" s="290"/>
      <c r="AJ271" s="291"/>
      <c r="AK271" s="290"/>
      <c r="AL271" s="290"/>
      <c r="AM271" s="291"/>
      <c r="AN271" s="290"/>
      <c r="AQ271" s="202"/>
      <c r="AZ271" s="203"/>
      <c r="BF271" s="203"/>
      <c r="BK271" s="203"/>
      <c r="BP271" s="203"/>
      <c r="BQ271" s="202"/>
      <c r="CA271" s="203"/>
      <c r="CR271" s="122"/>
    </row>
    <row r="272" spans="1:96" ht="15.75" hidden="1" outlineLevel="2" x14ac:dyDescent="0.25">
      <c r="A272" s="133"/>
      <c r="B272" s="289" t="s">
        <v>384</v>
      </c>
      <c r="C272" s="290"/>
      <c r="D272" s="290"/>
      <c r="E272" s="290"/>
      <c r="F272" s="290"/>
      <c r="G272" s="290"/>
      <c r="H272" s="290"/>
      <c r="I272" s="290"/>
      <c r="J272" s="290"/>
      <c r="K272" s="290"/>
      <c r="L272" s="290"/>
      <c r="M272" s="290"/>
      <c r="N272" s="235">
        <f t="shared" si="447"/>
        <v>0</v>
      </c>
      <c r="O272" s="354"/>
      <c r="P272" s="290"/>
      <c r="Q272" s="386"/>
      <c r="R272" s="385"/>
      <c r="S272" s="290"/>
      <c r="T272" s="386"/>
      <c r="U272" s="385"/>
      <c r="V272" s="290"/>
      <c r="W272" s="386"/>
      <c r="X272" s="385"/>
      <c r="Y272" s="290"/>
      <c r="Z272" s="355"/>
      <c r="AA272" s="290"/>
      <c r="AB272" s="804"/>
      <c r="AD272" s="291"/>
      <c r="AE272" s="290"/>
      <c r="AF272" s="290"/>
      <c r="AG272" s="291"/>
      <c r="AH272" s="290"/>
      <c r="AI272" s="290"/>
      <c r="AJ272" s="291"/>
      <c r="AK272" s="290"/>
      <c r="AL272" s="290"/>
      <c r="AM272" s="291"/>
      <c r="AN272" s="290"/>
      <c r="AQ272" s="202"/>
      <c r="AZ272" s="203"/>
      <c r="BF272" s="203"/>
      <c r="BK272" s="203"/>
      <c r="BP272" s="203"/>
      <c r="BQ272" s="202"/>
      <c r="CA272" s="203"/>
      <c r="CR272" s="122"/>
    </row>
    <row r="273" spans="1:96" ht="78.75" hidden="1" outlineLevel="2" x14ac:dyDescent="0.25">
      <c r="A273" s="133"/>
      <c r="B273" s="289" t="s">
        <v>1731</v>
      </c>
      <c r="C273" s="290"/>
      <c r="D273" s="290"/>
      <c r="E273" s="290"/>
      <c r="F273" s="290"/>
      <c r="G273" s="290"/>
      <c r="H273" s="290"/>
      <c r="I273" s="290"/>
      <c r="J273" s="290"/>
      <c r="K273" s="290"/>
      <c r="L273" s="290"/>
      <c r="M273" s="290"/>
      <c r="N273" s="235">
        <f t="shared" si="447"/>
        <v>0</v>
      </c>
      <c r="O273" s="354"/>
      <c r="P273" s="290"/>
      <c r="Q273" s="386"/>
      <c r="R273" s="385"/>
      <c r="S273" s="290"/>
      <c r="T273" s="386"/>
      <c r="U273" s="385"/>
      <c r="V273" s="290"/>
      <c r="W273" s="386"/>
      <c r="X273" s="385"/>
      <c r="Y273" s="290"/>
      <c r="Z273" s="355"/>
      <c r="AA273" s="290"/>
      <c r="AB273" s="804"/>
      <c r="AD273" s="291"/>
      <c r="AE273" s="290"/>
      <c r="AF273" s="290"/>
      <c r="AG273" s="291"/>
      <c r="AH273" s="290"/>
      <c r="AI273" s="290"/>
      <c r="AJ273" s="291"/>
      <c r="AK273" s="290"/>
      <c r="AL273" s="290"/>
      <c r="AM273" s="291"/>
      <c r="AN273" s="290"/>
      <c r="AQ273" s="202"/>
      <c r="AZ273" s="203"/>
      <c r="BF273" s="203"/>
      <c r="BK273" s="203"/>
      <c r="BP273" s="203"/>
      <c r="BQ273" s="202"/>
      <c r="CA273" s="203"/>
      <c r="CR273" s="122"/>
    </row>
    <row r="274" spans="1:96" ht="31.5" hidden="1" outlineLevel="2" x14ac:dyDescent="0.25">
      <c r="A274" s="133"/>
      <c r="B274" s="289" t="s">
        <v>333</v>
      </c>
      <c r="C274" s="290"/>
      <c r="D274" s="290"/>
      <c r="E274" s="290"/>
      <c r="F274" s="290"/>
      <c r="G274" s="290"/>
      <c r="H274" s="290"/>
      <c r="I274" s="290"/>
      <c r="J274" s="290"/>
      <c r="K274" s="290"/>
      <c r="L274" s="290"/>
      <c r="M274" s="290"/>
      <c r="N274" s="235">
        <f t="shared" si="447"/>
        <v>0</v>
      </c>
      <c r="O274" s="354"/>
      <c r="P274" s="290"/>
      <c r="Q274" s="386"/>
      <c r="R274" s="385"/>
      <c r="S274" s="290"/>
      <c r="T274" s="386"/>
      <c r="U274" s="385"/>
      <c r="V274" s="290"/>
      <c r="W274" s="386"/>
      <c r="X274" s="385"/>
      <c r="Y274" s="290"/>
      <c r="Z274" s="355"/>
      <c r="AA274" s="290"/>
      <c r="AB274" s="804"/>
      <c r="AD274" s="291"/>
      <c r="AE274" s="290"/>
      <c r="AF274" s="290"/>
      <c r="AG274" s="291"/>
      <c r="AH274" s="290"/>
      <c r="AI274" s="290"/>
      <c r="AJ274" s="291"/>
      <c r="AK274" s="290"/>
      <c r="AL274" s="290"/>
      <c r="AM274" s="291"/>
      <c r="AN274" s="290"/>
      <c r="AQ274" s="202"/>
      <c r="AZ274" s="203"/>
      <c r="BF274" s="203"/>
      <c r="BK274" s="203"/>
      <c r="BP274" s="203"/>
      <c r="BQ274" s="202"/>
      <c r="CA274" s="203"/>
      <c r="CR274" s="122"/>
    </row>
    <row r="275" spans="1:96" ht="15.75" hidden="1" outlineLevel="2" x14ac:dyDescent="0.25">
      <c r="A275" s="133"/>
      <c r="B275" s="289" t="s">
        <v>385</v>
      </c>
      <c r="C275" s="290"/>
      <c r="D275" s="290"/>
      <c r="E275" s="290"/>
      <c r="F275" s="290"/>
      <c r="G275" s="290"/>
      <c r="H275" s="290"/>
      <c r="I275" s="290"/>
      <c r="J275" s="290"/>
      <c r="K275" s="290"/>
      <c r="L275" s="290"/>
      <c r="M275" s="290"/>
      <c r="N275" s="235">
        <f t="shared" si="447"/>
        <v>0</v>
      </c>
      <c r="O275" s="354"/>
      <c r="P275" s="290"/>
      <c r="Q275" s="386"/>
      <c r="R275" s="385"/>
      <c r="S275" s="290"/>
      <c r="T275" s="386"/>
      <c r="U275" s="385"/>
      <c r="V275" s="290"/>
      <c r="W275" s="386"/>
      <c r="X275" s="385"/>
      <c r="Y275" s="290"/>
      <c r="Z275" s="355"/>
      <c r="AA275" s="290"/>
      <c r="AB275" s="804"/>
      <c r="AD275" s="291"/>
      <c r="AE275" s="290"/>
      <c r="AF275" s="290"/>
      <c r="AG275" s="291"/>
      <c r="AH275" s="290"/>
      <c r="AI275" s="290"/>
      <c r="AJ275" s="291"/>
      <c r="AK275" s="290"/>
      <c r="AL275" s="290"/>
      <c r="AM275" s="291"/>
      <c r="AN275" s="290"/>
      <c r="AQ275" s="202"/>
      <c r="AZ275" s="203"/>
      <c r="BF275" s="203"/>
      <c r="BK275" s="203"/>
      <c r="BP275" s="203"/>
      <c r="BQ275" s="202"/>
      <c r="CA275" s="203"/>
      <c r="CR275" s="122"/>
    </row>
    <row r="276" spans="1:96" ht="47.25" hidden="1" outlineLevel="2" x14ac:dyDescent="0.25">
      <c r="A276" s="133"/>
      <c r="B276" s="289" t="s">
        <v>1732</v>
      </c>
      <c r="C276" s="290"/>
      <c r="D276" s="290"/>
      <c r="E276" s="290"/>
      <c r="F276" s="290"/>
      <c r="G276" s="290"/>
      <c r="H276" s="290"/>
      <c r="I276" s="290"/>
      <c r="J276" s="290"/>
      <c r="K276" s="290"/>
      <c r="L276" s="290"/>
      <c r="M276" s="290"/>
      <c r="N276" s="235">
        <f t="shared" si="447"/>
        <v>0</v>
      </c>
      <c r="O276" s="354"/>
      <c r="P276" s="290"/>
      <c r="Q276" s="386"/>
      <c r="R276" s="385"/>
      <c r="S276" s="290"/>
      <c r="T276" s="386"/>
      <c r="U276" s="385"/>
      <c r="V276" s="290"/>
      <c r="W276" s="386"/>
      <c r="X276" s="385"/>
      <c r="Y276" s="290"/>
      <c r="Z276" s="355"/>
      <c r="AA276" s="290"/>
      <c r="AB276" s="804"/>
      <c r="AD276" s="291"/>
      <c r="AE276" s="290"/>
      <c r="AF276" s="290"/>
      <c r="AG276" s="291"/>
      <c r="AH276" s="290"/>
      <c r="AI276" s="290"/>
      <c r="AJ276" s="291"/>
      <c r="AK276" s="290"/>
      <c r="AL276" s="290"/>
      <c r="AM276" s="291"/>
      <c r="AN276" s="290"/>
      <c r="AQ276" s="202"/>
      <c r="AZ276" s="203"/>
      <c r="BF276" s="203"/>
      <c r="BK276" s="203"/>
      <c r="BP276" s="203"/>
      <c r="BQ276" s="202"/>
      <c r="CA276" s="203"/>
      <c r="CR276" s="122"/>
    </row>
    <row r="277" spans="1:96" ht="15.75" hidden="1" outlineLevel="2" x14ac:dyDescent="0.25">
      <c r="A277" s="133"/>
      <c r="B277" s="289" t="s">
        <v>202</v>
      </c>
      <c r="C277" s="290"/>
      <c r="D277" s="290"/>
      <c r="E277" s="290"/>
      <c r="F277" s="290"/>
      <c r="G277" s="290"/>
      <c r="H277" s="290"/>
      <c r="I277" s="290"/>
      <c r="J277" s="290"/>
      <c r="K277" s="290"/>
      <c r="L277" s="290"/>
      <c r="M277" s="290"/>
      <c r="N277" s="235">
        <f t="shared" si="447"/>
        <v>0</v>
      </c>
      <c r="O277" s="354"/>
      <c r="P277" s="290"/>
      <c r="Q277" s="386"/>
      <c r="R277" s="385"/>
      <c r="S277" s="290"/>
      <c r="T277" s="386"/>
      <c r="U277" s="385"/>
      <c r="V277" s="290"/>
      <c r="W277" s="386"/>
      <c r="X277" s="385"/>
      <c r="Y277" s="290"/>
      <c r="Z277" s="355"/>
      <c r="AA277" s="290"/>
      <c r="AB277" s="804"/>
      <c r="AD277" s="291"/>
      <c r="AE277" s="290"/>
      <c r="AF277" s="290"/>
      <c r="AG277" s="291"/>
      <c r="AH277" s="290"/>
      <c r="AI277" s="290"/>
      <c r="AJ277" s="291"/>
      <c r="AK277" s="290"/>
      <c r="AL277" s="290"/>
      <c r="AM277" s="291"/>
      <c r="AN277" s="290"/>
      <c r="AQ277" s="202"/>
      <c r="AZ277" s="203"/>
      <c r="BF277" s="203"/>
      <c r="BK277" s="203"/>
      <c r="BP277" s="203"/>
      <c r="BQ277" s="202"/>
      <c r="CA277" s="203"/>
      <c r="CR277" s="122"/>
    </row>
    <row r="278" spans="1:96" ht="31.5" hidden="1" outlineLevel="2" x14ac:dyDescent="0.25">
      <c r="A278" s="133"/>
      <c r="B278" s="289" t="s">
        <v>211</v>
      </c>
      <c r="C278" s="290"/>
      <c r="D278" s="290"/>
      <c r="E278" s="290"/>
      <c r="F278" s="290"/>
      <c r="G278" s="290"/>
      <c r="H278" s="290"/>
      <c r="I278" s="290"/>
      <c r="J278" s="290"/>
      <c r="K278" s="290"/>
      <c r="L278" s="290"/>
      <c r="M278" s="290"/>
      <c r="N278" s="235">
        <f t="shared" si="447"/>
        <v>0</v>
      </c>
      <c r="O278" s="354"/>
      <c r="P278" s="290"/>
      <c r="Q278" s="386"/>
      <c r="R278" s="385"/>
      <c r="S278" s="290"/>
      <c r="T278" s="386"/>
      <c r="U278" s="385"/>
      <c r="V278" s="290"/>
      <c r="W278" s="386"/>
      <c r="X278" s="385"/>
      <c r="Y278" s="290"/>
      <c r="Z278" s="355"/>
      <c r="AA278" s="290"/>
      <c r="AB278" s="804"/>
      <c r="AD278" s="291"/>
      <c r="AE278" s="290"/>
      <c r="AF278" s="290"/>
      <c r="AG278" s="291"/>
      <c r="AH278" s="290"/>
      <c r="AI278" s="290"/>
      <c r="AJ278" s="291"/>
      <c r="AK278" s="290"/>
      <c r="AL278" s="290"/>
      <c r="AM278" s="291"/>
      <c r="AN278" s="290"/>
      <c r="AQ278" s="202"/>
      <c r="AZ278" s="203"/>
      <c r="BF278" s="203"/>
      <c r="BK278" s="203"/>
      <c r="BP278" s="203"/>
      <c r="BQ278" s="202"/>
      <c r="CA278" s="203"/>
      <c r="CR278" s="122"/>
    </row>
    <row r="279" spans="1:96" ht="15.75" hidden="1" outlineLevel="2" x14ac:dyDescent="0.25">
      <c r="A279" s="133"/>
      <c r="B279" s="289" t="s">
        <v>212</v>
      </c>
      <c r="C279" s="290"/>
      <c r="D279" s="290"/>
      <c r="E279" s="290"/>
      <c r="F279" s="290"/>
      <c r="G279" s="290"/>
      <c r="H279" s="290"/>
      <c r="I279" s="290"/>
      <c r="J279" s="290"/>
      <c r="K279" s="290"/>
      <c r="L279" s="290"/>
      <c r="M279" s="290"/>
      <c r="N279" s="235">
        <f t="shared" si="447"/>
        <v>0</v>
      </c>
      <c r="O279" s="354"/>
      <c r="P279" s="290"/>
      <c r="Q279" s="386"/>
      <c r="R279" s="385"/>
      <c r="S279" s="290"/>
      <c r="T279" s="386"/>
      <c r="U279" s="385"/>
      <c r="V279" s="290"/>
      <c r="W279" s="386"/>
      <c r="X279" s="385"/>
      <c r="Y279" s="290"/>
      <c r="Z279" s="355"/>
      <c r="AA279" s="290"/>
      <c r="AB279" s="804"/>
      <c r="AD279" s="291"/>
      <c r="AE279" s="290"/>
      <c r="AF279" s="290"/>
      <c r="AG279" s="291"/>
      <c r="AH279" s="290"/>
      <c r="AI279" s="290"/>
      <c r="AJ279" s="291"/>
      <c r="AK279" s="290"/>
      <c r="AL279" s="290"/>
      <c r="AM279" s="291"/>
      <c r="AN279" s="290"/>
      <c r="AQ279" s="202"/>
      <c r="AZ279" s="203"/>
      <c r="BF279" s="203"/>
      <c r="BK279" s="203"/>
      <c r="BP279" s="203"/>
      <c r="BQ279" s="202"/>
      <c r="CA279" s="203"/>
      <c r="CR279" s="122"/>
    </row>
    <row r="280" spans="1:96" ht="31.5" hidden="1" outlineLevel="2" x14ac:dyDescent="0.25">
      <c r="A280" s="133"/>
      <c r="B280" s="289" t="s">
        <v>1733</v>
      </c>
      <c r="C280" s="290"/>
      <c r="D280" s="290"/>
      <c r="E280" s="290"/>
      <c r="F280" s="290"/>
      <c r="G280" s="290"/>
      <c r="H280" s="290"/>
      <c r="I280" s="290"/>
      <c r="J280" s="290"/>
      <c r="K280" s="290"/>
      <c r="L280" s="290"/>
      <c r="M280" s="290"/>
      <c r="N280" s="235">
        <f t="shared" si="447"/>
        <v>0</v>
      </c>
      <c r="O280" s="354"/>
      <c r="P280" s="290"/>
      <c r="Q280" s="386"/>
      <c r="R280" s="385"/>
      <c r="S280" s="290"/>
      <c r="T280" s="386"/>
      <c r="U280" s="385"/>
      <c r="V280" s="290"/>
      <c r="W280" s="386"/>
      <c r="X280" s="385"/>
      <c r="Y280" s="290"/>
      <c r="Z280" s="355"/>
      <c r="AA280" s="290"/>
      <c r="AB280" s="804"/>
      <c r="AD280" s="291"/>
      <c r="AE280" s="290"/>
      <c r="AF280" s="290"/>
      <c r="AG280" s="291"/>
      <c r="AH280" s="290"/>
      <c r="AI280" s="290"/>
      <c r="AJ280" s="291"/>
      <c r="AK280" s="290"/>
      <c r="AL280" s="290"/>
      <c r="AM280" s="291"/>
      <c r="AN280" s="290"/>
      <c r="AQ280" s="202"/>
      <c r="AZ280" s="203"/>
      <c r="BF280" s="203"/>
      <c r="BK280" s="203"/>
      <c r="BP280" s="203"/>
      <c r="BQ280" s="202"/>
      <c r="CA280" s="203"/>
      <c r="CR280" s="122"/>
    </row>
    <row r="281" spans="1:96" ht="31.5" outlineLevel="1" collapsed="1" x14ac:dyDescent="0.25">
      <c r="A281" s="134" t="s">
        <v>465</v>
      </c>
      <c r="B281" s="115" t="s">
        <v>1734</v>
      </c>
      <c r="C281" s="1031" t="s">
        <v>243</v>
      </c>
      <c r="D281" s="115"/>
      <c r="E281" s="146"/>
      <c r="F281" s="109" t="s">
        <v>326</v>
      </c>
      <c r="G281" s="109" t="s">
        <v>953</v>
      </c>
      <c r="H281" s="111" t="s">
        <v>243</v>
      </c>
      <c r="I281" s="111" t="s">
        <v>243</v>
      </c>
      <c r="J281" s="111" t="s">
        <v>243</v>
      </c>
      <c r="K281" s="111" t="s">
        <v>243</v>
      </c>
      <c r="L281" s="111" t="s">
        <v>243</v>
      </c>
      <c r="M281" s="109">
        <v>2</v>
      </c>
      <c r="N281" s="235">
        <f t="shared" si="447"/>
        <v>0</v>
      </c>
      <c r="O281" s="200" t="str">
        <f t="shared" ref="O281" si="462">IF(AC281="ДА",$M281,"")</f>
        <v/>
      </c>
      <c r="P281" s="144"/>
      <c r="Q281" s="357">
        <f>IF(AC281="ДА",ROUNDUP(O281/5,0),0)</f>
        <v>0</v>
      </c>
      <c r="R281" s="356" t="str">
        <f>IF(AF281="ДА",$M281,"")</f>
        <v/>
      </c>
      <c r="S281" s="144"/>
      <c r="T281" s="357">
        <f>IF(AF281="ДА",ROUNDUP(R281/5,0),0)</f>
        <v>0</v>
      </c>
      <c r="U281" s="356" t="str">
        <f>IF(AI281="ДА",$M281,"")</f>
        <v/>
      </c>
      <c r="V281" s="144"/>
      <c r="W281" s="357">
        <f>IF(AI281="ДА",ROUNDUP(U281/5,0),0)</f>
        <v>0</v>
      </c>
      <c r="X281" s="356" t="str">
        <f>IF(AL281="ДА",$M281,"")</f>
        <v/>
      </c>
      <c r="Y281" s="144"/>
      <c r="Z281" s="201">
        <f>IF(AL281="ДА",ROUNDUP(X281/5,0),0)</f>
        <v>0</v>
      </c>
      <c r="AA281" s="388" t="str">
        <f>IF(OR(AC281="ДА",AF281="ДА",AI281="ДА",AL281="ДА"),"ДА","НЕТ")</f>
        <v>НЕТ</v>
      </c>
      <c r="AB281" s="388"/>
      <c r="AC281" s="37" t="str">
        <f>IF(AC$8=$BT$9,$BT281,IF(AC$8=$BS$9,$BS281,IF(AC$8=$BU$9,$BU281,IF(AC$8=$BV$9,$BV281,IF(AC$8=$BW$9,$BW281,IF(AC$8=$BX$9,$BX281,IF(AC$8=$BY$9,$BY281,IF(AC$8=$BZ$9,$BZ281,IF(AC$8=$CA$9,$CA281,IF(AC$8=$CC$9,$CC281,IF(AC$8=$CD$9,$CD281,IF(AC$8=$CE$9,$CE281,IF(AC$8=$CF$9,$CF281,IF(AC$8=$CG$9,$CG281,IF(AC$8=$CH$9,$CH281,IF(AC$8=$CI$9,$CI281,IF(AC$8=$CJ$9,$CJ281,IF(AC$8=$CK$9,$CK281,IF(AC$8=$CL$9,$CL281,IF(AC$8=$CM$9,$CM281,IF(AC$8=$CN$9,$CN281,IF(AC$8=$CO$9,$CO281,IF(AC$8=$CP$9,$CP281,IF(AC$8=$CQ$9,$CQ281,"НЕТ"))))))))))))))))))))))))</f>
        <v>НЕТ</v>
      </c>
      <c r="AD281" s="37" t="str">
        <f>IF(AC281="НЕТ","Не требуется",$CR281)</f>
        <v>Не требуется</v>
      </c>
      <c r="AE281" s="37"/>
      <c r="AF281" s="37" t="str">
        <f t="shared" ref="AF281:AL281" si="463">IF(AF$8=$BT$9,$BT281,IF(AF$8=$BS$9,$BS281,IF(AF$8=$BU$9,$BU281,IF(AF$8=$BV$9,$BV281,IF(AF$8=$BW$9,$BW281,IF(AF$8=$BX$9,$BX281,IF(AF$8=$BY$9,$BY281,IF(AF$8=$BZ$9,$BZ281,IF(AF$8=$CA$9,$CA281,IF(AF$8=$CC$9,$CC281,IF(AF$8=$CD$9,$CD281,IF(AF$8=$CE$9,$CE281,IF(AF$8=$CF$9,$CF281,IF(AF$8=$CG$9,$CG281,IF(AF$8=$CH$9,$CH281,IF(AF$8=$CI$9,$CI281,IF(AF$8=$CJ$9,$CJ281,IF(AF$8=$CK$9,$CK281,IF(AF$8=$CL$9,$CL281,IF(AF$8=$CM$9,$CM281,IF(AF$8=$CN$9,$CN281,IF(AF$8=$CO$9,$CO281,IF(AF$8=$CP$9,$CP281,IF(AF$8=$CQ$9,$CQ281,"НЕТ"))))))))))))))))))))))))</f>
        <v>НЕТ</v>
      </c>
      <c r="AG281" s="37" t="str">
        <f t="shared" si="463"/>
        <v>НЕТ</v>
      </c>
      <c r="AH281" s="37" t="str">
        <f t="shared" si="463"/>
        <v>НЕТ</v>
      </c>
      <c r="AI281" s="37" t="str">
        <f t="shared" si="463"/>
        <v>НЕТ</v>
      </c>
      <c r="AJ281" s="37" t="str">
        <f t="shared" si="463"/>
        <v>НЕТ</v>
      </c>
      <c r="AK281" s="37" t="str">
        <f t="shared" si="463"/>
        <v>НЕТ</v>
      </c>
      <c r="AL281" s="37" t="str">
        <f t="shared" si="463"/>
        <v>НЕТ</v>
      </c>
      <c r="AM281" s="37" t="str">
        <f>IF(AL281="НЕТ","Не требуется",$CR281)</f>
        <v>Не требуется</v>
      </c>
      <c r="AN281" s="37"/>
      <c r="AQ281" s="200"/>
      <c r="AR281" s="230"/>
      <c r="AS281" s="144" t="str">
        <f t="shared" ref="AS281" si="464">IF(BS281="ДА",$M281,"")</f>
        <v/>
      </c>
      <c r="AT281" s="144" t="str">
        <f t="shared" ref="AT281" si="465">IF(BT281="ДА",$M281,"")</f>
        <v/>
      </c>
      <c r="AU281" s="144" t="str">
        <f t="shared" ref="AU281" si="466">IF(BU281="ДА",$M281,"")</f>
        <v/>
      </c>
      <c r="AV281" s="144" t="str">
        <f t="shared" ref="AV281" si="467">IF(BV281="ДА",$M281,"")</f>
        <v/>
      </c>
      <c r="AW281" s="144" t="str">
        <f>IF(BX281="ДА",$M281,"")</f>
        <v/>
      </c>
      <c r="AX281" s="144" t="str">
        <f>IF(BY281="ДА",$M281,"")</f>
        <v/>
      </c>
      <c r="AY281" s="144" t="str">
        <f>IF(BZ281="ДА",$M281,"")</f>
        <v/>
      </c>
      <c r="AZ281" s="201" t="str">
        <f>IF(CA281="ДА",$M281,"")</f>
        <v/>
      </c>
      <c r="BA281" s="235"/>
      <c r="BB281" s="144" t="str">
        <f t="shared" ref="BB281:BP281" si="468">IF(CC281="ДА",$M281,"")</f>
        <v/>
      </c>
      <c r="BC281" s="144" t="str">
        <f t="shared" si="468"/>
        <v/>
      </c>
      <c r="BD281" s="144" t="str">
        <f t="shared" si="468"/>
        <v/>
      </c>
      <c r="BE281" s="144">
        <f t="shared" si="468"/>
        <v>2</v>
      </c>
      <c r="BF281" s="201">
        <f t="shared" si="468"/>
        <v>2</v>
      </c>
      <c r="BG281" s="144" t="str">
        <f t="shared" si="468"/>
        <v/>
      </c>
      <c r="BH281" s="144" t="str">
        <f t="shared" si="468"/>
        <v/>
      </c>
      <c r="BI281" s="144" t="str">
        <f t="shared" si="468"/>
        <v/>
      </c>
      <c r="BJ281" s="144" t="str">
        <f t="shared" si="468"/>
        <v/>
      </c>
      <c r="BK281" s="201" t="str">
        <f t="shared" si="468"/>
        <v/>
      </c>
      <c r="BL281" s="144" t="str">
        <f t="shared" si="468"/>
        <v/>
      </c>
      <c r="BM281" s="144" t="str">
        <f t="shared" si="468"/>
        <v/>
      </c>
      <c r="BN281" s="144" t="str">
        <f t="shared" si="468"/>
        <v/>
      </c>
      <c r="BO281" s="144" t="str">
        <f t="shared" si="468"/>
        <v/>
      </c>
      <c r="BP281" s="201" t="str">
        <f t="shared" si="468"/>
        <v/>
      </c>
      <c r="BQ281" s="209"/>
      <c r="BR281" s="388"/>
      <c r="BS281" s="37" t="s">
        <v>255</v>
      </c>
      <c r="BT281" s="37" t="s">
        <v>255</v>
      </c>
      <c r="BU281" s="37" t="s">
        <v>255</v>
      </c>
      <c r="BV281" s="37" t="s">
        <v>255</v>
      </c>
      <c r="BW281" s="37" t="s">
        <v>255</v>
      </c>
      <c r="BX281" s="37" t="s">
        <v>255</v>
      </c>
      <c r="BY281" s="37" t="s">
        <v>255</v>
      </c>
      <c r="BZ281" s="37" t="s">
        <v>255</v>
      </c>
      <c r="CA281" s="37" t="s">
        <v>255</v>
      </c>
      <c r="CB281" s="223"/>
      <c r="CC281" s="37" t="s">
        <v>255</v>
      </c>
      <c r="CD281" s="37" t="s">
        <v>255</v>
      </c>
      <c r="CE281" s="37" t="s">
        <v>255</v>
      </c>
      <c r="CF281" s="37" t="s">
        <v>246</v>
      </c>
      <c r="CG281" s="37" t="s">
        <v>246</v>
      </c>
      <c r="CH281" s="37" t="s">
        <v>255</v>
      </c>
      <c r="CI281" s="37" t="s">
        <v>255</v>
      </c>
      <c r="CJ281" s="37" t="s">
        <v>255</v>
      </c>
      <c r="CK281" s="37" t="s">
        <v>255</v>
      </c>
      <c r="CL281" s="37" t="s">
        <v>255</v>
      </c>
      <c r="CM281" s="37" t="s">
        <v>255</v>
      </c>
      <c r="CN281" s="37" t="s">
        <v>255</v>
      </c>
      <c r="CO281" s="37" t="s">
        <v>255</v>
      </c>
      <c r="CP281" s="37" t="s">
        <v>255</v>
      </c>
      <c r="CQ281" s="37" t="s">
        <v>255</v>
      </c>
      <c r="CR281" s="123" t="s">
        <v>302</v>
      </c>
    </row>
    <row r="282" spans="1:96" ht="15.75" hidden="1" outlineLevel="2" x14ac:dyDescent="0.25">
      <c r="A282" s="133"/>
      <c r="B282" s="289" t="s">
        <v>386</v>
      </c>
      <c r="C282" s="1036"/>
      <c r="D282" s="290"/>
      <c r="E282" s="290"/>
      <c r="F282" s="290"/>
      <c r="G282" s="290"/>
      <c r="H282" s="290"/>
      <c r="I282" s="290"/>
      <c r="J282" s="290"/>
      <c r="K282" s="290"/>
      <c r="L282" s="290"/>
      <c r="M282" s="290"/>
      <c r="N282" s="235">
        <f t="shared" si="447"/>
        <v>0</v>
      </c>
      <c r="O282" s="354"/>
      <c r="P282" s="290"/>
      <c r="Q282" s="386"/>
      <c r="R282" s="385"/>
      <c r="S282" s="290"/>
      <c r="T282" s="386"/>
      <c r="U282" s="385"/>
      <c r="V282" s="290"/>
      <c r="W282" s="386"/>
      <c r="X282" s="385"/>
      <c r="Y282" s="290"/>
      <c r="Z282" s="355"/>
      <c r="AA282" s="290"/>
      <c r="AB282" s="804"/>
      <c r="AD282" s="291"/>
      <c r="AE282" s="290"/>
      <c r="AF282" s="290"/>
      <c r="AG282" s="291"/>
      <c r="AH282" s="290"/>
      <c r="AI282" s="290"/>
      <c r="AJ282" s="291"/>
      <c r="AK282" s="290"/>
      <c r="AL282" s="290"/>
      <c r="AM282" s="291"/>
      <c r="AN282" s="290"/>
      <c r="AQ282" s="202"/>
      <c r="AZ282" s="203"/>
      <c r="BF282" s="203"/>
      <c r="BK282" s="203"/>
      <c r="BP282" s="203"/>
      <c r="BQ282" s="202"/>
      <c r="CA282" s="203"/>
      <c r="CR282" s="122"/>
    </row>
    <row r="283" spans="1:96" ht="15.75" hidden="1" outlineLevel="2" x14ac:dyDescent="0.25">
      <c r="A283" s="133"/>
      <c r="B283" s="289" t="s">
        <v>205</v>
      </c>
      <c r="C283" s="1036"/>
      <c r="D283" s="290"/>
      <c r="E283" s="290"/>
      <c r="F283" s="290"/>
      <c r="G283" s="290"/>
      <c r="H283" s="290"/>
      <c r="I283" s="290"/>
      <c r="J283" s="290"/>
      <c r="K283" s="290"/>
      <c r="L283" s="290"/>
      <c r="M283" s="290"/>
      <c r="N283" s="235">
        <f t="shared" si="447"/>
        <v>0</v>
      </c>
      <c r="O283" s="354"/>
      <c r="P283" s="290"/>
      <c r="Q283" s="386"/>
      <c r="R283" s="385"/>
      <c r="S283" s="290"/>
      <c r="T283" s="386"/>
      <c r="U283" s="385"/>
      <c r="V283" s="290"/>
      <c r="W283" s="386"/>
      <c r="X283" s="385"/>
      <c r="Y283" s="290"/>
      <c r="Z283" s="355"/>
      <c r="AA283" s="290"/>
      <c r="AB283" s="804"/>
      <c r="AD283" s="291"/>
      <c r="AE283" s="290"/>
      <c r="AF283" s="290"/>
      <c r="AG283" s="291"/>
      <c r="AH283" s="290"/>
      <c r="AI283" s="290"/>
      <c r="AJ283" s="291"/>
      <c r="AK283" s="290"/>
      <c r="AL283" s="290"/>
      <c r="AM283" s="291"/>
      <c r="AN283" s="290"/>
      <c r="AQ283" s="202"/>
      <c r="AZ283" s="203"/>
      <c r="BF283" s="203"/>
      <c r="BK283" s="203"/>
      <c r="BP283" s="203"/>
      <c r="BQ283" s="202"/>
      <c r="CA283" s="203"/>
      <c r="CR283" s="122"/>
    </row>
    <row r="284" spans="1:96" ht="31.5" hidden="1" outlineLevel="2" x14ac:dyDescent="0.25">
      <c r="A284" s="133"/>
      <c r="B284" s="289" t="s">
        <v>1735</v>
      </c>
      <c r="C284" s="1036"/>
      <c r="D284" s="290"/>
      <c r="E284" s="290"/>
      <c r="F284" s="290"/>
      <c r="G284" s="290"/>
      <c r="H284" s="290"/>
      <c r="I284" s="290"/>
      <c r="J284" s="290"/>
      <c r="K284" s="290"/>
      <c r="L284" s="290"/>
      <c r="M284" s="290"/>
      <c r="N284" s="235">
        <f t="shared" si="447"/>
        <v>0</v>
      </c>
      <c r="O284" s="354"/>
      <c r="P284" s="290"/>
      <c r="Q284" s="386"/>
      <c r="R284" s="385"/>
      <c r="S284" s="290"/>
      <c r="T284" s="386"/>
      <c r="U284" s="385"/>
      <c r="V284" s="290"/>
      <c r="W284" s="386"/>
      <c r="X284" s="385"/>
      <c r="Y284" s="290"/>
      <c r="Z284" s="355"/>
      <c r="AA284" s="290"/>
      <c r="AB284" s="804"/>
      <c r="AD284" s="291"/>
      <c r="AE284" s="290"/>
      <c r="AF284" s="290"/>
      <c r="AG284" s="291"/>
      <c r="AH284" s="290"/>
      <c r="AI284" s="290"/>
      <c r="AJ284" s="291"/>
      <c r="AK284" s="290"/>
      <c r="AL284" s="290"/>
      <c r="AM284" s="291"/>
      <c r="AN284" s="290"/>
      <c r="AQ284" s="202"/>
      <c r="AZ284" s="203"/>
      <c r="BF284" s="203"/>
      <c r="BK284" s="203"/>
      <c r="BP284" s="203"/>
      <c r="BQ284" s="202"/>
      <c r="CA284" s="203"/>
      <c r="CR284" s="122"/>
    </row>
    <row r="285" spans="1:96" ht="30" outlineLevel="1" collapsed="1" x14ac:dyDescent="0.25">
      <c r="A285" s="134" t="s">
        <v>466</v>
      </c>
      <c r="B285" s="115" t="s">
        <v>195</v>
      </c>
      <c r="C285" s="1031" t="s">
        <v>243</v>
      </c>
      <c r="D285" s="115"/>
      <c r="E285" s="146"/>
      <c r="F285" s="109" t="s">
        <v>326</v>
      </c>
      <c r="G285" s="109" t="s">
        <v>953</v>
      </c>
      <c r="H285" s="111" t="s">
        <v>243</v>
      </c>
      <c r="I285" s="111" t="s">
        <v>243</v>
      </c>
      <c r="J285" s="111" t="s">
        <v>243</v>
      </c>
      <c r="K285" s="111" t="s">
        <v>243</v>
      </c>
      <c r="L285" s="111" t="s">
        <v>243</v>
      </c>
      <c r="M285" s="109">
        <v>8</v>
      </c>
      <c r="N285" s="235">
        <f t="shared" si="447"/>
        <v>0</v>
      </c>
      <c r="O285" s="200" t="str">
        <f t="shared" ref="O285" si="469">IF(AC285="ДА",$M285,"")</f>
        <v/>
      </c>
      <c r="P285" s="144"/>
      <c r="Q285" s="357">
        <f>IF(AC285="ДА",ROUNDUP(O285/5,0),0)</f>
        <v>0</v>
      </c>
      <c r="R285" s="356" t="str">
        <f>IF(AF285="ДА",$M285,"")</f>
        <v/>
      </c>
      <c r="S285" s="144"/>
      <c r="T285" s="357">
        <f>IF(AF285="ДА",ROUNDUP(R285/5,0),0)</f>
        <v>0</v>
      </c>
      <c r="U285" s="356" t="str">
        <f>IF(AI285="ДА",$M285,"")</f>
        <v/>
      </c>
      <c r="V285" s="144"/>
      <c r="W285" s="357">
        <f>IF(AI285="ДА",ROUNDUP(U285/5,0),0)</f>
        <v>0</v>
      </c>
      <c r="X285" s="356" t="str">
        <f>IF(AL285="ДА",$M285,"")</f>
        <v/>
      </c>
      <c r="Y285" s="144"/>
      <c r="Z285" s="201">
        <f>IF(AL285="ДА",ROUNDUP(X285/5,0),0)</f>
        <v>0</v>
      </c>
      <c r="AA285" s="388" t="str">
        <f>IF(OR(AC285="ДА",AF285="ДА",AI285="ДА",AL285="ДА"),"ДА","НЕТ")</f>
        <v>НЕТ</v>
      </c>
      <c r="AB285" s="388"/>
      <c r="AC285" s="37" t="str">
        <f>IF(AC$8=$BT$9,$BT285,IF(AC$8=$BS$9,$BS285,IF(AC$8=$BU$9,$BU285,IF(AC$8=$BV$9,$BV285,IF(AC$8=$BW$9,$BW285,IF(AC$8=$BX$9,$BX285,IF(AC$8=$BY$9,$BY285,IF(AC$8=$BZ$9,$BZ285,IF(AC$8=$CA$9,$CA285,IF(AC$8=$CC$9,$CC285,IF(AC$8=$CD$9,$CD285,IF(AC$8=$CE$9,$CE285,IF(AC$8=$CF$9,$CF285,IF(AC$8=$CG$9,$CG285,IF(AC$8=$CH$9,$CH285,IF(AC$8=$CI$9,$CI285,IF(AC$8=$CJ$9,$CJ285,IF(AC$8=$CK$9,$CK285,IF(AC$8=$CL$9,$CL285,IF(AC$8=$CM$9,$CM285,IF(AC$8=$CN$9,$CN285,IF(AC$8=$CO$9,$CO285,IF(AC$8=$CP$9,$CP285,IF(AC$8=$CQ$9,$CQ285,"НЕТ"))))))))))))))))))))))))</f>
        <v>НЕТ</v>
      </c>
      <c r="AD285" s="37" t="str">
        <f>IF(AC285="НЕТ","Не требуется",$CR285)</f>
        <v>Не требуется</v>
      </c>
      <c r="AE285" s="37"/>
      <c r="AF285" s="37" t="str">
        <f t="shared" ref="AF285:AL285" si="470">IF(AF$8=$BT$9,$BT285,IF(AF$8=$BS$9,$BS285,IF(AF$8=$BU$9,$BU285,IF(AF$8=$BV$9,$BV285,IF(AF$8=$BW$9,$BW285,IF(AF$8=$BX$9,$BX285,IF(AF$8=$BY$9,$BY285,IF(AF$8=$BZ$9,$BZ285,IF(AF$8=$CA$9,$CA285,IF(AF$8=$CC$9,$CC285,IF(AF$8=$CD$9,$CD285,IF(AF$8=$CE$9,$CE285,IF(AF$8=$CF$9,$CF285,IF(AF$8=$CG$9,$CG285,IF(AF$8=$CH$9,$CH285,IF(AF$8=$CI$9,$CI285,IF(AF$8=$CJ$9,$CJ285,IF(AF$8=$CK$9,$CK285,IF(AF$8=$CL$9,$CL285,IF(AF$8=$CM$9,$CM285,IF(AF$8=$CN$9,$CN285,IF(AF$8=$CO$9,$CO285,IF(AF$8=$CP$9,$CP285,IF(AF$8=$CQ$9,$CQ285,"НЕТ"))))))))))))))))))))))))</f>
        <v>НЕТ</v>
      </c>
      <c r="AG285" s="37" t="str">
        <f t="shared" si="470"/>
        <v>НЕТ</v>
      </c>
      <c r="AH285" s="37" t="str">
        <f t="shared" si="470"/>
        <v>НЕТ</v>
      </c>
      <c r="AI285" s="37" t="str">
        <f t="shared" si="470"/>
        <v>НЕТ</v>
      </c>
      <c r="AJ285" s="37" t="str">
        <f t="shared" si="470"/>
        <v>НЕТ</v>
      </c>
      <c r="AK285" s="37" t="str">
        <f t="shared" si="470"/>
        <v>НЕТ</v>
      </c>
      <c r="AL285" s="37" t="str">
        <f t="shared" si="470"/>
        <v>НЕТ</v>
      </c>
      <c r="AM285" s="37" t="str">
        <f>IF(AL285="НЕТ","Не требуется",$CR285)</f>
        <v>Не требуется</v>
      </c>
      <c r="AN285" s="37"/>
      <c r="AQ285" s="200"/>
      <c r="AR285" s="230"/>
      <c r="AS285" s="144" t="str">
        <f t="shared" ref="AS285" si="471">IF(BS285="ДА",$M285,"")</f>
        <v/>
      </c>
      <c r="AT285" s="144" t="str">
        <f t="shared" ref="AT285" si="472">IF(BT285="ДА",$M285,"")</f>
        <v/>
      </c>
      <c r="AU285" s="144" t="str">
        <f t="shared" ref="AU285" si="473">IF(BU285="ДА",$M285,"")</f>
        <v/>
      </c>
      <c r="AV285" s="144" t="str">
        <f t="shared" ref="AV285" si="474">IF(BV285="ДА",$M285,"")</f>
        <v/>
      </c>
      <c r="AW285" s="144" t="str">
        <f>IF(BX285="ДА",$M285,"")</f>
        <v/>
      </c>
      <c r="AX285" s="144" t="str">
        <f>IF(BY285="ДА",$M285,"")</f>
        <v/>
      </c>
      <c r="AY285" s="144" t="str">
        <f>IF(BZ285="ДА",$M285,"")</f>
        <v/>
      </c>
      <c r="AZ285" s="201" t="str">
        <f>IF(CA285="ДА",$M285,"")</f>
        <v/>
      </c>
      <c r="BA285" s="235"/>
      <c r="BB285" s="144" t="str">
        <f t="shared" ref="BB285:BP285" si="475">IF(CC285="ДА",$M285,"")</f>
        <v/>
      </c>
      <c r="BC285" s="144" t="str">
        <f t="shared" si="475"/>
        <v/>
      </c>
      <c r="BD285" s="144" t="str">
        <f t="shared" si="475"/>
        <v/>
      </c>
      <c r="BE285" s="144" t="str">
        <f t="shared" si="475"/>
        <v/>
      </c>
      <c r="BF285" s="201" t="str">
        <f t="shared" si="475"/>
        <v/>
      </c>
      <c r="BG285" s="144" t="str">
        <f t="shared" si="475"/>
        <v/>
      </c>
      <c r="BH285" s="144" t="str">
        <f t="shared" si="475"/>
        <v/>
      </c>
      <c r="BI285" s="144" t="str">
        <f t="shared" si="475"/>
        <v/>
      </c>
      <c r="BJ285" s="144" t="str">
        <f t="shared" si="475"/>
        <v/>
      </c>
      <c r="BK285" s="201" t="str">
        <f t="shared" si="475"/>
        <v/>
      </c>
      <c r="BL285" s="144" t="str">
        <f t="shared" si="475"/>
        <v/>
      </c>
      <c r="BM285" s="144" t="str">
        <f t="shared" si="475"/>
        <v/>
      </c>
      <c r="BN285" s="144" t="str">
        <f t="shared" si="475"/>
        <v/>
      </c>
      <c r="BO285" s="144" t="str">
        <f t="shared" si="475"/>
        <v/>
      </c>
      <c r="BP285" s="201" t="str">
        <f t="shared" si="475"/>
        <v/>
      </c>
      <c r="BQ285" s="209"/>
      <c r="BR285" s="388"/>
      <c r="BS285" s="37" t="s">
        <v>255</v>
      </c>
      <c r="BT285" s="37" t="s">
        <v>255</v>
      </c>
      <c r="BU285" s="37" t="s">
        <v>255</v>
      </c>
      <c r="BV285" s="37" t="s">
        <v>255</v>
      </c>
      <c r="BW285" s="37" t="s">
        <v>255</v>
      </c>
      <c r="BX285" s="37" t="s">
        <v>255</v>
      </c>
      <c r="BY285" s="37" t="s">
        <v>255</v>
      </c>
      <c r="BZ285" s="37" t="s">
        <v>255</v>
      </c>
      <c r="CA285" s="37" t="s">
        <v>255</v>
      </c>
      <c r="CB285" s="223"/>
      <c r="CC285" s="37" t="s">
        <v>255</v>
      </c>
      <c r="CD285" s="37" t="s">
        <v>255</v>
      </c>
      <c r="CE285" s="37" t="s">
        <v>255</v>
      </c>
      <c r="CF285" s="37" t="s">
        <v>255</v>
      </c>
      <c r="CG285" s="37" t="s">
        <v>255</v>
      </c>
      <c r="CH285" s="37" t="s">
        <v>255</v>
      </c>
      <c r="CI285" s="37" t="s">
        <v>255</v>
      </c>
      <c r="CJ285" s="37" t="s">
        <v>255</v>
      </c>
      <c r="CK285" s="37" t="s">
        <v>255</v>
      </c>
      <c r="CL285" s="37" t="s">
        <v>255</v>
      </c>
      <c r="CM285" s="37" t="s">
        <v>255</v>
      </c>
      <c r="CN285" s="37" t="s">
        <v>255</v>
      </c>
      <c r="CO285" s="37" t="s">
        <v>255</v>
      </c>
      <c r="CP285" s="37" t="s">
        <v>255</v>
      </c>
      <c r="CQ285" s="37" t="s">
        <v>255</v>
      </c>
      <c r="CR285" s="123" t="s">
        <v>302</v>
      </c>
    </row>
    <row r="286" spans="1:96" ht="63" hidden="1" outlineLevel="2" x14ac:dyDescent="0.25">
      <c r="A286" s="133"/>
      <c r="B286" s="289" t="s">
        <v>1736</v>
      </c>
      <c r="C286" s="1036"/>
      <c r="D286" s="290"/>
      <c r="E286" s="290"/>
      <c r="F286" s="290"/>
      <c r="G286" s="290"/>
      <c r="H286" s="290"/>
      <c r="I286" s="290"/>
      <c r="J286" s="290"/>
      <c r="K286" s="290"/>
      <c r="L286" s="290"/>
      <c r="M286" s="290"/>
      <c r="N286" s="235">
        <f t="shared" si="447"/>
        <v>0</v>
      </c>
      <c r="O286" s="354"/>
      <c r="P286" s="290"/>
      <c r="Q286" s="386"/>
      <c r="R286" s="385"/>
      <c r="S286" s="290"/>
      <c r="T286" s="386"/>
      <c r="U286" s="385"/>
      <c r="V286" s="290"/>
      <c r="W286" s="386"/>
      <c r="X286" s="385"/>
      <c r="Y286" s="290"/>
      <c r="Z286" s="355"/>
      <c r="AA286" s="290"/>
      <c r="AB286" s="804"/>
      <c r="AD286" s="291"/>
      <c r="AE286" s="290"/>
      <c r="AF286" s="290"/>
      <c r="AG286" s="291"/>
      <c r="AH286" s="290"/>
      <c r="AI286" s="290"/>
      <c r="AJ286" s="291"/>
      <c r="AK286" s="290"/>
      <c r="AL286" s="290"/>
      <c r="AM286" s="291"/>
      <c r="AN286" s="290"/>
      <c r="AQ286" s="202"/>
      <c r="AZ286" s="203"/>
      <c r="BF286" s="203"/>
      <c r="BK286" s="203"/>
      <c r="BP286" s="203"/>
      <c r="BQ286" s="202"/>
      <c r="CA286" s="203"/>
      <c r="CR286" s="122"/>
    </row>
    <row r="287" spans="1:96" ht="78.75" hidden="1" outlineLevel="2" x14ac:dyDescent="0.25">
      <c r="A287" s="133"/>
      <c r="B287" s="289" t="s">
        <v>1737</v>
      </c>
      <c r="C287" s="1036"/>
      <c r="D287" s="290"/>
      <c r="E287" s="290"/>
      <c r="F287" s="290"/>
      <c r="G287" s="290"/>
      <c r="H287" s="290"/>
      <c r="I287" s="290"/>
      <c r="J287" s="290"/>
      <c r="K287" s="290"/>
      <c r="L287" s="290"/>
      <c r="M287" s="290"/>
      <c r="N287" s="235">
        <f t="shared" si="447"/>
        <v>0</v>
      </c>
      <c r="O287" s="354"/>
      <c r="P287" s="290"/>
      <c r="Q287" s="386"/>
      <c r="R287" s="385"/>
      <c r="S287" s="290"/>
      <c r="T287" s="386"/>
      <c r="U287" s="385"/>
      <c r="V287" s="290"/>
      <c r="W287" s="386"/>
      <c r="X287" s="385"/>
      <c r="Y287" s="290"/>
      <c r="Z287" s="355"/>
      <c r="AA287" s="290"/>
      <c r="AB287" s="804"/>
      <c r="AD287" s="291"/>
      <c r="AE287" s="290"/>
      <c r="AF287" s="290"/>
      <c r="AG287" s="291"/>
      <c r="AH287" s="290"/>
      <c r="AI287" s="290"/>
      <c r="AJ287" s="291"/>
      <c r="AK287" s="290"/>
      <c r="AL287" s="290"/>
      <c r="AM287" s="291"/>
      <c r="AN287" s="290"/>
      <c r="AQ287" s="202"/>
      <c r="AZ287" s="203"/>
      <c r="BF287" s="203"/>
      <c r="BK287" s="203"/>
      <c r="BP287" s="203"/>
      <c r="BQ287" s="202"/>
      <c r="CA287" s="203"/>
      <c r="CR287" s="122"/>
    </row>
    <row r="288" spans="1:96" ht="15.75" hidden="1" outlineLevel="2" x14ac:dyDescent="0.25">
      <c r="A288" s="133"/>
      <c r="B288" s="289" t="s">
        <v>207</v>
      </c>
      <c r="C288" s="1036"/>
      <c r="D288" s="290"/>
      <c r="E288" s="290"/>
      <c r="F288" s="290"/>
      <c r="G288" s="290"/>
      <c r="H288" s="290"/>
      <c r="I288" s="290"/>
      <c r="J288" s="290"/>
      <c r="K288" s="290"/>
      <c r="L288" s="290"/>
      <c r="M288" s="290"/>
      <c r="N288" s="235">
        <f t="shared" si="447"/>
        <v>0</v>
      </c>
      <c r="O288" s="354"/>
      <c r="P288" s="290"/>
      <c r="Q288" s="386"/>
      <c r="R288" s="385"/>
      <c r="S288" s="290"/>
      <c r="T288" s="386"/>
      <c r="U288" s="385"/>
      <c r="V288" s="290"/>
      <c r="W288" s="386"/>
      <c r="X288" s="385"/>
      <c r="Y288" s="290"/>
      <c r="Z288" s="355"/>
      <c r="AA288" s="290"/>
      <c r="AB288" s="804"/>
      <c r="AD288" s="291"/>
      <c r="AE288" s="290"/>
      <c r="AF288" s="290"/>
      <c r="AG288" s="291"/>
      <c r="AH288" s="290"/>
      <c r="AI288" s="290"/>
      <c r="AJ288" s="291"/>
      <c r="AK288" s="290"/>
      <c r="AL288" s="290"/>
      <c r="AM288" s="291"/>
      <c r="AN288" s="290"/>
      <c r="AQ288" s="202"/>
      <c r="AZ288" s="203"/>
      <c r="BF288" s="203"/>
      <c r="BK288" s="203"/>
      <c r="BP288" s="203"/>
      <c r="BQ288" s="202"/>
      <c r="CA288" s="203"/>
      <c r="CR288" s="122"/>
    </row>
    <row r="289" spans="1:96" ht="31.5" hidden="1" outlineLevel="2" x14ac:dyDescent="0.25">
      <c r="A289" s="133"/>
      <c r="B289" s="289" t="s">
        <v>387</v>
      </c>
      <c r="C289" s="1036"/>
      <c r="D289" s="290"/>
      <c r="E289" s="290"/>
      <c r="F289" s="290"/>
      <c r="G289" s="290"/>
      <c r="H289" s="290"/>
      <c r="I289" s="290"/>
      <c r="J289" s="290"/>
      <c r="K289" s="290"/>
      <c r="L289" s="290"/>
      <c r="M289" s="290"/>
      <c r="N289" s="235">
        <f t="shared" si="447"/>
        <v>0</v>
      </c>
      <c r="O289" s="354"/>
      <c r="P289" s="290"/>
      <c r="Q289" s="386"/>
      <c r="R289" s="385"/>
      <c r="S289" s="290"/>
      <c r="T289" s="386"/>
      <c r="U289" s="385"/>
      <c r="V289" s="290"/>
      <c r="W289" s="386"/>
      <c r="X289" s="385"/>
      <c r="Y289" s="290"/>
      <c r="Z289" s="355"/>
      <c r="AA289" s="290"/>
      <c r="AB289" s="804"/>
      <c r="AD289" s="291"/>
      <c r="AE289" s="290"/>
      <c r="AF289" s="290"/>
      <c r="AG289" s="291"/>
      <c r="AH289" s="290"/>
      <c r="AI289" s="290"/>
      <c r="AJ289" s="291"/>
      <c r="AK289" s="290"/>
      <c r="AL289" s="290"/>
      <c r="AM289" s="291"/>
      <c r="AN289" s="290"/>
      <c r="AQ289" s="202"/>
      <c r="AZ289" s="203"/>
      <c r="BF289" s="203"/>
      <c r="BK289" s="203"/>
      <c r="BP289" s="203"/>
      <c r="BQ289" s="202"/>
      <c r="CA289" s="203"/>
      <c r="CR289" s="122"/>
    </row>
    <row r="290" spans="1:96" ht="47.25" hidden="1" outlineLevel="2" x14ac:dyDescent="0.25">
      <c r="A290" s="133"/>
      <c r="B290" s="289" t="s">
        <v>388</v>
      </c>
      <c r="C290" s="1036"/>
      <c r="D290" s="290"/>
      <c r="E290" s="290"/>
      <c r="F290" s="290"/>
      <c r="G290" s="290"/>
      <c r="H290" s="290"/>
      <c r="I290" s="290"/>
      <c r="J290" s="290"/>
      <c r="K290" s="290"/>
      <c r="L290" s="290"/>
      <c r="M290" s="290"/>
      <c r="N290" s="235">
        <f t="shared" si="447"/>
        <v>0</v>
      </c>
      <c r="O290" s="354"/>
      <c r="P290" s="290"/>
      <c r="Q290" s="386"/>
      <c r="R290" s="385"/>
      <c r="S290" s="290"/>
      <c r="T290" s="386"/>
      <c r="U290" s="385"/>
      <c r="V290" s="290"/>
      <c r="W290" s="386"/>
      <c r="X290" s="385"/>
      <c r="Y290" s="290"/>
      <c r="Z290" s="355"/>
      <c r="AA290" s="290"/>
      <c r="AB290" s="804"/>
      <c r="AD290" s="291"/>
      <c r="AE290" s="290"/>
      <c r="AF290" s="290"/>
      <c r="AG290" s="291"/>
      <c r="AH290" s="290"/>
      <c r="AI290" s="290"/>
      <c r="AJ290" s="291"/>
      <c r="AK290" s="290"/>
      <c r="AL290" s="290"/>
      <c r="AM290" s="291"/>
      <c r="AN290" s="290"/>
      <c r="AQ290" s="202"/>
      <c r="AZ290" s="203"/>
      <c r="BF290" s="203"/>
      <c r="BK290" s="203"/>
      <c r="BP290" s="203"/>
      <c r="BQ290" s="202"/>
      <c r="CA290" s="203"/>
      <c r="CR290" s="122"/>
    </row>
    <row r="291" spans="1:96" ht="31.5" hidden="1" outlineLevel="2" x14ac:dyDescent="0.25">
      <c r="A291" s="133"/>
      <c r="B291" s="289" t="s">
        <v>1738</v>
      </c>
      <c r="C291" s="1036"/>
      <c r="D291" s="290"/>
      <c r="E291" s="290"/>
      <c r="F291" s="290"/>
      <c r="G291" s="290"/>
      <c r="H291" s="290"/>
      <c r="I291" s="290"/>
      <c r="J291" s="290"/>
      <c r="K291" s="290"/>
      <c r="L291" s="290"/>
      <c r="M291" s="290"/>
      <c r="N291" s="235">
        <f t="shared" si="447"/>
        <v>0</v>
      </c>
      <c r="O291" s="354"/>
      <c r="P291" s="290"/>
      <c r="Q291" s="386"/>
      <c r="R291" s="385"/>
      <c r="S291" s="290"/>
      <c r="T291" s="386"/>
      <c r="U291" s="385"/>
      <c r="V291" s="290"/>
      <c r="W291" s="386"/>
      <c r="X291" s="385"/>
      <c r="Y291" s="290"/>
      <c r="Z291" s="355"/>
      <c r="AA291" s="290"/>
      <c r="AB291" s="804"/>
      <c r="AD291" s="291"/>
      <c r="AE291" s="290"/>
      <c r="AF291" s="290"/>
      <c r="AG291" s="291"/>
      <c r="AH291" s="290"/>
      <c r="AI291" s="290"/>
      <c r="AJ291" s="291"/>
      <c r="AK291" s="290"/>
      <c r="AL291" s="290"/>
      <c r="AM291" s="291"/>
      <c r="AN291" s="290"/>
      <c r="AQ291" s="202"/>
      <c r="AZ291" s="203"/>
      <c r="BF291" s="203"/>
      <c r="BK291" s="203"/>
      <c r="BP291" s="203"/>
      <c r="BQ291" s="202"/>
      <c r="CA291" s="203"/>
      <c r="CR291" s="122"/>
    </row>
    <row r="292" spans="1:96" ht="15.75" hidden="1" outlineLevel="2" x14ac:dyDescent="0.25">
      <c r="A292" s="133"/>
      <c r="B292" s="289" t="s">
        <v>200</v>
      </c>
      <c r="C292" s="1036"/>
      <c r="D292" s="290"/>
      <c r="E292" s="290"/>
      <c r="F292" s="290"/>
      <c r="G292" s="290"/>
      <c r="H292" s="290"/>
      <c r="I292" s="290"/>
      <c r="J292" s="290"/>
      <c r="K292" s="290"/>
      <c r="L292" s="290"/>
      <c r="M292" s="290"/>
      <c r="N292" s="235">
        <f t="shared" si="447"/>
        <v>0</v>
      </c>
      <c r="O292" s="354"/>
      <c r="P292" s="290"/>
      <c r="Q292" s="386"/>
      <c r="R292" s="385"/>
      <c r="S292" s="290"/>
      <c r="T292" s="386"/>
      <c r="U292" s="385"/>
      <c r="V292" s="290"/>
      <c r="W292" s="386"/>
      <c r="X292" s="385"/>
      <c r="Y292" s="290"/>
      <c r="Z292" s="355"/>
      <c r="AA292" s="290"/>
      <c r="AB292" s="804"/>
      <c r="AD292" s="291"/>
      <c r="AE292" s="290"/>
      <c r="AF292" s="290"/>
      <c r="AG292" s="291"/>
      <c r="AH292" s="290"/>
      <c r="AI292" s="290"/>
      <c r="AJ292" s="291"/>
      <c r="AK292" s="290"/>
      <c r="AL292" s="290"/>
      <c r="AM292" s="291"/>
      <c r="AN292" s="290"/>
      <c r="AQ292" s="202"/>
      <c r="AZ292" s="203"/>
      <c r="BF292" s="203"/>
      <c r="BK292" s="203"/>
      <c r="BP292" s="203"/>
      <c r="BQ292" s="202"/>
      <c r="CA292" s="203"/>
      <c r="CR292" s="122"/>
    </row>
    <row r="293" spans="1:96" ht="15.75" hidden="1" outlineLevel="2" x14ac:dyDescent="0.25">
      <c r="A293" s="133"/>
      <c r="B293" s="289" t="s">
        <v>208</v>
      </c>
      <c r="C293" s="1036"/>
      <c r="D293" s="290"/>
      <c r="E293" s="290"/>
      <c r="F293" s="290"/>
      <c r="G293" s="290"/>
      <c r="H293" s="290"/>
      <c r="I293" s="290"/>
      <c r="J293" s="290"/>
      <c r="K293" s="290"/>
      <c r="L293" s="290"/>
      <c r="M293" s="290"/>
      <c r="N293" s="235">
        <f t="shared" si="447"/>
        <v>0</v>
      </c>
      <c r="O293" s="354"/>
      <c r="P293" s="290"/>
      <c r="Q293" s="386"/>
      <c r="R293" s="385"/>
      <c r="S293" s="290"/>
      <c r="T293" s="386"/>
      <c r="U293" s="385"/>
      <c r="V293" s="290"/>
      <c r="W293" s="386"/>
      <c r="X293" s="385"/>
      <c r="Y293" s="290"/>
      <c r="Z293" s="355"/>
      <c r="AA293" s="290"/>
      <c r="AB293" s="804"/>
      <c r="AD293" s="291"/>
      <c r="AE293" s="290"/>
      <c r="AF293" s="290"/>
      <c r="AG293" s="291"/>
      <c r="AH293" s="290"/>
      <c r="AI293" s="290"/>
      <c r="AJ293" s="291"/>
      <c r="AK293" s="290"/>
      <c r="AL293" s="290"/>
      <c r="AM293" s="291"/>
      <c r="AN293" s="290"/>
      <c r="AQ293" s="202"/>
      <c r="AZ293" s="203"/>
      <c r="BF293" s="203"/>
      <c r="BK293" s="203"/>
      <c r="BP293" s="203"/>
      <c r="BQ293" s="202"/>
      <c r="CA293" s="203"/>
      <c r="CR293" s="122"/>
    </row>
    <row r="294" spans="1:96" ht="15.75" hidden="1" outlineLevel="2" x14ac:dyDescent="0.25">
      <c r="A294" s="133"/>
      <c r="B294" s="289" t="s">
        <v>210</v>
      </c>
      <c r="C294" s="1036"/>
      <c r="D294" s="290"/>
      <c r="E294" s="290"/>
      <c r="F294" s="290"/>
      <c r="G294" s="290"/>
      <c r="H294" s="290"/>
      <c r="I294" s="290"/>
      <c r="J294" s="290"/>
      <c r="K294" s="290"/>
      <c r="L294" s="290"/>
      <c r="M294" s="290"/>
      <c r="N294" s="235">
        <f t="shared" si="447"/>
        <v>0</v>
      </c>
      <c r="O294" s="354"/>
      <c r="P294" s="290"/>
      <c r="Q294" s="386"/>
      <c r="R294" s="385"/>
      <c r="S294" s="290"/>
      <c r="T294" s="386"/>
      <c r="U294" s="385"/>
      <c r="V294" s="290"/>
      <c r="W294" s="386"/>
      <c r="X294" s="385"/>
      <c r="Y294" s="290"/>
      <c r="Z294" s="355"/>
      <c r="AA294" s="290"/>
      <c r="AB294" s="804"/>
      <c r="AD294" s="291"/>
      <c r="AE294" s="290"/>
      <c r="AF294" s="290"/>
      <c r="AG294" s="291"/>
      <c r="AH294" s="290"/>
      <c r="AI294" s="290"/>
      <c r="AJ294" s="291"/>
      <c r="AK294" s="290"/>
      <c r="AL294" s="290"/>
      <c r="AM294" s="291"/>
      <c r="AN294" s="290"/>
      <c r="AQ294" s="202"/>
      <c r="AZ294" s="203"/>
      <c r="BF294" s="203"/>
      <c r="BK294" s="203"/>
      <c r="BP294" s="203"/>
      <c r="BQ294" s="202"/>
      <c r="CA294" s="203"/>
      <c r="CR294" s="122"/>
    </row>
    <row r="295" spans="1:96" ht="63" outlineLevel="1" collapsed="1" x14ac:dyDescent="0.25">
      <c r="A295" s="134" t="s">
        <v>467</v>
      </c>
      <c r="B295" s="115" t="s">
        <v>389</v>
      </c>
      <c r="C295" s="1031" t="s">
        <v>243</v>
      </c>
      <c r="D295" s="115"/>
      <c r="E295" s="146"/>
      <c r="F295" s="109" t="s">
        <v>326</v>
      </c>
      <c r="G295" s="109" t="s">
        <v>953</v>
      </c>
      <c r="H295" s="111" t="s">
        <v>1693</v>
      </c>
      <c r="I295" s="111" t="s">
        <v>1693</v>
      </c>
      <c r="J295" s="111" t="s">
        <v>1693</v>
      </c>
      <c r="K295" s="111" t="s">
        <v>1693</v>
      </c>
      <c r="L295" s="111" t="s">
        <v>1693</v>
      </c>
      <c r="M295" s="109">
        <v>5</v>
      </c>
      <c r="N295" s="235">
        <f t="shared" si="447"/>
        <v>0</v>
      </c>
      <c r="O295" s="200" t="str">
        <f t="shared" ref="O295" si="476">IF(AC295="ДА",$M295,"")</f>
        <v/>
      </c>
      <c r="P295" s="144"/>
      <c r="Q295" s="357">
        <f>IF(AC295="ДА",ROUNDUP(O295/5,0),0)</f>
        <v>0</v>
      </c>
      <c r="R295" s="356" t="str">
        <f>IF(AF295="ДА",$M295,"")</f>
        <v/>
      </c>
      <c r="S295" s="144"/>
      <c r="T295" s="357">
        <f>IF(AF295="ДА",ROUNDUP(R295/5,0),0)</f>
        <v>0</v>
      </c>
      <c r="U295" s="356" t="str">
        <f>IF(AI295="ДА",$M295,"")</f>
        <v/>
      </c>
      <c r="V295" s="144"/>
      <c r="W295" s="357">
        <f>IF(AI295="ДА",ROUNDUP(U295/5,0),0)</f>
        <v>0</v>
      </c>
      <c r="X295" s="356" t="str">
        <f>IF(AL295="ДА",$M295,"")</f>
        <v/>
      </c>
      <c r="Y295" s="144"/>
      <c r="Z295" s="201">
        <f>IF(AL295="ДА",ROUNDUP(X295/5,0),0)</f>
        <v>0</v>
      </c>
      <c r="AA295" s="388" t="str">
        <f>IF(OR(AC295="ДА",AF295="ДА",AI295="ДА",AL295="ДА"),"ДА","НЕТ")</f>
        <v>НЕТ</v>
      </c>
      <c r="AB295" s="388"/>
      <c r="AC295" s="37" t="str">
        <f>IF(AC$8=$BT$9,$BT295,IF(AC$8=$BS$9,$BS295,IF(AC$8=$BU$9,$BU295,IF(AC$8=$BV$9,$BV295,IF(AC$8=$BW$9,$BW295,IF(AC$8=$BX$9,$BX295,IF(AC$8=$BY$9,$BY295,IF(AC$8=$BZ$9,$BZ295,IF(AC$8=$CA$9,$CA295,IF(AC$8=$CC$9,$CC295,IF(AC$8=$CD$9,$CD295,IF(AC$8=$CE$9,$CE295,IF(AC$8=$CF$9,$CF295,IF(AC$8=$CG$9,$CG295,IF(AC$8=$CH$9,$CH295,IF(AC$8=$CI$9,$CI295,IF(AC$8=$CJ$9,$CJ295,IF(AC$8=$CK$9,$CK295,IF(AC$8=$CL$9,$CL295,IF(AC$8=$CM$9,$CM295,IF(AC$8=$CN$9,$CN295,IF(AC$8=$CO$9,$CO295,IF(AC$8=$CP$9,$CP295,IF(AC$8=$CQ$9,$CQ295,"НЕТ"))))))))))))))))))))))))</f>
        <v>НЕТ</v>
      </c>
      <c r="AD295" s="37" t="str">
        <f>IF(AC295="НЕТ","Не требуется",$CR295)</f>
        <v>Не требуется</v>
      </c>
      <c r="AE295" s="37"/>
      <c r="AF295" s="37" t="str">
        <f t="shared" ref="AF295:AL295" si="477">IF(AF$8=$BT$9,$BT295,IF(AF$8=$BS$9,$BS295,IF(AF$8=$BU$9,$BU295,IF(AF$8=$BV$9,$BV295,IF(AF$8=$BW$9,$BW295,IF(AF$8=$BX$9,$BX295,IF(AF$8=$BY$9,$BY295,IF(AF$8=$BZ$9,$BZ295,IF(AF$8=$CA$9,$CA295,IF(AF$8=$CC$9,$CC295,IF(AF$8=$CD$9,$CD295,IF(AF$8=$CE$9,$CE295,IF(AF$8=$CF$9,$CF295,IF(AF$8=$CG$9,$CG295,IF(AF$8=$CH$9,$CH295,IF(AF$8=$CI$9,$CI295,IF(AF$8=$CJ$9,$CJ295,IF(AF$8=$CK$9,$CK295,IF(AF$8=$CL$9,$CL295,IF(AF$8=$CM$9,$CM295,IF(AF$8=$CN$9,$CN295,IF(AF$8=$CO$9,$CO295,IF(AF$8=$CP$9,$CP295,IF(AF$8=$CQ$9,$CQ295,"НЕТ"))))))))))))))))))))))))</f>
        <v>НЕТ</v>
      </c>
      <c r="AG295" s="37" t="str">
        <f t="shared" si="477"/>
        <v>НЕТ</v>
      </c>
      <c r="AH295" s="37" t="str">
        <f t="shared" si="477"/>
        <v>НЕТ</v>
      </c>
      <c r="AI295" s="37" t="str">
        <f t="shared" si="477"/>
        <v>НЕТ</v>
      </c>
      <c r="AJ295" s="37" t="str">
        <f t="shared" si="477"/>
        <v>НЕТ</v>
      </c>
      <c r="AK295" s="37" t="str">
        <f t="shared" si="477"/>
        <v>НЕТ</v>
      </c>
      <c r="AL295" s="37" t="str">
        <f t="shared" si="477"/>
        <v>НЕТ</v>
      </c>
      <c r="AM295" s="37" t="str">
        <f>IF(AL295="НЕТ","Не требуется",$CR295)</f>
        <v>Не требуется</v>
      </c>
      <c r="AN295" s="37"/>
      <c r="AQ295" s="200"/>
      <c r="AR295" s="230"/>
      <c r="AS295" s="144" t="str">
        <f t="shared" ref="AS295" si="478">IF(BS295="ДА",$M295,"")</f>
        <v/>
      </c>
      <c r="AT295" s="144" t="str">
        <f t="shared" ref="AT295" si="479">IF(BT295="ДА",$M295,"")</f>
        <v/>
      </c>
      <c r="AU295" s="144" t="str">
        <f t="shared" ref="AU295" si="480">IF(BU295="ДА",$M295,"")</f>
        <v/>
      </c>
      <c r="AV295" s="144" t="str">
        <f t="shared" ref="AV295" si="481">IF(BV295="ДА",$M295,"")</f>
        <v/>
      </c>
      <c r="AW295" s="144" t="str">
        <f>IF(BX295="ДА",$M295,"")</f>
        <v/>
      </c>
      <c r="AX295" s="144" t="str">
        <f>IF(BY295="ДА",$M295,"")</f>
        <v/>
      </c>
      <c r="AY295" s="144" t="str">
        <f>IF(BZ295="ДА",$M295,"")</f>
        <v/>
      </c>
      <c r="AZ295" s="201" t="str">
        <f>IF(CA295="ДА",$M295,"")</f>
        <v/>
      </c>
      <c r="BA295" s="235"/>
      <c r="BB295" s="144" t="str">
        <f t="shared" ref="BB295:BP295" si="482">IF(CC295="ДА",$M295,"")</f>
        <v/>
      </c>
      <c r="BC295" s="144" t="str">
        <f t="shared" si="482"/>
        <v/>
      </c>
      <c r="BD295" s="144" t="str">
        <f t="shared" si="482"/>
        <v/>
      </c>
      <c r="BE295" s="144">
        <f t="shared" si="482"/>
        <v>5</v>
      </c>
      <c r="BF295" s="201">
        <f t="shared" si="482"/>
        <v>5</v>
      </c>
      <c r="BG295" s="144" t="str">
        <f t="shared" si="482"/>
        <v/>
      </c>
      <c r="BH295" s="144" t="str">
        <f t="shared" si="482"/>
        <v/>
      </c>
      <c r="BI295" s="144" t="str">
        <f t="shared" si="482"/>
        <v/>
      </c>
      <c r="BJ295" s="144" t="str">
        <f t="shared" si="482"/>
        <v/>
      </c>
      <c r="BK295" s="201" t="str">
        <f t="shared" si="482"/>
        <v/>
      </c>
      <c r="BL295" s="144" t="str">
        <f t="shared" si="482"/>
        <v/>
      </c>
      <c r="BM295" s="144" t="str">
        <f t="shared" si="482"/>
        <v/>
      </c>
      <c r="BN295" s="144" t="str">
        <f t="shared" si="482"/>
        <v/>
      </c>
      <c r="BO295" s="144" t="str">
        <f t="shared" si="482"/>
        <v/>
      </c>
      <c r="BP295" s="201" t="str">
        <f t="shared" si="482"/>
        <v/>
      </c>
      <c r="BQ295" s="209"/>
      <c r="BR295" s="388"/>
      <c r="BS295" s="37" t="s">
        <v>255</v>
      </c>
      <c r="BT295" s="37" t="s">
        <v>255</v>
      </c>
      <c r="BU295" s="37" t="s">
        <v>255</v>
      </c>
      <c r="BV295" s="37" t="s">
        <v>255</v>
      </c>
      <c r="BW295" s="37" t="s">
        <v>255</v>
      </c>
      <c r="BX295" s="37" t="s">
        <v>255</v>
      </c>
      <c r="BY295" s="37" t="s">
        <v>255</v>
      </c>
      <c r="BZ295" s="37" t="s">
        <v>255</v>
      </c>
      <c r="CA295" s="37" t="s">
        <v>255</v>
      </c>
      <c r="CB295" s="223"/>
      <c r="CC295" s="37" t="s">
        <v>255</v>
      </c>
      <c r="CD295" s="37" t="s">
        <v>255</v>
      </c>
      <c r="CE295" s="37" t="s">
        <v>255</v>
      </c>
      <c r="CF295" s="37" t="s">
        <v>246</v>
      </c>
      <c r="CG295" s="37" t="s">
        <v>246</v>
      </c>
      <c r="CH295" s="37" t="s">
        <v>255</v>
      </c>
      <c r="CI295" s="37" t="s">
        <v>255</v>
      </c>
      <c r="CJ295" s="37" t="s">
        <v>255</v>
      </c>
      <c r="CK295" s="37" t="s">
        <v>255</v>
      </c>
      <c r="CL295" s="37" t="s">
        <v>255</v>
      </c>
      <c r="CM295" s="37" t="s">
        <v>255</v>
      </c>
      <c r="CN295" s="37" t="s">
        <v>255</v>
      </c>
      <c r="CO295" s="37" t="s">
        <v>255</v>
      </c>
      <c r="CP295" s="37" t="s">
        <v>255</v>
      </c>
      <c r="CQ295" s="37" t="s">
        <v>255</v>
      </c>
      <c r="CR295" s="123" t="s">
        <v>302</v>
      </c>
    </row>
    <row r="296" spans="1:96" ht="30" hidden="1" outlineLevel="2" x14ac:dyDescent="0.25">
      <c r="A296" s="133"/>
      <c r="B296" s="253" t="s">
        <v>1739</v>
      </c>
      <c r="C296" s="254"/>
      <c r="D296" s="254"/>
      <c r="E296" s="254"/>
      <c r="F296" s="254"/>
      <c r="G296" s="254"/>
      <c r="H296" s="254"/>
      <c r="I296" s="254"/>
      <c r="J296" s="254"/>
      <c r="K296" s="254"/>
      <c r="L296" s="254"/>
      <c r="M296" s="254"/>
      <c r="N296" s="254"/>
      <c r="O296" s="329"/>
      <c r="P296" s="254"/>
      <c r="Q296" s="361"/>
      <c r="R296" s="360"/>
      <c r="S296" s="254"/>
      <c r="T296" s="361"/>
      <c r="U296" s="360"/>
      <c r="V296" s="254"/>
      <c r="W296" s="361"/>
      <c r="X296" s="360"/>
      <c r="Y296" s="254"/>
      <c r="Z296" s="330"/>
      <c r="AA296" s="254"/>
      <c r="AB296" s="793"/>
      <c r="AD296" s="255"/>
      <c r="AE296" s="254"/>
      <c r="AF296" s="254"/>
      <c r="AG296" s="255"/>
      <c r="AH296" s="254"/>
      <c r="AI296" s="254"/>
      <c r="AJ296" s="255"/>
      <c r="AK296" s="254"/>
      <c r="AL296" s="254"/>
      <c r="AM296" s="255"/>
      <c r="AN296" s="254"/>
      <c r="AQ296" s="202"/>
      <c r="AZ296" s="203"/>
      <c r="BF296" s="203"/>
      <c r="BK296" s="203"/>
      <c r="BP296" s="203"/>
      <c r="BQ296" s="202"/>
      <c r="CA296" s="203"/>
      <c r="CR296" s="122"/>
    </row>
    <row r="297" spans="1:96" ht="60" hidden="1" outlineLevel="2" x14ac:dyDescent="0.25">
      <c r="A297" s="133"/>
      <c r="B297" s="253" t="s">
        <v>390</v>
      </c>
      <c r="C297" s="254"/>
      <c r="D297" s="254"/>
      <c r="E297" s="254"/>
      <c r="F297" s="254"/>
      <c r="G297" s="254"/>
      <c r="H297" s="254"/>
      <c r="I297" s="254"/>
      <c r="J297" s="254"/>
      <c r="K297" s="254"/>
      <c r="L297" s="254"/>
      <c r="M297" s="254"/>
      <c r="N297" s="254"/>
      <c r="O297" s="329"/>
      <c r="P297" s="254"/>
      <c r="Q297" s="361"/>
      <c r="R297" s="360"/>
      <c r="S297" s="254"/>
      <c r="T297" s="361"/>
      <c r="U297" s="360"/>
      <c r="V297" s="254"/>
      <c r="W297" s="361"/>
      <c r="X297" s="360"/>
      <c r="Y297" s="254"/>
      <c r="Z297" s="330"/>
      <c r="AA297" s="254"/>
      <c r="AB297" s="793"/>
      <c r="AD297" s="255"/>
      <c r="AE297" s="254"/>
      <c r="AF297" s="254"/>
      <c r="AG297" s="255"/>
      <c r="AH297" s="254"/>
      <c r="AI297" s="254"/>
      <c r="AJ297" s="255"/>
      <c r="AK297" s="254"/>
      <c r="AL297" s="254"/>
      <c r="AM297" s="255"/>
      <c r="AN297" s="254"/>
      <c r="AQ297" s="202"/>
      <c r="AZ297" s="203"/>
      <c r="BF297" s="203"/>
      <c r="BK297" s="203"/>
      <c r="BP297" s="203"/>
      <c r="BQ297" s="202"/>
      <c r="CA297" s="203"/>
      <c r="CR297" s="122"/>
    </row>
    <row r="298" spans="1:96" ht="15.75" x14ac:dyDescent="0.25">
      <c r="A298" s="54" t="s">
        <v>468</v>
      </c>
      <c r="B298" s="119" t="s">
        <v>251</v>
      </c>
      <c r="C298" s="1030" t="s">
        <v>243</v>
      </c>
      <c r="D298" s="119"/>
      <c r="E298" s="493"/>
      <c r="F298" s="49" t="s">
        <v>221</v>
      </c>
      <c r="G298" s="49" t="s">
        <v>221</v>
      </c>
      <c r="H298" s="49" t="s">
        <v>221</v>
      </c>
      <c r="I298" s="49" t="s">
        <v>221</v>
      </c>
      <c r="J298" s="49" t="s">
        <v>221</v>
      </c>
      <c r="K298" s="49" t="s">
        <v>221</v>
      </c>
      <c r="L298" s="49" t="s">
        <v>221</v>
      </c>
      <c r="M298" s="81">
        <f>SUM(M299:M326)</f>
        <v>83</v>
      </c>
      <c r="N298" s="81">
        <f>SUM(N299:N326)</f>
        <v>0</v>
      </c>
      <c r="O298" s="81">
        <f t="shared" ref="O298:Z298" si="483">SUM(O299:O326)</f>
        <v>0</v>
      </c>
      <c r="P298" s="81">
        <f t="shared" si="483"/>
        <v>0</v>
      </c>
      <c r="Q298" s="81">
        <f t="shared" si="483"/>
        <v>0</v>
      </c>
      <c r="R298" s="81">
        <f t="shared" si="483"/>
        <v>0</v>
      </c>
      <c r="S298" s="81">
        <f t="shared" si="483"/>
        <v>0</v>
      </c>
      <c r="T298" s="81">
        <f t="shared" si="483"/>
        <v>0</v>
      </c>
      <c r="U298" s="81">
        <f t="shared" si="483"/>
        <v>0</v>
      </c>
      <c r="V298" s="81">
        <f t="shared" si="483"/>
        <v>0</v>
      </c>
      <c r="W298" s="81">
        <f t="shared" si="483"/>
        <v>0</v>
      </c>
      <c r="X298" s="81">
        <f t="shared" si="483"/>
        <v>0</v>
      </c>
      <c r="Y298" s="81">
        <f t="shared" si="483"/>
        <v>0</v>
      </c>
      <c r="Z298" s="81">
        <f t="shared" si="483"/>
        <v>0</v>
      </c>
      <c r="AA298" s="387" t="str">
        <f>IF(N298&gt;0,"ДА","НЕТ")</f>
        <v>НЕТ</v>
      </c>
      <c r="AB298" s="387"/>
      <c r="AC298" s="140" t="str">
        <f>IF(O298&gt;0,"ДА","НЕТ")</f>
        <v>НЕТ</v>
      </c>
      <c r="AD298" s="118"/>
      <c r="AE298" s="140"/>
      <c r="AF298" s="140" t="str">
        <f>IF(R298&gt;0,"ДА","НЕТ")</f>
        <v>НЕТ</v>
      </c>
      <c r="AG298" s="118"/>
      <c r="AH298" s="140"/>
      <c r="AI298" s="140" t="str">
        <f>IF(U298&gt;0,"ДА","НЕТ")</f>
        <v>НЕТ</v>
      </c>
      <c r="AJ298" s="118"/>
      <c r="AK298" s="140"/>
      <c r="AL298" s="140" t="str">
        <f>IF(X298&gt;0,"ДА","НЕТ")</f>
        <v>НЕТ</v>
      </c>
      <c r="AM298" s="118"/>
      <c r="AN298" s="140"/>
      <c r="AQ298" s="199"/>
      <c r="AR298" s="229"/>
      <c r="AS298" s="49">
        <f t="shared" ref="AS298:AY298" si="484">SUM(AS299:AS326)</f>
        <v>0</v>
      </c>
      <c r="AT298" s="49">
        <f t="shared" si="484"/>
        <v>0</v>
      </c>
      <c r="AU298" s="49">
        <f t="shared" si="484"/>
        <v>0</v>
      </c>
      <c r="AV298" s="49">
        <f t="shared" si="484"/>
        <v>0</v>
      </c>
      <c r="AW298" s="49">
        <f t="shared" si="484"/>
        <v>0</v>
      </c>
      <c r="AX298" s="49">
        <f t="shared" si="484"/>
        <v>0</v>
      </c>
      <c r="AY298" s="49">
        <f t="shared" si="484"/>
        <v>0</v>
      </c>
      <c r="AZ298" s="52">
        <f t="shared" ref="AZ298" si="485">SUM(AZ299:AZ326)</f>
        <v>0</v>
      </c>
      <c r="BA298" s="81"/>
      <c r="BB298" s="49">
        <f t="shared" ref="BB298:BE298" si="486">SUM(BB299:BB326)</f>
        <v>0</v>
      </c>
      <c r="BC298" s="49">
        <f t="shared" si="486"/>
        <v>0</v>
      </c>
      <c r="BD298" s="49">
        <f t="shared" si="486"/>
        <v>0</v>
      </c>
      <c r="BE298" s="49">
        <f t="shared" si="486"/>
        <v>0</v>
      </c>
      <c r="BF298" s="52">
        <f t="shared" ref="BF298" si="487">SUM(BF299:BF326)</f>
        <v>0</v>
      </c>
      <c r="BG298" s="49">
        <f t="shared" ref="BG298:BJ298" si="488">SUM(BG299:BG326)</f>
        <v>0</v>
      </c>
      <c r="BH298" s="49">
        <f t="shared" si="488"/>
        <v>0</v>
      </c>
      <c r="BI298" s="49">
        <f t="shared" si="488"/>
        <v>0</v>
      </c>
      <c r="BJ298" s="49">
        <f t="shared" si="488"/>
        <v>0</v>
      </c>
      <c r="BK298" s="52">
        <f t="shared" ref="BK298" si="489">SUM(BK299:BK326)</f>
        <v>0</v>
      </c>
      <c r="BL298" s="49">
        <f t="shared" ref="BL298:BO298" si="490">SUM(BL299:BL326)</f>
        <v>0</v>
      </c>
      <c r="BM298" s="49">
        <f t="shared" si="490"/>
        <v>0</v>
      </c>
      <c r="BN298" s="49">
        <f t="shared" si="490"/>
        <v>0</v>
      </c>
      <c r="BO298" s="49">
        <f t="shared" si="490"/>
        <v>0</v>
      </c>
      <c r="BP298" s="52">
        <f t="shared" ref="BP298" si="491">SUM(BP299:BP326)</f>
        <v>0</v>
      </c>
      <c r="BQ298" s="209"/>
      <c r="BR298" s="388"/>
      <c r="BS298" s="140" t="str">
        <f t="shared" ref="BS298:BV298" si="492">IF(AS298&gt;0,"ДА","НЕТ")</f>
        <v>НЕТ</v>
      </c>
      <c r="BT298" s="140" t="str">
        <f t="shared" si="492"/>
        <v>НЕТ</v>
      </c>
      <c r="BU298" s="140" t="str">
        <f t="shared" si="492"/>
        <v>НЕТ</v>
      </c>
      <c r="BV298" s="140" t="str">
        <f t="shared" si="492"/>
        <v>НЕТ</v>
      </c>
      <c r="BW298" s="140" t="str">
        <f>IF(AS298&gt;0,"ДА","НЕТ")</f>
        <v>НЕТ</v>
      </c>
      <c r="BX298" s="140" t="str">
        <f>IF(AW298&gt;0,"ДА","НЕТ")</f>
        <v>НЕТ</v>
      </c>
      <c r="BY298" s="140" t="str">
        <f>IF(AX298&gt;0,"ДА","НЕТ")</f>
        <v>НЕТ</v>
      </c>
      <c r="BZ298" s="140" t="str">
        <f>IF(AY298&gt;0,"ДА","НЕТ")</f>
        <v>НЕТ</v>
      </c>
      <c r="CA298" s="208" t="str">
        <f>IF(AZ298&gt;0,"ДА","НЕТ")</f>
        <v>НЕТ</v>
      </c>
      <c r="CB298" s="222"/>
      <c r="CC298" s="140" t="str">
        <f t="shared" ref="CC298:CQ298" si="493">IF(BB298&gt;0,"ДА","НЕТ")</f>
        <v>НЕТ</v>
      </c>
      <c r="CD298" s="140" t="str">
        <f t="shared" si="493"/>
        <v>НЕТ</v>
      </c>
      <c r="CE298" s="140" t="str">
        <f t="shared" si="493"/>
        <v>НЕТ</v>
      </c>
      <c r="CF298" s="140" t="str">
        <f t="shared" si="493"/>
        <v>НЕТ</v>
      </c>
      <c r="CG298" s="140" t="str">
        <f t="shared" si="493"/>
        <v>НЕТ</v>
      </c>
      <c r="CH298" s="140" t="str">
        <f t="shared" si="493"/>
        <v>НЕТ</v>
      </c>
      <c r="CI298" s="140" t="str">
        <f t="shared" si="493"/>
        <v>НЕТ</v>
      </c>
      <c r="CJ298" s="140" t="str">
        <f t="shared" si="493"/>
        <v>НЕТ</v>
      </c>
      <c r="CK298" s="140" t="str">
        <f t="shared" si="493"/>
        <v>НЕТ</v>
      </c>
      <c r="CL298" s="140" t="str">
        <f t="shared" si="493"/>
        <v>НЕТ</v>
      </c>
      <c r="CM298" s="140" t="str">
        <f t="shared" si="493"/>
        <v>НЕТ</v>
      </c>
      <c r="CN298" s="140" t="str">
        <f t="shared" si="493"/>
        <v>НЕТ</v>
      </c>
      <c r="CO298" s="140" t="str">
        <f t="shared" si="493"/>
        <v>НЕТ</v>
      </c>
      <c r="CP298" s="140" t="str">
        <f t="shared" si="493"/>
        <v>НЕТ</v>
      </c>
      <c r="CQ298" s="140" t="str">
        <f t="shared" si="493"/>
        <v>НЕТ</v>
      </c>
      <c r="CR298" s="122"/>
    </row>
    <row r="299" spans="1:96" ht="30" outlineLevel="1" x14ac:dyDescent="0.25">
      <c r="A299" s="19" t="s">
        <v>469</v>
      </c>
      <c r="B299" s="121" t="s">
        <v>270</v>
      </c>
      <c r="C299" s="1024" t="s">
        <v>243</v>
      </c>
      <c r="D299" s="121"/>
      <c r="E299" s="121"/>
      <c r="F299" s="34" t="s">
        <v>225</v>
      </c>
      <c r="G299" s="109" t="s">
        <v>953</v>
      </c>
      <c r="H299" s="34"/>
      <c r="I299" s="34"/>
      <c r="J299" s="34"/>
      <c r="K299" s="34"/>
      <c r="L299" s="34"/>
      <c r="M299" s="34">
        <v>5</v>
      </c>
      <c r="N299" s="235">
        <f t="shared" ref="N299:N326" si="494">SUM(O299,R299,U299,X299)</f>
        <v>0</v>
      </c>
      <c r="O299" s="200" t="str">
        <f t="shared" ref="O299:O326" si="495">IF(AC299="ДА",$M299,"")</f>
        <v/>
      </c>
      <c r="P299" s="144"/>
      <c r="Q299" s="357">
        <f t="shared" ref="Q299:Q326" si="496">IF(AC299="ДА",ROUNDUP(O299/5,0),0)</f>
        <v>0</v>
      </c>
      <c r="R299" s="356" t="str">
        <f t="shared" ref="R299:R326" si="497">IF(AF299="ДА",$M299,"")</f>
        <v/>
      </c>
      <c r="S299" s="144"/>
      <c r="T299" s="357">
        <f t="shared" ref="T299:T326" si="498">IF(AF299="ДА",ROUNDUP(R299/5,0),0)</f>
        <v>0</v>
      </c>
      <c r="U299" s="356" t="str">
        <f t="shared" ref="U299:U326" si="499">IF(AI299="ДА",$M299,"")</f>
        <v/>
      </c>
      <c r="V299" s="144"/>
      <c r="W299" s="357">
        <f t="shared" ref="W299:W326" si="500">IF(AI299="ДА",ROUNDUP(U299/5,0),0)</f>
        <v>0</v>
      </c>
      <c r="X299" s="356" t="str">
        <f t="shared" ref="X299:X326" si="501">IF(AL299="ДА",$M299,"")</f>
        <v/>
      </c>
      <c r="Y299" s="144"/>
      <c r="Z299" s="201">
        <f t="shared" ref="Z299:Z326" si="502">IF(AL299="ДА",ROUNDUP(X299/5,0),0)</f>
        <v>0</v>
      </c>
      <c r="AA299" s="388" t="str">
        <f t="shared" ref="AA299:AA326" si="503">IF(OR(AC299="ДА",AF299="ДА",AI299="ДА",AL299="ДА"),"ДА","НЕТ")</f>
        <v>НЕТ</v>
      </c>
      <c r="AB299" s="388"/>
      <c r="AC299" s="37" t="str">
        <f t="shared" ref="AC299:AC306" si="504">IF(AC$8=$BT$9,$BT299,IF(AC$8=$BS$9,$BS299,IF(AC$8=$BU$9,$BU299,IF(AC$8=$BV$9,$BV299,IF(AC$8=$BW$9,$BW299,IF(AC$8=$BX$9,$BX299,IF(AC$8=$BY$9,$BY299,IF(AC$8=$BZ$9,$BZ299,IF(AC$8=$CA$9,$CA299,IF(AC$8=$CC$9,$CC299,IF(AC$8=$CD$9,$CD299,IF(AC$8=$CE$9,$CE299,IF(AC$8=$CF$9,$CF299,IF(AC$8=$CG$9,$CG299,IF(AC$8=$CH$9,$CH299,IF(AC$8=$CI$9,$CI299,IF(AC$8=$CJ$9,$CJ299,IF(AC$8=$CK$9,$CK299,IF(AC$8=$CL$9,$CL299,IF(AC$8=$CM$9,$CM299,IF(AC$8=$CN$9,$CN299,IF(AC$8=$CO$9,$CO299,IF(AC$8=$CP$9,$CP299,IF(AC$8=$CQ$9,$CQ299,"НЕТ"))))))))))))))))))))))))</f>
        <v>НЕТ</v>
      </c>
      <c r="AD299" s="37" t="str">
        <f t="shared" ref="AD299:AD306" si="505">IF(AC299="НЕТ","Не требуется",$CR299)</f>
        <v>Не требуется</v>
      </c>
      <c r="AE299" s="37"/>
      <c r="AF299" s="37" t="str">
        <f t="shared" ref="AF299:AL314" si="506">IF(AF$8=$BT$9,$BT299,IF(AF$8=$BS$9,$BS299,IF(AF$8=$BU$9,$BU299,IF(AF$8=$BV$9,$BV299,IF(AF$8=$BW$9,$BW299,IF(AF$8=$BX$9,$BX299,IF(AF$8=$BY$9,$BY299,IF(AF$8=$BZ$9,$BZ299,IF(AF$8=$CA$9,$CA299,IF(AF$8=$CC$9,$CC299,IF(AF$8=$CD$9,$CD299,IF(AF$8=$CE$9,$CE299,IF(AF$8=$CF$9,$CF299,IF(AF$8=$CG$9,$CG299,IF(AF$8=$CH$9,$CH299,IF(AF$8=$CI$9,$CI299,IF(AF$8=$CJ$9,$CJ299,IF(AF$8=$CK$9,$CK299,IF(AF$8=$CL$9,$CL299,IF(AF$8=$CM$9,$CM299,IF(AF$8=$CN$9,$CN299,IF(AF$8=$CO$9,$CO299,IF(AF$8=$CP$9,$CP299,IF(AF$8=$CQ$9,$CQ299,"НЕТ"))))))))))))))))))))))))</f>
        <v>НЕТ</v>
      </c>
      <c r="AG299" s="37" t="str">
        <f t="shared" si="506"/>
        <v>НЕТ</v>
      </c>
      <c r="AH299" s="37" t="str">
        <f t="shared" si="506"/>
        <v>НЕТ</v>
      </c>
      <c r="AI299" s="37" t="str">
        <f t="shared" si="506"/>
        <v>НЕТ</v>
      </c>
      <c r="AJ299" s="37" t="str">
        <f t="shared" si="506"/>
        <v>НЕТ</v>
      </c>
      <c r="AK299" s="37" t="str">
        <f t="shared" si="506"/>
        <v>НЕТ</v>
      </c>
      <c r="AL299" s="37" t="str">
        <f t="shared" si="506"/>
        <v>НЕТ</v>
      </c>
      <c r="AM299" s="37" t="str">
        <f t="shared" ref="AM299:AM326" si="507">IF(AL299="НЕТ","Не требуется",$CR299)</f>
        <v>Не требуется</v>
      </c>
      <c r="AN299" s="37"/>
      <c r="AQ299" s="200"/>
      <c r="AR299" s="230"/>
      <c r="AS299" s="144" t="str">
        <f t="shared" ref="AS299:AS326" si="508">IF(BS299="ДА",$M299,"")</f>
        <v/>
      </c>
      <c r="AT299" s="144" t="str">
        <f t="shared" ref="AT299:AT326" si="509">IF(BT299="ДА",$M299,"")</f>
        <v/>
      </c>
      <c r="AU299" s="144" t="str">
        <f t="shared" ref="AU299:AU326" si="510">IF(BU299="ДА",$M299,"")</f>
        <v/>
      </c>
      <c r="AV299" s="144" t="str">
        <f t="shared" ref="AV299:AV326" si="511">IF(BV299="ДА",$M299,"")</f>
        <v/>
      </c>
      <c r="AW299" s="144" t="str">
        <f t="shared" ref="AW299:AW326" si="512">IF(BX299="ДА",$M299,"")</f>
        <v/>
      </c>
      <c r="AX299" s="144" t="str">
        <f t="shared" ref="AX299:AX326" si="513">IF(BY299="ДА",$M299,"")</f>
        <v/>
      </c>
      <c r="AY299" s="144" t="str">
        <f t="shared" ref="AY299:AY326" si="514">IF(BZ299="ДА",$M299,"")</f>
        <v/>
      </c>
      <c r="AZ299" s="201" t="str">
        <f t="shared" ref="AZ299:AZ326" si="515">IF(CA299="ДА",$M299,"")</f>
        <v/>
      </c>
      <c r="BA299" s="235"/>
      <c r="BB299" s="144" t="str">
        <f t="shared" ref="BB299:BB326" si="516">IF(CC299="ДА",$M299,"")</f>
        <v/>
      </c>
      <c r="BC299" s="144" t="str">
        <f t="shared" ref="BC299:BC326" si="517">IF(CD299="ДА",$M299,"")</f>
        <v/>
      </c>
      <c r="BD299" s="144" t="str">
        <f t="shared" ref="BD299:BD326" si="518">IF(CE299="ДА",$M299,"")</f>
        <v/>
      </c>
      <c r="BE299" s="144" t="str">
        <f t="shared" ref="BE299:BE326" si="519">IF(CF299="ДА",$M299,"")</f>
        <v/>
      </c>
      <c r="BF299" s="201" t="str">
        <f t="shared" ref="BF299:BF326" si="520">IF(CG299="ДА",$M299,"")</f>
        <v/>
      </c>
      <c r="BG299" s="144" t="str">
        <f t="shared" ref="BG299:BG326" si="521">IF(CH299="ДА",$M299,"")</f>
        <v/>
      </c>
      <c r="BH299" s="144" t="str">
        <f t="shared" ref="BH299:BH326" si="522">IF(CI299="ДА",$M299,"")</f>
        <v/>
      </c>
      <c r="BI299" s="144" t="str">
        <f t="shared" ref="BI299:BI326" si="523">IF(CJ299="ДА",$M299,"")</f>
        <v/>
      </c>
      <c r="BJ299" s="144" t="str">
        <f t="shared" ref="BJ299:BJ326" si="524">IF(CK299="ДА",$M299,"")</f>
        <v/>
      </c>
      <c r="BK299" s="201" t="str">
        <f t="shared" ref="BK299:BK326" si="525">IF(CL299="ДА",$M299,"")</f>
        <v/>
      </c>
      <c r="BL299" s="144" t="str">
        <f t="shared" ref="BL299:BL326" si="526">IF(CM299="ДА",$M299,"")</f>
        <v/>
      </c>
      <c r="BM299" s="144" t="str">
        <f t="shared" ref="BM299:BM326" si="527">IF(CN299="ДА",$M299,"")</f>
        <v/>
      </c>
      <c r="BN299" s="144" t="str">
        <f t="shared" ref="BN299:BN326" si="528">IF(CO299="ДА",$M299,"")</f>
        <v/>
      </c>
      <c r="BO299" s="144" t="str">
        <f t="shared" ref="BO299:BO326" si="529">IF(CP299="ДА",$M299,"")</f>
        <v/>
      </c>
      <c r="BP299" s="201" t="str">
        <f t="shared" ref="BP299:BP326" si="530">IF(CQ299="ДА",$M299,"")</f>
        <v/>
      </c>
      <c r="BQ299" s="209"/>
      <c r="BR299" s="388"/>
      <c r="BS299" s="37" t="s">
        <v>255</v>
      </c>
      <c r="BT299" s="37" t="s">
        <v>255</v>
      </c>
      <c r="BU299" s="37" t="s">
        <v>255</v>
      </c>
      <c r="BV299" s="37" t="s">
        <v>255</v>
      </c>
      <c r="BW299" s="37" t="s">
        <v>255</v>
      </c>
      <c r="BX299" s="37" t="s">
        <v>255</v>
      </c>
      <c r="BY299" s="37" t="s">
        <v>255</v>
      </c>
      <c r="BZ299" s="37" t="s">
        <v>255</v>
      </c>
      <c r="CA299" s="123" t="s">
        <v>255</v>
      </c>
      <c r="CB299" s="223"/>
      <c r="CC299" s="37" t="s">
        <v>255</v>
      </c>
      <c r="CD299" s="37" t="s">
        <v>255</v>
      </c>
      <c r="CE299" s="37" t="s">
        <v>255</v>
      </c>
      <c r="CF299" s="37" t="s">
        <v>255</v>
      </c>
      <c r="CG299" s="37" t="s">
        <v>255</v>
      </c>
      <c r="CH299" s="37" t="s">
        <v>255</v>
      </c>
      <c r="CI299" s="37" t="s">
        <v>255</v>
      </c>
      <c r="CJ299" s="37" t="s">
        <v>255</v>
      </c>
      <c r="CK299" s="37" t="s">
        <v>255</v>
      </c>
      <c r="CL299" s="37" t="s">
        <v>255</v>
      </c>
      <c r="CM299" s="37" t="s">
        <v>255</v>
      </c>
      <c r="CN299" s="37" t="s">
        <v>255</v>
      </c>
      <c r="CO299" s="37" t="s">
        <v>255</v>
      </c>
      <c r="CP299" s="37" t="s">
        <v>255</v>
      </c>
      <c r="CQ299" s="37" t="s">
        <v>255</v>
      </c>
      <c r="CR299" s="123" t="s">
        <v>302</v>
      </c>
    </row>
    <row r="300" spans="1:96" ht="30" outlineLevel="1" x14ac:dyDescent="0.25">
      <c r="A300" s="19" t="s">
        <v>470</v>
      </c>
      <c r="B300" s="121" t="s">
        <v>286</v>
      </c>
      <c r="C300" s="1024" t="s">
        <v>243</v>
      </c>
      <c r="D300" s="121"/>
      <c r="E300" s="121"/>
      <c r="F300" s="34" t="s">
        <v>225</v>
      </c>
      <c r="G300" s="120" t="s">
        <v>579</v>
      </c>
      <c r="H300" s="34"/>
      <c r="I300" s="34"/>
      <c r="J300" s="34"/>
      <c r="K300" s="34"/>
      <c r="L300" s="34"/>
      <c r="M300" s="34">
        <v>5</v>
      </c>
      <c r="N300" s="235">
        <f t="shared" si="494"/>
        <v>0</v>
      </c>
      <c r="O300" s="200" t="str">
        <f t="shared" si="495"/>
        <v/>
      </c>
      <c r="P300" s="144"/>
      <c r="Q300" s="357">
        <f t="shared" si="496"/>
        <v>0</v>
      </c>
      <c r="R300" s="356" t="str">
        <f t="shared" si="497"/>
        <v/>
      </c>
      <c r="S300" s="144"/>
      <c r="T300" s="357">
        <f t="shared" si="498"/>
        <v>0</v>
      </c>
      <c r="U300" s="356" t="str">
        <f t="shared" si="499"/>
        <v/>
      </c>
      <c r="V300" s="144"/>
      <c r="W300" s="357">
        <f t="shared" si="500"/>
        <v>0</v>
      </c>
      <c r="X300" s="356" t="str">
        <f t="shared" si="501"/>
        <v/>
      </c>
      <c r="Y300" s="144"/>
      <c r="Z300" s="201">
        <f t="shared" si="502"/>
        <v>0</v>
      </c>
      <c r="AA300" s="388" t="str">
        <f t="shared" si="503"/>
        <v>НЕТ</v>
      </c>
      <c r="AB300" s="388"/>
      <c r="AC300" s="37" t="str">
        <f t="shared" si="504"/>
        <v>НЕТ</v>
      </c>
      <c r="AD300" s="37" t="str">
        <f t="shared" si="505"/>
        <v>Не требуется</v>
      </c>
      <c r="AE300" s="37"/>
      <c r="AF300" s="37" t="str">
        <f t="shared" si="506"/>
        <v>НЕТ</v>
      </c>
      <c r="AG300" s="37" t="str">
        <f t="shared" si="506"/>
        <v>НЕТ</v>
      </c>
      <c r="AH300" s="37" t="str">
        <f t="shared" si="506"/>
        <v>НЕТ</v>
      </c>
      <c r="AI300" s="37" t="str">
        <f t="shared" si="506"/>
        <v>НЕТ</v>
      </c>
      <c r="AJ300" s="37" t="str">
        <f t="shared" si="506"/>
        <v>НЕТ</v>
      </c>
      <c r="AK300" s="37" t="str">
        <f t="shared" si="506"/>
        <v>НЕТ</v>
      </c>
      <c r="AL300" s="37" t="str">
        <f t="shared" si="506"/>
        <v>НЕТ</v>
      </c>
      <c r="AM300" s="37" t="str">
        <f t="shared" si="507"/>
        <v>Не требуется</v>
      </c>
      <c r="AN300" s="37"/>
      <c r="AQ300" s="200"/>
      <c r="AR300" s="230"/>
      <c r="AS300" s="144" t="str">
        <f t="shared" si="508"/>
        <v/>
      </c>
      <c r="AT300" s="144" t="str">
        <f t="shared" si="509"/>
        <v/>
      </c>
      <c r="AU300" s="144" t="str">
        <f t="shared" si="510"/>
        <v/>
      </c>
      <c r="AV300" s="144" t="str">
        <f t="shared" si="511"/>
        <v/>
      </c>
      <c r="AW300" s="144" t="str">
        <f t="shared" si="512"/>
        <v/>
      </c>
      <c r="AX300" s="144" t="str">
        <f t="shared" si="513"/>
        <v/>
      </c>
      <c r="AY300" s="144" t="str">
        <f t="shared" si="514"/>
        <v/>
      </c>
      <c r="AZ300" s="201" t="str">
        <f t="shared" si="515"/>
        <v/>
      </c>
      <c r="BA300" s="235"/>
      <c r="BB300" s="144" t="str">
        <f t="shared" si="516"/>
        <v/>
      </c>
      <c r="BC300" s="144" t="str">
        <f t="shared" si="517"/>
        <v/>
      </c>
      <c r="BD300" s="144" t="str">
        <f t="shared" si="518"/>
        <v/>
      </c>
      <c r="BE300" s="144" t="str">
        <f t="shared" si="519"/>
        <v/>
      </c>
      <c r="BF300" s="201" t="str">
        <f t="shared" si="520"/>
        <v/>
      </c>
      <c r="BG300" s="144" t="str">
        <f t="shared" si="521"/>
        <v/>
      </c>
      <c r="BH300" s="144" t="str">
        <f t="shared" si="522"/>
        <v/>
      </c>
      <c r="BI300" s="144" t="str">
        <f t="shared" si="523"/>
        <v/>
      </c>
      <c r="BJ300" s="144" t="str">
        <f t="shared" si="524"/>
        <v/>
      </c>
      <c r="BK300" s="201" t="str">
        <f t="shared" si="525"/>
        <v/>
      </c>
      <c r="BL300" s="144" t="str">
        <f t="shared" si="526"/>
        <v/>
      </c>
      <c r="BM300" s="144" t="str">
        <f t="shared" si="527"/>
        <v/>
      </c>
      <c r="BN300" s="144" t="str">
        <f t="shared" si="528"/>
        <v/>
      </c>
      <c r="BO300" s="144" t="str">
        <f t="shared" si="529"/>
        <v/>
      </c>
      <c r="BP300" s="201" t="str">
        <f t="shared" si="530"/>
        <v/>
      </c>
      <c r="BQ300" s="209"/>
      <c r="BR300" s="388"/>
      <c r="BS300" s="37" t="s">
        <v>255</v>
      </c>
      <c r="BT300" s="37" t="s">
        <v>255</v>
      </c>
      <c r="BU300" s="37" t="s">
        <v>255</v>
      </c>
      <c r="BV300" s="37" t="s">
        <v>255</v>
      </c>
      <c r="BW300" s="37" t="s">
        <v>255</v>
      </c>
      <c r="BX300" s="37" t="s">
        <v>255</v>
      </c>
      <c r="BY300" s="37" t="s">
        <v>255</v>
      </c>
      <c r="BZ300" s="37" t="s">
        <v>255</v>
      </c>
      <c r="CA300" s="123" t="s">
        <v>255</v>
      </c>
      <c r="CB300" s="223"/>
      <c r="CC300" s="37" t="s">
        <v>255</v>
      </c>
      <c r="CD300" s="37" t="s">
        <v>255</v>
      </c>
      <c r="CE300" s="37" t="s">
        <v>255</v>
      </c>
      <c r="CF300" s="37" t="s">
        <v>255</v>
      </c>
      <c r="CG300" s="37" t="s">
        <v>255</v>
      </c>
      <c r="CH300" s="37" t="s">
        <v>255</v>
      </c>
      <c r="CI300" s="37" t="s">
        <v>255</v>
      </c>
      <c r="CJ300" s="37" t="s">
        <v>255</v>
      </c>
      <c r="CK300" s="37" t="s">
        <v>255</v>
      </c>
      <c r="CL300" s="37" t="s">
        <v>255</v>
      </c>
      <c r="CM300" s="37" t="s">
        <v>255</v>
      </c>
      <c r="CN300" s="37" t="s">
        <v>255</v>
      </c>
      <c r="CO300" s="37" t="s">
        <v>255</v>
      </c>
      <c r="CP300" s="37" t="s">
        <v>255</v>
      </c>
      <c r="CQ300" s="37" t="s">
        <v>255</v>
      </c>
      <c r="CR300" s="123" t="s">
        <v>302</v>
      </c>
    </row>
    <row r="301" spans="1:96" ht="30" outlineLevel="1" x14ac:dyDescent="0.25">
      <c r="A301" s="19" t="s">
        <v>471</v>
      </c>
      <c r="B301" s="121" t="s">
        <v>269</v>
      </c>
      <c r="C301" s="1024" t="s">
        <v>243</v>
      </c>
      <c r="D301" s="121"/>
      <c r="E301" s="121"/>
      <c r="F301" s="34" t="s">
        <v>225</v>
      </c>
      <c r="G301" s="120" t="s">
        <v>579</v>
      </c>
      <c r="H301" s="34"/>
      <c r="I301" s="34"/>
      <c r="J301" s="34"/>
      <c r="K301" s="34"/>
      <c r="L301" s="34"/>
      <c r="M301" s="34">
        <v>8</v>
      </c>
      <c r="N301" s="235">
        <f t="shared" si="494"/>
        <v>0</v>
      </c>
      <c r="O301" s="200" t="str">
        <f t="shared" si="495"/>
        <v/>
      </c>
      <c r="P301" s="144"/>
      <c r="Q301" s="357">
        <f t="shared" si="496"/>
        <v>0</v>
      </c>
      <c r="R301" s="356" t="str">
        <f t="shared" si="497"/>
        <v/>
      </c>
      <c r="S301" s="144"/>
      <c r="T301" s="357">
        <f t="shared" si="498"/>
        <v>0</v>
      </c>
      <c r="U301" s="356" t="str">
        <f t="shared" si="499"/>
        <v/>
      </c>
      <c r="V301" s="144"/>
      <c r="W301" s="357">
        <f t="shared" si="500"/>
        <v>0</v>
      </c>
      <c r="X301" s="356" t="str">
        <f t="shared" si="501"/>
        <v/>
      </c>
      <c r="Y301" s="144"/>
      <c r="Z301" s="201">
        <f t="shared" si="502"/>
        <v>0</v>
      </c>
      <c r="AA301" s="388" t="str">
        <f t="shared" si="503"/>
        <v>НЕТ</v>
      </c>
      <c r="AB301" s="388"/>
      <c r="AC301" s="37" t="str">
        <f t="shared" si="504"/>
        <v>НЕТ</v>
      </c>
      <c r="AD301" s="37" t="str">
        <f t="shared" si="505"/>
        <v>Не требуется</v>
      </c>
      <c r="AE301" s="37"/>
      <c r="AF301" s="37" t="str">
        <f t="shared" si="506"/>
        <v>НЕТ</v>
      </c>
      <c r="AG301" s="37" t="str">
        <f t="shared" si="506"/>
        <v>НЕТ</v>
      </c>
      <c r="AH301" s="37" t="str">
        <f t="shared" si="506"/>
        <v>НЕТ</v>
      </c>
      <c r="AI301" s="37" t="str">
        <f t="shared" si="506"/>
        <v>НЕТ</v>
      </c>
      <c r="AJ301" s="37" t="str">
        <f t="shared" si="506"/>
        <v>НЕТ</v>
      </c>
      <c r="AK301" s="37" t="str">
        <f t="shared" si="506"/>
        <v>НЕТ</v>
      </c>
      <c r="AL301" s="37" t="str">
        <f t="shared" si="506"/>
        <v>НЕТ</v>
      </c>
      <c r="AM301" s="37" t="str">
        <f t="shared" si="507"/>
        <v>Не требуется</v>
      </c>
      <c r="AN301" s="37"/>
      <c r="AQ301" s="200"/>
      <c r="AR301" s="230"/>
      <c r="AS301" s="144" t="str">
        <f t="shared" si="508"/>
        <v/>
      </c>
      <c r="AT301" s="144" t="str">
        <f t="shared" si="509"/>
        <v/>
      </c>
      <c r="AU301" s="144" t="str">
        <f t="shared" si="510"/>
        <v/>
      </c>
      <c r="AV301" s="144" t="str">
        <f t="shared" si="511"/>
        <v/>
      </c>
      <c r="AW301" s="144" t="str">
        <f t="shared" si="512"/>
        <v/>
      </c>
      <c r="AX301" s="144" t="str">
        <f t="shared" si="513"/>
        <v/>
      </c>
      <c r="AY301" s="144" t="str">
        <f t="shared" si="514"/>
        <v/>
      </c>
      <c r="AZ301" s="201" t="str">
        <f t="shared" si="515"/>
        <v/>
      </c>
      <c r="BA301" s="235"/>
      <c r="BB301" s="144" t="str">
        <f t="shared" si="516"/>
        <v/>
      </c>
      <c r="BC301" s="144" t="str">
        <f t="shared" si="517"/>
        <v/>
      </c>
      <c r="BD301" s="144" t="str">
        <f t="shared" si="518"/>
        <v/>
      </c>
      <c r="BE301" s="144" t="str">
        <f t="shared" si="519"/>
        <v/>
      </c>
      <c r="BF301" s="201" t="str">
        <f t="shared" si="520"/>
        <v/>
      </c>
      <c r="BG301" s="144" t="str">
        <f t="shared" si="521"/>
        <v/>
      </c>
      <c r="BH301" s="144" t="str">
        <f t="shared" si="522"/>
        <v/>
      </c>
      <c r="BI301" s="144" t="str">
        <f t="shared" si="523"/>
        <v/>
      </c>
      <c r="BJ301" s="144" t="str">
        <f t="shared" si="524"/>
        <v/>
      </c>
      <c r="BK301" s="201" t="str">
        <f t="shared" si="525"/>
        <v/>
      </c>
      <c r="BL301" s="144" t="str">
        <f t="shared" si="526"/>
        <v/>
      </c>
      <c r="BM301" s="144" t="str">
        <f t="shared" si="527"/>
        <v/>
      </c>
      <c r="BN301" s="144" t="str">
        <f t="shared" si="528"/>
        <v/>
      </c>
      <c r="BO301" s="144" t="str">
        <f t="shared" si="529"/>
        <v/>
      </c>
      <c r="BP301" s="201" t="str">
        <f t="shared" si="530"/>
        <v/>
      </c>
      <c r="BQ301" s="209"/>
      <c r="BR301" s="388"/>
      <c r="BS301" s="37" t="s">
        <v>255</v>
      </c>
      <c r="BT301" s="37" t="s">
        <v>255</v>
      </c>
      <c r="BU301" s="37" t="s">
        <v>255</v>
      </c>
      <c r="BV301" s="37" t="s">
        <v>255</v>
      </c>
      <c r="BW301" s="37" t="s">
        <v>255</v>
      </c>
      <c r="BX301" s="37" t="s">
        <v>255</v>
      </c>
      <c r="BY301" s="37" t="s">
        <v>255</v>
      </c>
      <c r="BZ301" s="37" t="s">
        <v>255</v>
      </c>
      <c r="CA301" s="123" t="s">
        <v>255</v>
      </c>
      <c r="CB301" s="223"/>
      <c r="CC301" s="37" t="s">
        <v>255</v>
      </c>
      <c r="CD301" s="37" t="s">
        <v>255</v>
      </c>
      <c r="CE301" s="37" t="s">
        <v>255</v>
      </c>
      <c r="CF301" s="37" t="s">
        <v>255</v>
      </c>
      <c r="CG301" s="37" t="s">
        <v>255</v>
      </c>
      <c r="CH301" s="37" t="s">
        <v>255</v>
      </c>
      <c r="CI301" s="37" t="s">
        <v>255</v>
      </c>
      <c r="CJ301" s="37" t="s">
        <v>255</v>
      </c>
      <c r="CK301" s="37" t="s">
        <v>255</v>
      </c>
      <c r="CL301" s="37" t="s">
        <v>255</v>
      </c>
      <c r="CM301" s="37" t="s">
        <v>255</v>
      </c>
      <c r="CN301" s="37" t="s">
        <v>255</v>
      </c>
      <c r="CO301" s="37" t="s">
        <v>255</v>
      </c>
      <c r="CP301" s="37" t="s">
        <v>255</v>
      </c>
      <c r="CQ301" s="37" t="s">
        <v>255</v>
      </c>
      <c r="CR301" s="123" t="s">
        <v>302</v>
      </c>
    </row>
    <row r="302" spans="1:96" ht="30" outlineLevel="1" x14ac:dyDescent="0.25">
      <c r="A302" s="19" t="s">
        <v>472</v>
      </c>
      <c r="B302" s="121" t="s">
        <v>261</v>
      </c>
      <c r="C302" s="1024" t="s">
        <v>243</v>
      </c>
      <c r="D302" s="121"/>
      <c r="E302" s="121"/>
      <c r="F302" s="34" t="s">
        <v>225</v>
      </c>
      <c r="G302" s="120" t="s">
        <v>579</v>
      </c>
      <c r="H302" s="34"/>
      <c r="I302" s="34"/>
      <c r="J302" s="34"/>
      <c r="K302" s="34"/>
      <c r="L302" s="34"/>
      <c r="M302" s="34">
        <v>5</v>
      </c>
      <c r="N302" s="235">
        <f t="shared" si="494"/>
        <v>0</v>
      </c>
      <c r="O302" s="200" t="str">
        <f t="shared" si="495"/>
        <v/>
      </c>
      <c r="P302" s="144"/>
      <c r="Q302" s="357">
        <f t="shared" si="496"/>
        <v>0</v>
      </c>
      <c r="R302" s="356" t="str">
        <f t="shared" si="497"/>
        <v/>
      </c>
      <c r="S302" s="144"/>
      <c r="T302" s="357">
        <f t="shared" si="498"/>
        <v>0</v>
      </c>
      <c r="U302" s="356" t="str">
        <f t="shared" si="499"/>
        <v/>
      </c>
      <c r="V302" s="144"/>
      <c r="W302" s="357">
        <f t="shared" si="500"/>
        <v>0</v>
      </c>
      <c r="X302" s="356" t="str">
        <f t="shared" si="501"/>
        <v/>
      </c>
      <c r="Y302" s="144"/>
      <c r="Z302" s="201">
        <f t="shared" si="502"/>
        <v>0</v>
      </c>
      <c r="AA302" s="388" t="str">
        <f t="shared" si="503"/>
        <v>НЕТ</v>
      </c>
      <c r="AB302" s="388"/>
      <c r="AC302" s="37" t="str">
        <f t="shared" si="504"/>
        <v>НЕТ</v>
      </c>
      <c r="AD302" s="37" t="str">
        <f t="shared" si="505"/>
        <v>Не требуется</v>
      </c>
      <c r="AE302" s="37"/>
      <c r="AF302" s="37" t="str">
        <f t="shared" si="506"/>
        <v>НЕТ</v>
      </c>
      <c r="AG302" s="37" t="str">
        <f t="shared" si="506"/>
        <v>НЕТ</v>
      </c>
      <c r="AH302" s="37" t="str">
        <f t="shared" si="506"/>
        <v>НЕТ</v>
      </c>
      <c r="AI302" s="37" t="str">
        <f t="shared" si="506"/>
        <v>НЕТ</v>
      </c>
      <c r="AJ302" s="37" t="str">
        <f t="shared" si="506"/>
        <v>НЕТ</v>
      </c>
      <c r="AK302" s="37" t="str">
        <f t="shared" si="506"/>
        <v>НЕТ</v>
      </c>
      <c r="AL302" s="37" t="str">
        <f t="shared" si="506"/>
        <v>НЕТ</v>
      </c>
      <c r="AM302" s="37" t="str">
        <f t="shared" si="507"/>
        <v>Не требуется</v>
      </c>
      <c r="AN302" s="37"/>
      <c r="AQ302" s="200"/>
      <c r="AR302" s="230"/>
      <c r="AS302" s="144" t="str">
        <f t="shared" si="508"/>
        <v/>
      </c>
      <c r="AT302" s="144" t="str">
        <f t="shared" si="509"/>
        <v/>
      </c>
      <c r="AU302" s="144" t="str">
        <f t="shared" si="510"/>
        <v/>
      </c>
      <c r="AV302" s="144" t="str">
        <f t="shared" si="511"/>
        <v/>
      </c>
      <c r="AW302" s="144" t="str">
        <f t="shared" si="512"/>
        <v/>
      </c>
      <c r="AX302" s="144" t="str">
        <f t="shared" si="513"/>
        <v/>
      </c>
      <c r="AY302" s="144" t="str">
        <f t="shared" si="514"/>
        <v/>
      </c>
      <c r="AZ302" s="201" t="str">
        <f t="shared" si="515"/>
        <v/>
      </c>
      <c r="BA302" s="235"/>
      <c r="BB302" s="144" t="str">
        <f t="shared" si="516"/>
        <v/>
      </c>
      <c r="BC302" s="144" t="str">
        <f t="shared" si="517"/>
        <v/>
      </c>
      <c r="BD302" s="144" t="str">
        <f t="shared" si="518"/>
        <v/>
      </c>
      <c r="BE302" s="144" t="str">
        <f t="shared" si="519"/>
        <v/>
      </c>
      <c r="BF302" s="201" t="str">
        <f t="shared" si="520"/>
        <v/>
      </c>
      <c r="BG302" s="144" t="str">
        <f t="shared" si="521"/>
        <v/>
      </c>
      <c r="BH302" s="144" t="str">
        <f t="shared" si="522"/>
        <v/>
      </c>
      <c r="BI302" s="144" t="str">
        <f t="shared" si="523"/>
        <v/>
      </c>
      <c r="BJ302" s="144" t="str">
        <f t="shared" si="524"/>
        <v/>
      </c>
      <c r="BK302" s="201" t="str">
        <f t="shared" si="525"/>
        <v/>
      </c>
      <c r="BL302" s="144" t="str">
        <f t="shared" si="526"/>
        <v/>
      </c>
      <c r="BM302" s="144" t="str">
        <f t="shared" si="527"/>
        <v/>
      </c>
      <c r="BN302" s="144" t="str">
        <f t="shared" si="528"/>
        <v/>
      </c>
      <c r="BO302" s="144" t="str">
        <f t="shared" si="529"/>
        <v/>
      </c>
      <c r="BP302" s="201" t="str">
        <f t="shared" si="530"/>
        <v/>
      </c>
      <c r="BQ302" s="209"/>
      <c r="BR302" s="388"/>
      <c r="BS302" s="37" t="s">
        <v>255</v>
      </c>
      <c r="BT302" s="37" t="s">
        <v>255</v>
      </c>
      <c r="BU302" s="37" t="s">
        <v>255</v>
      </c>
      <c r="BV302" s="37" t="s">
        <v>255</v>
      </c>
      <c r="BW302" s="37" t="s">
        <v>255</v>
      </c>
      <c r="BX302" s="37" t="s">
        <v>255</v>
      </c>
      <c r="BY302" s="37" t="s">
        <v>255</v>
      </c>
      <c r="BZ302" s="37" t="s">
        <v>255</v>
      </c>
      <c r="CA302" s="123" t="s">
        <v>255</v>
      </c>
      <c r="CB302" s="223"/>
      <c r="CC302" s="37" t="s">
        <v>255</v>
      </c>
      <c r="CD302" s="37" t="s">
        <v>255</v>
      </c>
      <c r="CE302" s="37" t="s">
        <v>255</v>
      </c>
      <c r="CF302" s="37" t="s">
        <v>255</v>
      </c>
      <c r="CG302" s="37" t="s">
        <v>255</v>
      </c>
      <c r="CH302" s="37" t="s">
        <v>255</v>
      </c>
      <c r="CI302" s="37" t="s">
        <v>255</v>
      </c>
      <c r="CJ302" s="37" t="s">
        <v>255</v>
      </c>
      <c r="CK302" s="37" t="s">
        <v>255</v>
      </c>
      <c r="CL302" s="37" t="s">
        <v>255</v>
      </c>
      <c r="CM302" s="37" t="s">
        <v>255</v>
      </c>
      <c r="CN302" s="37" t="s">
        <v>255</v>
      </c>
      <c r="CO302" s="37" t="s">
        <v>255</v>
      </c>
      <c r="CP302" s="37" t="s">
        <v>255</v>
      </c>
      <c r="CQ302" s="37" t="s">
        <v>255</v>
      </c>
      <c r="CR302" s="123" t="s">
        <v>302</v>
      </c>
    </row>
    <row r="303" spans="1:96" ht="30" outlineLevel="1" x14ac:dyDescent="0.25">
      <c r="A303" s="19" t="s">
        <v>473</v>
      </c>
      <c r="B303" s="121" t="s">
        <v>268</v>
      </c>
      <c r="C303" s="1024" t="s">
        <v>243</v>
      </c>
      <c r="D303" s="121"/>
      <c r="E303" s="121"/>
      <c r="F303" s="34" t="s">
        <v>225</v>
      </c>
      <c r="G303" s="120" t="s">
        <v>579</v>
      </c>
      <c r="H303" s="34"/>
      <c r="I303" s="34"/>
      <c r="J303" s="34"/>
      <c r="K303" s="34"/>
      <c r="L303" s="34"/>
      <c r="M303" s="34">
        <v>10</v>
      </c>
      <c r="N303" s="235">
        <f t="shared" si="494"/>
        <v>0</v>
      </c>
      <c r="O303" s="200" t="str">
        <f t="shared" si="495"/>
        <v/>
      </c>
      <c r="P303" s="144"/>
      <c r="Q303" s="357">
        <f t="shared" si="496"/>
        <v>0</v>
      </c>
      <c r="R303" s="356" t="str">
        <f t="shared" si="497"/>
        <v/>
      </c>
      <c r="S303" s="144"/>
      <c r="T303" s="357">
        <f t="shared" si="498"/>
        <v>0</v>
      </c>
      <c r="U303" s="356" t="str">
        <f t="shared" si="499"/>
        <v/>
      </c>
      <c r="V303" s="144"/>
      <c r="W303" s="357">
        <f t="shared" si="500"/>
        <v>0</v>
      </c>
      <c r="X303" s="356" t="str">
        <f t="shared" si="501"/>
        <v/>
      </c>
      <c r="Y303" s="144"/>
      <c r="Z303" s="201">
        <f t="shared" si="502"/>
        <v>0</v>
      </c>
      <c r="AA303" s="388" t="str">
        <f t="shared" si="503"/>
        <v>НЕТ</v>
      </c>
      <c r="AB303" s="388"/>
      <c r="AC303" s="37" t="str">
        <f t="shared" si="504"/>
        <v>НЕТ</v>
      </c>
      <c r="AD303" s="37" t="str">
        <f t="shared" si="505"/>
        <v>Не требуется</v>
      </c>
      <c r="AE303" s="37"/>
      <c r="AF303" s="37" t="str">
        <f t="shared" si="506"/>
        <v>НЕТ</v>
      </c>
      <c r="AG303" s="37" t="str">
        <f t="shared" si="506"/>
        <v>НЕТ</v>
      </c>
      <c r="AH303" s="37" t="str">
        <f t="shared" si="506"/>
        <v>НЕТ</v>
      </c>
      <c r="AI303" s="37" t="str">
        <f t="shared" si="506"/>
        <v>НЕТ</v>
      </c>
      <c r="AJ303" s="37" t="str">
        <f t="shared" si="506"/>
        <v>НЕТ</v>
      </c>
      <c r="AK303" s="37" t="str">
        <f t="shared" si="506"/>
        <v>НЕТ</v>
      </c>
      <c r="AL303" s="37" t="str">
        <f t="shared" si="506"/>
        <v>НЕТ</v>
      </c>
      <c r="AM303" s="37" t="str">
        <f t="shared" si="507"/>
        <v>Не требуется</v>
      </c>
      <c r="AN303" s="37"/>
      <c r="AQ303" s="200"/>
      <c r="AR303" s="230"/>
      <c r="AS303" s="144" t="str">
        <f t="shared" si="508"/>
        <v/>
      </c>
      <c r="AT303" s="144" t="str">
        <f t="shared" si="509"/>
        <v/>
      </c>
      <c r="AU303" s="144" t="str">
        <f t="shared" si="510"/>
        <v/>
      </c>
      <c r="AV303" s="144" t="str">
        <f t="shared" si="511"/>
        <v/>
      </c>
      <c r="AW303" s="144" t="str">
        <f t="shared" si="512"/>
        <v/>
      </c>
      <c r="AX303" s="144" t="str">
        <f t="shared" si="513"/>
        <v/>
      </c>
      <c r="AY303" s="144" t="str">
        <f t="shared" si="514"/>
        <v/>
      </c>
      <c r="AZ303" s="201" t="str">
        <f t="shared" si="515"/>
        <v/>
      </c>
      <c r="BA303" s="235"/>
      <c r="BB303" s="144" t="str">
        <f t="shared" si="516"/>
        <v/>
      </c>
      <c r="BC303" s="144" t="str">
        <f t="shared" si="517"/>
        <v/>
      </c>
      <c r="BD303" s="144" t="str">
        <f t="shared" si="518"/>
        <v/>
      </c>
      <c r="BE303" s="144" t="str">
        <f t="shared" si="519"/>
        <v/>
      </c>
      <c r="BF303" s="201" t="str">
        <f t="shared" si="520"/>
        <v/>
      </c>
      <c r="BG303" s="144" t="str">
        <f t="shared" si="521"/>
        <v/>
      </c>
      <c r="BH303" s="144" t="str">
        <f t="shared" si="522"/>
        <v/>
      </c>
      <c r="BI303" s="144" t="str">
        <f t="shared" si="523"/>
        <v/>
      </c>
      <c r="BJ303" s="144" t="str">
        <f t="shared" si="524"/>
        <v/>
      </c>
      <c r="BK303" s="201" t="str">
        <f t="shared" si="525"/>
        <v/>
      </c>
      <c r="BL303" s="144" t="str">
        <f t="shared" si="526"/>
        <v/>
      </c>
      <c r="BM303" s="144" t="str">
        <f t="shared" si="527"/>
        <v/>
      </c>
      <c r="BN303" s="144" t="str">
        <f t="shared" si="528"/>
        <v/>
      </c>
      <c r="BO303" s="144" t="str">
        <f t="shared" si="529"/>
        <v/>
      </c>
      <c r="BP303" s="201" t="str">
        <f t="shared" si="530"/>
        <v/>
      </c>
      <c r="BQ303" s="209"/>
      <c r="BR303" s="388"/>
      <c r="BS303" s="37" t="s">
        <v>255</v>
      </c>
      <c r="BT303" s="37" t="s">
        <v>255</v>
      </c>
      <c r="BU303" s="37" t="s">
        <v>255</v>
      </c>
      <c r="BV303" s="37" t="s">
        <v>255</v>
      </c>
      <c r="BW303" s="37" t="s">
        <v>255</v>
      </c>
      <c r="BX303" s="37" t="s">
        <v>255</v>
      </c>
      <c r="BY303" s="37" t="s">
        <v>255</v>
      </c>
      <c r="BZ303" s="37" t="s">
        <v>255</v>
      </c>
      <c r="CA303" s="123" t="s">
        <v>255</v>
      </c>
      <c r="CB303" s="223"/>
      <c r="CC303" s="37" t="s">
        <v>255</v>
      </c>
      <c r="CD303" s="37" t="s">
        <v>255</v>
      </c>
      <c r="CE303" s="37" t="s">
        <v>255</v>
      </c>
      <c r="CF303" s="37" t="s">
        <v>255</v>
      </c>
      <c r="CG303" s="37" t="s">
        <v>255</v>
      </c>
      <c r="CH303" s="37" t="s">
        <v>255</v>
      </c>
      <c r="CI303" s="37" t="s">
        <v>255</v>
      </c>
      <c r="CJ303" s="37" t="s">
        <v>255</v>
      </c>
      <c r="CK303" s="37" t="s">
        <v>255</v>
      </c>
      <c r="CL303" s="37" t="s">
        <v>255</v>
      </c>
      <c r="CM303" s="37" t="s">
        <v>255</v>
      </c>
      <c r="CN303" s="37" t="s">
        <v>255</v>
      </c>
      <c r="CO303" s="37" t="s">
        <v>255</v>
      </c>
      <c r="CP303" s="37" t="s">
        <v>255</v>
      </c>
      <c r="CQ303" s="37" t="s">
        <v>255</v>
      </c>
      <c r="CR303" s="123" t="s">
        <v>302</v>
      </c>
    </row>
    <row r="304" spans="1:96" ht="30" outlineLevel="1" x14ac:dyDescent="0.25">
      <c r="A304" s="19" t="s">
        <v>474</v>
      </c>
      <c r="B304" s="121" t="s">
        <v>267</v>
      </c>
      <c r="C304" s="1024" t="s">
        <v>243</v>
      </c>
      <c r="D304" s="121"/>
      <c r="E304" s="121"/>
      <c r="F304" s="34" t="s">
        <v>225</v>
      </c>
      <c r="G304" s="120" t="s">
        <v>579</v>
      </c>
      <c r="H304" s="34"/>
      <c r="I304" s="34"/>
      <c r="J304" s="34"/>
      <c r="K304" s="34"/>
      <c r="L304" s="34"/>
      <c r="M304" s="34">
        <v>10</v>
      </c>
      <c r="N304" s="235">
        <f t="shared" si="494"/>
        <v>0</v>
      </c>
      <c r="O304" s="200" t="str">
        <f t="shared" si="495"/>
        <v/>
      </c>
      <c r="P304" s="144"/>
      <c r="Q304" s="357">
        <f t="shared" si="496"/>
        <v>0</v>
      </c>
      <c r="R304" s="356" t="str">
        <f t="shared" si="497"/>
        <v/>
      </c>
      <c r="S304" s="144"/>
      <c r="T304" s="357">
        <f t="shared" si="498"/>
        <v>0</v>
      </c>
      <c r="U304" s="356" t="str">
        <f t="shared" si="499"/>
        <v/>
      </c>
      <c r="V304" s="144"/>
      <c r="W304" s="357">
        <f t="shared" si="500"/>
        <v>0</v>
      </c>
      <c r="X304" s="356" t="str">
        <f t="shared" si="501"/>
        <v/>
      </c>
      <c r="Y304" s="144"/>
      <c r="Z304" s="201">
        <f t="shared" si="502"/>
        <v>0</v>
      </c>
      <c r="AA304" s="388" t="str">
        <f t="shared" si="503"/>
        <v>НЕТ</v>
      </c>
      <c r="AB304" s="388"/>
      <c r="AC304" s="37" t="str">
        <f t="shared" si="504"/>
        <v>НЕТ</v>
      </c>
      <c r="AD304" s="37" t="str">
        <f t="shared" si="505"/>
        <v>Не требуется</v>
      </c>
      <c r="AE304" s="37"/>
      <c r="AF304" s="37" t="str">
        <f t="shared" si="506"/>
        <v>НЕТ</v>
      </c>
      <c r="AG304" s="37" t="str">
        <f t="shared" si="506"/>
        <v>НЕТ</v>
      </c>
      <c r="AH304" s="37" t="str">
        <f t="shared" si="506"/>
        <v>НЕТ</v>
      </c>
      <c r="AI304" s="37" t="str">
        <f t="shared" si="506"/>
        <v>НЕТ</v>
      </c>
      <c r="AJ304" s="37" t="str">
        <f t="shared" si="506"/>
        <v>НЕТ</v>
      </c>
      <c r="AK304" s="37" t="str">
        <f t="shared" si="506"/>
        <v>НЕТ</v>
      </c>
      <c r="AL304" s="37" t="str">
        <f t="shared" si="506"/>
        <v>НЕТ</v>
      </c>
      <c r="AM304" s="37" t="str">
        <f t="shared" si="507"/>
        <v>Не требуется</v>
      </c>
      <c r="AN304" s="37"/>
      <c r="AQ304" s="200"/>
      <c r="AR304" s="230"/>
      <c r="AS304" s="144" t="str">
        <f t="shared" si="508"/>
        <v/>
      </c>
      <c r="AT304" s="144" t="str">
        <f t="shared" si="509"/>
        <v/>
      </c>
      <c r="AU304" s="144" t="str">
        <f t="shared" si="510"/>
        <v/>
      </c>
      <c r="AV304" s="144" t="str">
        <f t="shared" si="511"/>
        <v/>
      </c>
      <c r="AW304" s="144" t="str">
        <f t="shared" si="512"/>
        <v/>
      </c>
      <c r="AX304" s="144" t="str">
        <f t="shared" si="513"/>
        <v/>
      </c>
      <c r="AY304" s="144" t="str">
        <f t="shared" si="514"/>
        <v/>
      </c>
      <c r="AZ304" s="201" t="str">
        <f t="shared" si="515"/>
        <v/>
      </c>
      <c r="BA304" s="235"/>
      <c r="BB304" s="144" t="str">
        <f t="shared" si="516"/>
        <v/>
      </c>
      <c r="BC304" s="144" t="str">
        <f t="shared" si="517"/>
        <v/>
      </c>
      <c r="BD304" s="144" t="str">
        <f t="shared" si="518"/>
        <v/>
      </c>
      <c r="BE304" s="144" t="str">
        <f t="shared" si="519"/>
        <v/>
      </c>
      <c r="BF304" s="201" t="str">
        <f t="shared" si="520"/>
        <v/>
      </c>
      <c r="BG304" s="144" t="str">
        <f t="shared" si="521"/>
        <v/>
      </c>
      <c r="BH304" s="144" t="str">
        <f t="shared" si="522"/>
        <v/>
      </c>
      <c r="BI304" s="144" t="str">
        <f t="shared" si="523"/>
        <v/>
      </c>
      <c r="BJ304" s="144" t="str">
        <f t="shared" si="524"/>
        <v/>
      </c>
      <c r="BK304" s="201" t="str">
        <f t="shared" si="525"/>
        <v/>
      </c>
      <c r="BL304" s="144" t="str">
        <f t="shared" si="526"/>
        <v/>
      </c>
      <c r="BM304" s="144" t="str">
        <f t="shared" si="527"/>
        <v/>
      </c>
      <c r="BN304" s="144" t="str">
        <f t="shared" si="528"/>
        <v/>
      </c>
      <c r="BO304" s="144" t="str">
        <f t="shared" si="529"/>
        <v/>
      </c>
      <c r="BP304" s="201" t="str">
        <f t="shared" si="530"/>
        <v/>
      </c>
      <c r="BQ304" s="209"/>
      <c r="BR304" s="388"/>
      <c r="BS304" s="37" t="s">
        <v>255</v>
      </c>
      <c r="BT304" s="37" t="s">
        <v>255</v>
      </c>
      <c r="BU304" s="37" t="s">
        <v>255</v>
      </c>
      <c r="BV304" s="37" t="s">
        <v>255</v>
      </c>
      <c r="BW304" s="37" t="s">
        <v>255</v>
      </c>
      <c r="BX304" s="37" t="s">
        <v>255</v>
      </c>
      <c r="BY304" s="37" t="s">
        <v>255</v>
      </c>
      <c r="BZ304" s="37" t="s">
        <v>255</v>
      </c>
      <c r="CA304" s="123" t="s">
        <v>255</v>
      </c>
      <c r="CB304" s="223"/>
      <c r="CC304" s="37" t="s">
        <v>255</v>
      </c>
      <c r="CD304" s="37" t="s">
        <v>255</v>
      </c>
      <c r="CE304" s="37" t="s">
        <v>255</v>
      </c>
      <c r="CF304" s="37" t="s">
        <v>255</v>
      </c>
      <c r="CG304" s="37" t="s">
        <v>255</v>
      </c>
      <c r="CH304" s="37" t="s">
        <v>255</v>
      </c>
      <c r="CI304" s="37" t="s">
        <v>255</v>
      </c>
      <c r="CJ304" s="37" t="s">
        <v>255</v>
      </c>
      <c r="CK304" s="37" t="s">
        <v>255</v>
      </c>
      <c r="CL304" s="37" t="s">
        <v>255</v>
      </c>
      <c r="CM304" s="37" t="s">
        <v>255</v>
      </c>
      <c r="CN304" s="37" t="s">
        <v>255</v>
      </c>
      <c r="CO304" s="37" t="s">
        <v>255</v>
      </c>
      <c r="CP304" s="37" t="s">
        <v>255</v>
      </c>
      <c r="CQ304" s="37" t="s">
        <v>255</v>
      </c>
      <c r="CR304" s="123" t="s">
        <v>302</v>
      </c>
    </row>
    <row r="305" spans="1:96" ht="30" outlineLevel="1" x14ac:dyDescent="0.25">
      <c r="A305" s="19" t="s">
        <v>475</v>
      </c>
      <c r="B305" s="121" t="s">
        <v>262</v>
      </c>
      <c r="C305" s="1024" t="s">
        <v>243</v>
      </c>
      <c r="D305" s="121"/>
      <c r="E305" s="121"/>
      <c r="F305" s="34" t="s">
        <v>225</v>
      </c>
      <c r="G305" s="120" t="s">
        <v>579</v>
      </c>
      <c r="H305" s="34"/>
      <c r="I305" s="34"/>
      <c r="J305" s="34"/>
      <c r="K305" s="34"/>
      <c r="L305" s="34"/>
      <c r="M305" s="34">
        <v>10</v>
      </c>
      <c r="N305" s="235">
        <f t="shared" si="494"/>
        <v>0</v>
      </c>
      <c r="O305" s="200" t="str">
        <f t="shared" si="495"/>
        <v/>
      </c>
      <c r="P305" s="144"/>
      <c r="Q305" s="357">
        <f t="shared" si="496"/>
        <v>0</v>
      </c>
      <c r="R305" s="356" t="str">
        <f t="shared" si="497"/>
        <v/>
      </c>
      <c r="S305" s="144"/>
      <c r="T305" s="357">
        <f t="shared" si="498"/>
        <v>0</v>
      </c>
      <c r="U305" s="356" t="str">
        <f t="shared" si="499"/>
        <v/>
      </c>
      <c r="V305" s="144"/>
      <c r="W305" s="357">
        <f t="shared" si="500"/>
        <v>0</v>
      </c>
      <c r="X305" s="356" t="str">
        <f t="shared" si="501"/>
        <v/>
      </c>
      <c r="Y305" s="144"/>
      <c r="Z305" s="201">
        <f t="shared" si="502"/>
        <v>0</v>
      </c>
      <c r="AA305" s="388" t="str">
        <f t="shared" si="503"/>
        <v>НЕТ</v>
      </c>
      <c r="AB305" s="388"/>
      <c r="AC305" s="37" t="str">
        <f t="shared" si="504"/>
        <v>НЕТ</v>
      </c>
      <c r="AD305" s="37" t="str">
        <f t="shared" si="505"/>
        <v>Не требуется</v>
      </c>
      <c r="AE305" s="37"/>
      <c r="AF305" s="37" t="str">
        <f t="shared" si="506"/>
        <v>НЕТ</v>
      </c>
      <c r="AG305" s="37" t="str">
        <f t="shared" si="506"/>
        <v>НЕТ</v>
      </c>
      <c r="AH305" s="37" t="str">
        <f t="shared" si="506"/>
        <v>НЕТ</v>
      </c>
      <c r="AI305" s="37" t="str">
        <f t="shared" si="506"/>
        <v>НЕТ</v>
      </c>
      <c r="AJ305" s="37" t="str">
        <f t="shared" si="506"/>
        <v>НЕТ</v>
      </c>
      <c r="AK305" s="37" t="str">
        <f t="shared" si="506"/>
        <v>НЕТ</v>
      </c>
      <c r="AL305" s="37" t="str">
        <f t="shared" si="506"/>
        <v>НЕТ</v>
      </c>
      <c r="AM305" s="37" t="str">
        <f t="shared" si="507"/>
        <v>Не требуется</v>
      </c>
      <c r="AN305" s="37"/>
      <c r="AQ305" s="200"/>
      <c r="AR305" s="230"/>
      <c r="AS305" s="144" t="str">
        <f t="shared" si="508"/>
        <v/>
      </c>
      <c r="AT305" s="144" t="str">
        <f t="shared" si="509"/>
        <v/>
      </c>
      <c r="AU305" s="144" t="str">
        <f t="shared" si="510"/>
        <v/>
      </c>
      <c r="AV305" s="144" t="str">
        <f t="shared" si="511"/>
        <v/>
      </c>
      <c r="AW305" s="144" t="str">
        <f t="shared" si="512"/>
        <v/>
      </c>
      <c r="AX305" s="144" t="str">
        <f t="shared" si="513"/>
        <v/>
      </c>
      <c r="AY305" s="144" t="str">
        <f t="shared" si="514"/>
        <v/>
      </c>
      <c r="AZ305" s="201" t="str">
        <f t="shared" si="515"/>
        <v/>
      </c>
      <c r="BA305" s="235"/>
      <c r="BB305" s="144" t="str">
        <f t="shared" si="516"/>
        <v/>
      </c>
      <c r="BC305" s="144" t="str">
        <f t="shared" si="517"/>
        <v/>
      </c>
      <c r="BD305" s="144" t="str">
        <f t="shared" si="518"/>
        <v/>
      </c>
      <c r="BE305" s="144" t="str">
        <f t="shared" si="519"/>
        <v/>
      </c>
      <c r="BF305" s="201" t="str">
        <f t="shared" si="520"/>
        <v/>
      </c>
      <c r="BG305" s="144" t="str">
        <f t="shared" si="521"/>
        <v/>
      </c>
      <c r="BH305" s="144" t="str">
        <f t="shared" si="522"/>
        <v/>
      </c>
      <c r="BI305" s="144" t="str">
        <f t="shared" si="523"/>
        <v/>
      </c>
      <c r="BJ305" s="144" t="str">
        <f t="shared" si="524"/>
        <v/>
      </c>
      <c r="BK305" s="201" t="str">
        <f t="shared" si="525"/>
        <v/>
      </c>
      <c r="BL305" s="144" t="str">
        <f t="shared" si="526"/>
        <v/>
      </c>
      <c r="BM305" s="144" t="str">
        <f t="shared" si="527"/>
        <v/>
      </c>
      <c r="BN305" s="144" t="str">
        <f t="shared" si="528"/>
        <v/>
      </c>
      <c r="BO305" s="144" t="str">
        <f t="shared" si="529"/>
        <v/>
      </c>
      <c r="BP305" s="201" t="str">
        <f t="shared" si="530"/>
        <v/>
      </c>
      <c r="BQ305" s="209"/>
      <c r="BR305" s="388"/>
      <c r="BS305" s="37" t="s">
        <v>255</v>
      </c>
      <c r="BT305" s="37" t="s">
        <v>255</v>
      </c>
      <c r="BU305" s="37" t="s">
        <v>255</v>
      </c>
      <c r="BV305" s="37" t="s">
        <v>255</v>
      </c>
      <c r="BW305" s="37" t="s">
        <v>255</v>
      </c>
      <c r="BX305" s="37" t="s">
        <v>255</v>
      </c>
      <c r="BY305" s="37" t="s">
        <v>255</v>
      </c>
      <c r="BZ305" s="37" t="s">
        <v>255</v>
      </c>
      <c r="CA305" s="123" t="s">
        <v>255</v>
      </c>
      <c r="CB305" s="223"/>
      <c r="CC305" s="37" t="s">
        <v>255</v>
      </c>
      <c r="CD305" s="37" t="s">
        <v>255</v>
      </c>
      <c r="CE305" s="37" t="s">
        <v>255</v>
      </c>
      <c r="CF305" s="37" t="s">
        <v>255</v>
      </c>
      <c r="CG305" s="37" t="s">
        <v>255</v>
      </c>
      <c r="CH305" s="37" t="s">
        <v>255</v>
      </c>
      <c r="CI305" s="37" t="s">
        <v>255</v>
      </c>
      <c r="CJ305" s="37" t="s">
        <v>255</v>
      </c>
      <c r="CK305" s="37" t="s">
        <v>255</v>
      </c>
      <c r="CL305" s="37" t="s">
        <v>255</v>
      </c>
      <c r="CM305" s="37" t="s">
        <v>255</v>
      </c>
      <c r="CN305" s="37" t="s">
        <v>255</v>
      </c>
      <c r="CO305" s="37" t="s">
        <v>255</v>
      </c>
      <c r="CP305" s="37" t="s">
        <v>255</v>
      </c>
      <c r="CQ305" s="37" t="s">
        <v>255</v>
      </c>
      <c r="CR305" s="123" t="s">
        <v>302</v>
      </c>
    </row>
    <row r="306" spans="1:96" ht="30" outlineLevel="1" x14ac:dyDescent="0.25">
      <c r="A306" s="19" t="s">
        <v>476</v>
      </c>
      <c r="B306" s="121" t="s">
        <v>263</v>
      </c>
      <c r="C306" s="1024" t="s">
        <v>243</v>
      </c>
      <c r="D306" s="121"/>
      <c r="E306" s="121"/>
      <c r="F306" s="34" t="s">
        <v>225</v>
      </c>
      <c r="G306" s="109" t="s">
        <v>953</v>
      </c>
      <c r="H306" s="34"/>
      <c r="I306" s="34"/>
      <c r="J306" s="34"/>
      <c r="K306" s="34"/>
      <c r="L306" s="34"/>
      <c r="M306" s="34">
        <v>3</v>
      </c>
      <c r="N306" s="235">
        <f t="shared" si="494"/>
        <v>0</v>
      </c>
      <c r="O306" s="200" t="str">
        <f t="shared" si="495"/>
        <v/>
      </c>
      <c r="P306" s="144"/>
      <c r="Q306" s="357">
        <f t="shared" si="496"/>
        <v>0</v>
      </c>
      <c r="R306" s="356" t="str">
        <f t="shared" si="497"/>
        <v/>
      </c>
      <c r="S306" s="144"/>
      <c r="T306" s="357">
        <f t="shared" si="498"/>
        <v>0</v>
      </c>
      <c r="U306" s="356" t="str">
        <f t="shared" si="499"/>
        <v/>
      </c>
      <c r="V306" s="144"/>
      <c r="W306" s="357">
        <f t="shared" si="500"/>
        <v>0</v>
      </c>
      <c r="X306" s="356" t="str">
        <f t="shared" si="501"/>
        <v/>
      </c>
      <c r="Y306" s="144"/>
      <c r="Z306" s="201">
        <f t="shared" si="502"/>
        <v>0</v>
      </c>
      <c r="AA306" s="388" t="str">
        <f t="shared" si="503"/>
        <v>НЕТ</v>
      </c>
      <c r="AB306" s="388"/>
      <c r="AC306" s="37" t="str">
        <f t="shared" si="504"/>
        <v>НЕТ</v>
      </c>
      <c r="AD306" s="37" t="str">
        <f t="shared" si="505"/>
        <v>Не требуется</v>
      </c>
      <c r="AE306" s="37"/>
      <c r="AF306" s="37" t="str">
        <f t="shared" si="506"/>
        <v>НЕТ</v>
      </c>
      <c r="AG306" s="37" t="str">
        <f t="shared" si="506"/>
        <v>НЕТ</v>
      </c>
      <c r="AH306" s="37" t="str">
        <f t="shared" si="506"/>
        <v>НЕТ</v>
      </c>
      <c r="AI306" s="37" t="str">
        <f t="shared" si="506"/>
        <v>НЕТ</v>
      </c>
      <c r="AJ306" s="37" t="str">
        <f t="shared" si="506"/>
        <v>НЕТ</v>
      </c>
      <c r="AK306" s="37" t="str">
        <f t="shared" si="506"/>
        <v>НЕТ</v>
      </c>
      <c r="AL306" s="37" t="str">
        <f t="shared" si="506"/>
        <v>НЕТ</v>
      </c>
      <c r="AM306" s="37" t="str">
        <f t="shared" si="507"/>
        <v>Не требуется</v>
      </c>
      <c r="AN306" s="37"/>
      <c r="AQ306" s="200"/>
      <c r="AR306" s="230"/>
      <c r="AS306" s="144" t="str">
        <f t="shared" si="508"/>
        <v/>
      </c>
      <c r="AT306" s="144" t="str">
        <f t="shared" si="509"/>
        <v/>
      </c>
      <c r="AU306" s="144" t="str">
        <f t="shared" si="510"/>
        <v/>
      </c>
      <c r="AV306" s="144" t="str">
        <f t="shared" si="511"/>
        <v/>
      </c>
      <c r="AW306" s="144" t="str">
        <f t="shared" si="512"/>
        <v/>
      </c>
      <c r="AX306" s="144" t="str">
        <f t="shared" si="513"/>
        <v/>
      </c>
      <c r="AY306" s="144" t="str">
        <f t="shared" si="514"/>
        <v/>
      </c>
      <c r="AZ306" s="201" t="str">
        <f t="shared" si="515"/>
        <v/>
      </c>
      <c r="BA306" s="235"/>
      <c r="BB306" s="144" t="str">
        <f t="shared" si="516"/>
        <v/>
      </c>
      <c r="BC306" s="144" t="str">
        <f t="shared" si="517"/>
        <v/>
      </c>
      <c r="BD306" s="144" t="str">
        <f t="shared" si="518"/>
        <v/>
      </c>
      <c r="BE306" s="144" t="str">
        <f t="shared" si="519"/>
        <v/>
      </c>
      <c r="BF306" s="201" t="str">
        <f t="shared" si="520"/>
        <v/>
      </c>
      <c r="BG306" s="144" t="str">
        <f t="shared" si="521"/>
        <v/>
      </c>
      <c r="BH306" s="144" t="str">
        <f t="shared" si="522"/>
        <v/>
      </c>
      <c r="BI306" s="144" t="str">
        <f t="shared" si="523"/>
        <v/>
      </c>
      <c r="BJ306" s="144" t="str">
        <f t="shared" si="524"/>
        <v/>
      </c>
      <c r="BK306" s="201" t="str">
        <f t="shared" si="525"/>
        <v/>
      </c>
      <c r="BL306" s="144" t="str">
        <f t="shared" si="526"/>
        <v/>
      </c>
      <c r="BM306" s="144" t="str">
        <f t="shared" si="527"/>
        <v/>
      </c>
      <c r="BN306" s="144" t="str">
        <f t="shared" si="528"/>
        <v/>
      </c>
      <c r="BO306" s="144" t="str">
        <f t="shared" si="529"/>
        <v/>
      </c>
      <c r="BP306" s="201" t="str">
        <f t="shared" si="530"/>
        <v/>
      </c>
      <c r="BQ306" s="209"/>
      <c r="BR306" s="388"/>
      <c r="BS306" s="37" t="s">
        <v>255</v>
      </c>
      <c r="BT306" s="37" t="s">
        <v>255</v>
      </c>
      <c r="BU306" s="37" t="s">
        <v>255</v>
      </c>
      <c r="BV306" s="37" t="s">
        <v>255</v>
      </c>
      <c r="BW306" s="37" t="s">
        <v>255</v>
      </c>
      <c r="BX306" s="37" t="s">
        <v>255</v>
      </c>
      <c r="BY306" s="37" t="s">
        <v>255</v>
      </c>
      <c r="BZ306" s="37" t="s">
        <v>255</v>
      </c>
      <c r="CA306" s="123" t="s">
        <v>255</v>
      </c>
      <c r="CB306" s="223"/>
      <c r="CC306" s="37" t="s">
        <v>255</v>
      </c>
      <c r="CD306" s="37" t="s">
        <v>255</v>
      </c>
      <c r="CE306" s="37" t="s">
        <v>255</v>
      </c>
      <c r="CF306" s="37" t="s">
        <v>255</v>
      </c>
      <c r="CG306" s="37" t="s">
        <v>255</v>
      </c>
      <c r="CH306" s="37" t="s">
        <v>255</v>
      </c>
      <c r="CI306" s="37" t="s">
        <v>255</v>
      </c>
      <c r="CJ306" s="37" t="s">
        <v>255</v>
      </c>
      <c r="CK306" s="37" t="s">
        <v>255</v>
      </c>
      <c r="CL306" s="37" t="s">
        <v>255</v>
      </c>
      <c r="CM306" s="37" t="s">
        <v>255</v>
      </c>
      <c r="CN306" s="37" t="s">
        <v>255</v>
      </c>
      <c r="CO306" s="37" t="s">
        <v>255</v>
      </c>
      <c r="CP306" s="37" t="s">
        <v>255</v>
      </c>
      <c r="CQ306" s="37" t="s">
        <v>255</v>
      </c>
      <c r="CR306" s="123" t="s">
        <v>302</v>
      </c>
    </row>
    <row r="307" spans="1:96" ht="30" outlineLevel="1" x14ac:dyDescent="0.25">
      <c r="A307" s="19" t="s">
        <v>477</v>
      </c>
      <c r="B307" s="121" t="s">
        <v>264</v>
      </c>
      <c r="C307" s="1024" t="s">
        <v>243</v>
      </c>
      <c r="D307" s="121"/>
      <c r="E307" s="121"/>
      <c r="F307" s="34" t="s">
        <v>225</v>
      </c>
      <c r="G307" s="120" t="s">
        <v>579</v>
      </c>
      <c r="H307" s="34"/>
      <c r="I307" s="34"/>
      <c r="J307" s="34"/>
      <c r="K307" s="34"/>
      <c r="L307" s="34"/>
      <c r="M307" s="34">
        <v>10</v>
      </c>
      <c r="N307" s="235">
        <f t="shared" si="494"/>
        <v>0</v>
      </c>
      <c r="O307" s="200" t="str">
        <f t="shared" si="495"/>
        <v/>
      </c>
      <c r="P307" s="144"/>
      <c r="Q307" s="357">
        <f t="shared" si="496"/>
        <v>0</v>
      </c>
      <c r="R307" s="356" t="str">
        <f t="shared" si="497"/>
        <v/>
      </c>
      <c r="S307" s="144"/>
      <c r="T307" s="357">
        <f t="shared" si="498"/>
        <v>0</v>
      </c>
      <c r="U307" s="356" t="str">
        <f t="shared" si="499"/>
        <v/>
      </c>
      <c r="V307" s="144"/>
      <c r="W307" s="357">
        <f t="shared" si="500"/>
        <v>0</v>
      </c>
      <c r="X307" s="356" t="str">
        <f t="shared" si="501"/>
        <v/>
      </c>
      <c r="Y307" s="144"/>
      <c r="Z307" s="201">
        <f t="shared" si="502"/>
        <v>0</v>
      </c>
      <c r="AA307" s="388" t="str">
        <f t="shared" si="503"/>
        <v>НЕТ</v>
      </c>
      <c r="AB307" s="388"/>
      <c r="AC307" s="37" t="str">
        <f t="shared" ref="AC307:AC326" si="531">IF(AC$8=$BT$9,$BT307,IF(AC$8=$BS$9,$BS307,IF(AC$8=$BU$9,$BU307,IF(AC$8=$BV$9,$BV307,IF(AC$8=$BW$9,$BW307,IF(AC$8=$BX$9,$BX307,IF(AC$8=$BY$9,$BY307,IF(AC$8=$BZ$9,$BZ307,IF(AC$8=$CA$9,$CA307,IF(AC$8=$CC$9,$CC307,IF(AC$8=$CD$9,$CD307,IF(AC$8=$CE$9,$CE307,IF(AC$8=$CF$9,$CF307,IF(AC$8=$CG$9,$CG307,IF(AC$8=$CH$9,$CH307,IF(AC$8=$CI$9,$CI307,IF(AC$8=$CJ$9,$CJ307,IF(AC$8=$CK$9,$CK307,IF(AC$8=$CL$9,$CL307,IF(AC$8=$CM$9,$CM307,IF(AC$8=$CN$9,$CN307,IF(AC$8=$CO$9,$CO307,IF(AC$8=$CP$9,$CP307,IF(AC$8=$CQ$9,$CQ307,"НЕТ"))))))))))))))))))))))))</f>
        <v>НЕТ</v>
      </c>
      <c r="AD307" s="37" t="str">
        <f t="shared" ref="AD307:AD326" si="532">IF(AC307="НЕТ","Не требуется",$CR307)</f>
        <v>Не требуется</v>
      </c>
      <c r="AE307" s="37"/>
      <c r="AF307" s="37" t="str">
        <f t="shared" si="506"/>
        <v>НЕТ</v>
      </c>
      <c r="AG307" s="37" t="str">
        <f t="shared" si="506"/>
        <v>НЕТ</v>
      </c>
      <c r="AH307" s="37" t="str">
        <f t="shared" si="506"/>
        <v>НЕТ</v>
      </c>
      <c r="AI307" s="37" t="str">
        <f t="shared" si="506"/>
        <v>НЕТ</v>
      </c>
      <c r="AJ307" s="37" t="str">
        <f t="shared" si="506"/>
        <v>НЕТ</v>
      </c>
      <c r="AK307" s="37" t="str">
        <f t="shared" si="506"/>
        <v>НЕТ</v>
      </c>
      <c r="AL307" s="37" t="str">
        <f t="shared" si="506"/>
        <v>НЕТ</v>
      </c>
      <c r="AM307" s="37" t="str">
        <f t="shared" si="507"/>
        <v>Не требуется</v>
      </c>
      <c r="AN307" s="37"/>
      <c r="AQ307" s="200"/>
      <c r="AR307" s="230"/>
      <c r="AS307" s="144" t="str">
        <f t="shared" si="508"/>
        <v/>
      </c>
      <c r="AT307" s="144" t="str">
        <f t="shared" si="509"/>
        <v/>
      </c>
      <c r="AU307" s="144" t="str">
        <f t="shared" si="510"/>
        <v/>
      </c>
      <c r="AV307" s="144" t="str">
        <f t="shared" si="511"/>
        <v/>
      </c>
      <c r="AW307" s="144" t="str">
        <f t="shared" si="512"/>
        <v/>
      </c>
      <c r="AX307" s="144" t="str">
        <f t="shared" si="513"/>
        <v/>
      </c>
      <c r="AY307" s="144" t="str">
        <f t="shared" si="514"/>
        <v/>
      </c>
      <c r="AZ307" s="201" t="str">
        <f t="shared" si="515"/>
        <v/>
      </c>
      <c r="BA307" s="235"/>
      <c r="BB307" s="144" t="str">
        <f t="shared" si="516"/>
        <v/>
      </c>
      <c r="BC307" s="144" t="str">
        <f t="shared" si="517"/>
        <v/>
      </c>
      <c r="BD307" s="144" t="str">
        <f t="shared" si="518"/>
        <v/>
      </c>
      <c r="BE307" s="144" t="str">
        <f t="shared" si="519"/>
        <v/>
      </c>
      <c r="BF307" s="201" t="str">
        <f t="shared" si="520"/>
        <v/>
      </c>
      <c r="BG307" s="144" t="str">
        <f t="shared" si="521"/>
        <v/>
      </c>
      <c r="BH307" s="144" t="str">
        <f t="shared" si="522"/>
        <v/>
      </c>
      <c r="BI307" s="144" t="str">
        <f t="shared" si="523"/>
        <v/>
      </c>
      <c r="BJ307" s="144" t="str">
        <f t="shared" si="524"/>
        <v/>
      </c>
      <c r="BK307" s="201" t="str">
        <f t="shared" si="525"/>
        <v/>
      </c>
      <c r="BL307" s="144" t="str">
        <f t="shared" si="526"/>
        <v/>
      </c>
      <c r="BM307" s="144" t="str">
        <f t="shared" si="527"/>
        <v/>
      </c>
      <c r="BN307" s="144" t="str">
        <f t="shared" si="528"/>
        <v/>
      </c>
      <c r="BO307" s="144" t="str">
        <f t="shared" si="529"/>
        <v/>
      </c>
      <c r="BP307" s="201" t="str">
        <f t="shared" si="530"/>
        <v/>
      </c>
      <c r="BQ307" s="209"/>
      <c r="BR307" s="388"/>
      <c r="BS307" s="37" t="s">
        <v>255</v>
      </c>
      <c r="BT307" s="37" t="s">
        <v>255</v>
      </c>
      <c r="BU307" s="37" t="s">
        <v>255</v>
      </c>
      <c r="BV307" s="37" t="s">
        <v>255</v>
      </c>
      <c r="BW307" s="37" t="s">
        <v>255</v>
      </c>
      <c r="BX307" s="37" t="s">
        <v>255</v>
      </c>
      <c r="BY307" s="37" t="s">
        <v>255</v>
      </c>
      <c r="BZ307" s="37" t="s">
        <v>255</v>
      </c>
      <c r="CA307" s="123" t="s">
        <v>255</v>
      </c>
      <c r="CB307" s="223"/>
      <c r="CC307" s="37" t="s">
        <v>255</v>
      </c>
      <c r="CD307" s="37" t="s">
        <v>255</v>
      </c>
      <c r="CE307" s="37" t="s">
        <v>255</v>
      </c>
      <c r="CF307" s="37" t="s">
        <v>255</v>
      </c>
      <c r="CG307" s="37" t="s">
        <v>255</v>
      </c>
      <c r="CH307" s="37" t="s">
        <v>255</v>
      </c>
      <c r="CI307" s="37" t="s">
        <v>255</v>
      </c>
      <c r="CJ307" s="37" t="s">
        <v>255</v>
      </c>
      <c r="CK307" s="37" t="s">
        <v>255</v>
      </c>
      <c r="CL307" s="37" t="s">
        <v>255</v>
      </c>
      <c r="CM307" s="37" t="s">
        <v>255</v>
      </c>
      <c r="CN307" s="37" t="s">
        <v>255</v>
      </c>
      <c r="CO307" s="37" t="s">
        <v>255</v>
      </c>
      <c r="CP307" s="37" t="s">
        <v>255</v>
      </c>
      <c r="CQ307" s="37" t="s">
        <v>255</v>
      </c>
      <c r="CR307" s="123" t="s">
        <v>302</v>
      </c>
    </row>
    <row r="308" spans="1:96" ht="30" outlineLevel="1" x14ac:dyDescent="0.25">
      <c r="A308" s="19" t="s">
        <v>478</v>
      </c>
      <c r="B308" s="121" t="s">
        <v>260</v>
      </c>
      <c r="C308" s="1024" t="s">
        <v>243</v>
      </c>
      <c r="D308" s="121"/>
      <c r="E308" s="121"/>
      <c r="F308" s="34" t="s">
        <v>225</v>
      </c>
      <c r="G308" s="109" t="s">
        <v>953</v>
      </c>
      <c r="H308" s="34"/>
      <c r="I308" s="34"/>
      <c r="J308" s="34"/>
      <c r="K308" s="34"/>
      <c r="L308" s="34"/>
      <c r="M308" s="34">
        <v>5</v>
      </c>
      <c r="N308" s="235">
        <f t="shared" si="494"/>
        <v>0</v>
      </c>
      <c r="O308" s="200" t="str">
        <f t="shared" si="495"/>
        <v/>
      </c>
      <c r="P308" s="144"/>
      <c r="Q308" s="357">
        <f t="shared" si="496"/>
        <v>0</v>
      </c>
      <c r="R308" s="356" t="str">
        <f t="shared" si="497"/>
        <v/>
      </c>
      <c r="S308" s="144"/>
      <c r="T308" s="357">
        <f t="shared" si="498"/>
        <v>0</v>
      </c>
      <c r="U308" s="356" t="str">
        <f t="shared" si="499"/>
        <v/>
      </c>
      <c r="V308" s="144"/>
      <c r="W308" s="357">
        <f t="shared" si="500"/>
        <v>0</v>
      </c>
      <c r="X308" s="356" t="str">
        <f t="shared" si="501"/>
        <v/>
      </c>
      <c r="Y308" s="144"/>
      <c r="Z308" s="201">
        <f t="shared" si="502"/>
        <v>0</v>
      </c>
      <c r="AA308" s="388" t="str">
        <f t="shared" si="503"/>
        <v>НЕТ</v>
      </c>
      <c r="AB308" s="388"/>
      <c r="AC308" s="37" t="str">
        <f t="shared" si="531"/>
        <v>НЕТ</v>
      </c>
      <c r="AD308" s="37" t="str">
        <f t="shared" si="532"/>
        <v>Не требуется</v>
      </c>
      <c r="AE308" s="37"/>
      <c r="AF308" s="37" t="str">
        <f t="shared" si="506"/>
        <v>НЕТ</v>
      </c>
      <c r="AG308" s="37" t="str">
        <f t="shared" si="506"/>
        <v>НЕТ</v>
      </c>
      <c r="AH308" s="37" t="str">
        <f t="shared" si="506"/>
        <v>НЕТ</v>
      </c>
      <c r="AI308" s="37" t="str">
        <f t="shared" si="506"/>
        <v>НЕТ</v>
      </c>
      <c r="AJ308" s="37" t="str">
        <f t="shared" si="506"/>
        <v>НЕТ</v>
      </c>
      <c r="AK308" s="37" t="str">
        <f t="shared" si="506"/>
        <v>НЕТ</v>
      </c>
      <c r="AL308" s="37" t="str">
        <f t="shared" si="506"/>
        <v>НЕТ</v>
      </c>
      <c r="AM308" s="37" t="str">
        <f t="shared" si="507"/>
        <v>Не требуется</v>
      </c>
      <c r="AN308" s="37"/>
      <c r="AQ308" s="200"/>
      <c r="AR308" s="230"/>
      <c r="AS308" s="144" t="str">
        <f t="shared" si="508"/>
        <v/>
      </c>
      <c r="AT308" s="144" t="str">
        <f t="shared" si="509"/>
        <v/>
      </c>
      <c r="AU308" s="144" t="str">
        <f t="shared" si="510"/>
        <v/>
      </c>
      <c r="AV308" s="144" t="str">
        <f t="shared" si="511"/>
        <v/>
      </c>
      <c r="AW308" s="144" t="str">
        <f t="shared" si="512"/>
        <v/>
      </c>
      <c r="AX308" s="144" t="str">
        <f t="shared" si="513"/>
        <v/>
      </c>
      <c r="AY308" s="144" t="str">
        <f t="shared" si="514"/>
        <v/>
      </c>
      <c r="AZ308" s="201" t="str">
        <f t="shared" si="515"/>
        <v/>
      </c>
      <c r="BA308" s="235"/>
      <c r="BB308" s="144" t="str">
        <f t="shared" si="516"/>
        <v/>
      </c>
      <c r="BC308" s="144" t="str">
        <f t="shared" si="517"/>
        <v/>
      </c>
      <c r="BD308" s="144" t="str">
        <f t="shared" si="518"/>
        <v/>
      </c>
      <c r="BE308" s="144" t="str">
        <f t="shared" si="519"/>
        <v/>
      </c>
      <c r="BF308" s="201" t="str">
        <f t="shared" si="520"/>
        <v/>
      </c>
      <c r="BG308" s="144" t="str">
        <f t="shared" si="521"/>
        <v/>
      </c>
      <c r="BH308" s="144" t="str">
        <f t="shared" si="522"/>
        <v/>
      </c>
      <c r="BI308" s="144" t="str">
        <f t="shared" si="523"/>
        <v/>
      </c>
      <c r="BJ308" s="144" t="str">
        <f t="shared" si="524"/>
        <v/>
      </c>
      <c r="BK308" s="201" t="str">
        <f t="shared" si="525"/>
        <v/>
      </c>
      <c r="BL308" s="144" t="str">
        <f t="shared" si="526"/>
        <v/>
      </c>
      <c r="BM308" s="144" t="str">
        <f t="shared" si="527"/>
        <v/>
      </c>
      <c r="BN308" s="144" t="str">
        <f t="shared" si="528"/>
        <v/>
      </c>
      <c r="BO308" s="144" t="str">
        <f t="shared" si="529"/>
        <v/>
      </c>
      <c r="BP308" s="201" t="str">
        <f t="shared" si="530"/>
        <v/>
      </c>
      <c r="BQ308" s="209"/>
      <c r="BR308" s="388"/>
      <c r="BS308" s="37" t="s">
        <v>255</v>
      </c>
      <c r="BT308" s="37" t="s">
        <v>255</v>
      </c>
      <c r="BU308" s="37" t="s">
        <v>255</v>
      </c>
      <c r="BV308" s="37" t="s">
        <v>255</v>
      </c>
      <c r="BW308" s="37" t="s">
        <v>255</v>
      </c>
      <c r="BX308" s="37" t="s">
        <v>255</v>
      </c>
      <c r="BY308" s="37" t="s">
        <v>255</v>
      </c>
      <c r="BZ308" s="37" t="s">
        <v>255</v>
      </c>
      <c r="CA308" s="123" t="s">
        <v>255</v>
      </c>
      <c r="CB308" s="223"/>
      <c r="CC308" s="37" t="s">
        <v>255</v>
      </c>
      <c r="CD308" s="37" t="s">
        <v>255</v>
      </c>
      <c r="CE308" s="37" t="s">
        <v>255</v>
      </c>
      <c r="CF308" s="37" t="s">
        <v>255</v>
      </c>
      <c r="CG308" s="37" t="s">
        <v>255</v>
      </c>
      <c r="CH308" s="37" t="s">
        <v>255</v>
      </c>
      <c r="CI308" s="37" t="s">
        <v>255</v>
      </c>
      <c r="CJ308" s="37" t="s">
        <v>255</v>
      </c>
      <c r="CK308" s="37" t="s">
        <v>255</v>
      </c>
      <c r="CL308" s="37" t="s">
        <v>255</v>
      </c>
      <c r="CM308" s="37" t="s">
        <v>255</v>
      </c>
      <c r="CN308" s="37" t="s">
        <v>255</v>
      </c>
      <c r="CO308" s="37" t="s">
        <v>255</v>
      </c>
      <c r="CP308" s="37" t="s">
        <v>255</v>
      </c>
      <c r="CQ308" s="37" t="s">
        <v>255</v>
      </c>
      <c r="CR308" s="123" t="s">
        <v>302</v>
      </c>
    </row>
    <row r="309" spans="1:96" ht="30" outlineLevel="1" x14ac:dyDescent="0.25">
      <c r="A309" s="19" t="s">
        <v>479</v>
      </c>
      <c r="B309" s="121" t="s">
        <v>266</v>
      </c>
      <c r="C309" s="1024" t="s">
        <v>243</v>
      </c>
      <c r="D309" s="121"/>
      <c r="E309" s="121"/>
      <c r="F309" s="34" t="s">
        <v>225</v>
      </c>
      <c r="G309" s="120" t="s">
        <v>579</v>
      </c>
      <c r="H309" s="34"/>
      <c r="I309" s="34"/>
      <c r="J309" s="34"/>
      <c r="K309" s="34"/>
      <c r="L309" s="34"/>
      <c r="M309" s="34">
        <v>10</v>
      </c>
      <c r="N309" s="235">
        <f t="shared" si="494"/>
        <v>0</v>
      </c>
      <c r="O309" s="200" t="str">
        <f t="shared" si="495"/>
        <v/>
      </c>
      <c r="P309" s="144"/>
      <c r="Q309" s="357">
        <f t="shared" si="496"/>
        <v>0</v>
      </c>
      <c r="R309" s="356" t="str">
        <f t="shared" si="497"/>
        <v/>
      </c>
      <c r="S309" s="144"/>
      <c r="T309" s="357">
        <f t="shared" si="498"/>
        <v>0</v>
      </c>
      <c r="U309" s="356" t="str">
        <f t="shared" si="499"/>
        <v/>
      </c>
      <c r="V309" s="144"/>
      <c r="W309" s="357">
        <f t="shared" si="500"/>
        <v>0</v>
      </c>
      <c r="X309" s="356" t="str">
        <f t="shared" si="501"/>
        <v/>
      </c>
      <c r="Y309" s="144"/>
      <c r="Z309" s="201">
        <f t="shared" si="502"/>
        <v>0</v>
      </c>
      <c r="AA309" s="388" t="str">
        <f t="shared" si="503"/>
        <v>НЕТ</v>
      </c>
      <c r="AB309" s="388"/>
      <c r="AC309" s="37" t="str">
        <f t="shared" si="531"/>
        <v>НЕТ</v>
      </c>
      <c r="AD309" s="37" t="str">
        <f t="shared" si="532"/>
        <v>Не требуется</v>
      </c>
      <c r="AE309" s="37"/>
      <c r="AF309" s="37" t="str">
        <f t="shared" si="506"/>
        <v>НЕТ</v>
      </c>
      <c r="AG309" s="37" t="str">
        <f t="shared" si="506"/>
        <v>НЕТ</v>
      </c>
      <c r="AH309" s="37" t="str">
        <f t="shared" si="506"/>
        <v>НЕТ</v>
      </c>
      <c r="AI309" s="37" t="str">
        <f t="shared" si="506"/>
        <v>НЕТ</v>
      </c>
      <c r="AJ309" s="37" t="str">
        <f t="shared" si="506"/>
        <v>НЕТ</v>
      </c>
      <c r="AK309" s="37" t="str">
        <f t="shared" si="506"/>
        <v>НЕТ</v>
      </c>
      <c r="AL309" s="37" t="str">
        <f t="shared" si="506"/>
        <v>НЕТ</v>
      </c>
      <c r="AM309" s="37" t="str">
        <f t="shared" si="507"/>
        <v>Не требуется</v>
      </c>
      <c r="AN309" s="37"/>
      <c r="AQ309" s="200"/>
      <c r="AR309" s="230"/>
      <c r="AS309" s="144" t="str">
        <f t="shared" si="508"/>
        <v/>
      </c>
      <c r="AT309" s="144" t="str">
        <f t="shared" si="509"/>
        <v/>
      </c>
      <c r="AU309" s="144" t="str">
        <f t="shared" si="510"/>
        <v/>
      </c>
      <c r="AV309" s="144" t="str">
        <f t="shared" si="511"/>
        <v/>
      </c>
      <c r="AW309" s="144" t="str">
        <f t="shared" si="512"/>
        <v/>
      </c>
      <c r="AX309" s="144" t="str">
        <f t="shared" si="513"/>
        <v/>
      </c>
      <c r="AY309" s="144" t="str">
        <f t="shared" si="514"/>
        <v/>
      </c>
      <c r="AZ309" s="201" t="str">
        <f t="shared" si="515"/>
        <v/>
      </c>
      <c r="BA309" s="235"/>
      <c r="BB309" s="144" t="str">
        <f t="shared" si="516"/>
        <v/>
      </c>
      <c r="BC309" s="144" t="str">
        <f t="shared" si="517"/>
        <v/>
      </c>
      <c r="BD309" s="144" t="str">
        <f t="shared" si="518"/>
        <v/>
      </c>
      <c r="BE309" s="144" t="str">
        <f t="shared" si="519"/>
        <v/>
      </c>
      <c r="BF309" s="201" t="str">
        <f t="shared" si="520"/>
        <v/>
      </c>
      <c r="BG309" s="144" t="str">
        <f t="shared" si="521"/>
        <v/>
      </c>
      <c r="BH309" s="144" t="str">
        <f t="shared" si="522"/>
        <v/>
      </c>
      <c r="BI309" s="144" t="str">
        <f t="shared" si="523"/>
        <v/>
      </c>
      <c r="BJ309" s="144" t="str">
        <f t="shared" si="524"/>
        <v/>
      </c>
      <c r="BK309" s="201" t="str">
        <f t="shared" si="525"/>
        <v/>
      </c>
      <c r="BL309" s="144" t="str">
        <f t="shared" si="526"/>
        <v/>
      </c>
      <c r="BM309" s="144" t="str">
        <f t="shared" si="527"/>
        <v/>
      </c>
      <c r="BN309" s="144" t="str">
        <f t="shared" si="528"/>
        <v/>
      </c>
      <c r="BO309" s="144" t="str">
        <f t="shared" si="529"/>
        <v/>
      </c>
      <c r="BP309" s="201" t="str">
        <f t="shared" si="530"/>
        <v/>
      </c>
      <c r="BQ309" s="209"/>
      <c r="BR309" s="388"/>
      <c r="BS309" s="37" t="s">
        <v>255</v>
      </c>
      <c r="BT309" s="37" t="s">
        <v>255</v>
      </c>
      <c r="BU309" s="37" t="s">
        <v>255</v>
      </c>
      <c r="BV309" s="37" t="s">
        <v>255</v>
      </c>
      <c r="BW309" s="37" t="s">
        <v>255</v>
      </c>
      <c r="BX309" s="37" t="s">
        <v>255</v>
      </c>
      <c r="BY309" s="37" t="s">
        <v>255</v>
      </c>
      <c r="BZ309" s="37" t="s">
        <v>255</v>
      </c>
      <c r="CA309" s="123" t="s">
        <v>255</v>
      </c>
      <c r="CB309" s="223"/>
      <c r="CC309" s="37" t="s">
        <v>255</v>
      </c>
      <c r="CD309" s="37" t="s">
        <v>255</v>
      </c>
      <c r="CE309" s="37" t="s">
        <v>255</v>
      </c>
      <c r="CF309" s="37" t="s">
        <v>255</v>
      </c>
      <c r="CG309" s="37" t="s">
        <v>255</v>
      </c>
      <c r="CH309" s="37" t="s">
        <v>255</v>
      </c>
      <c r="CI309" s="37" t="s">
        <v>255</v>
      </c>
      <c r="CJ309" s="37" t="s">
        <v>255</v>
      </c>
      <c r="CK309" s="37" t="s">
        <v>255</v>
      </c>
      <c r="CL309" s="37" t="s">
        <v>255</v>
      </c>
      <c r="CM309" s="37" t="s">
        <v>255</v>
      </c>
      <c r="CN309" s="37" t="s">
        <v>255</v>
      </c>
      <c r="CO309" s="37" t="s">
        <v>255</v>
      </c>
      <c r="CP309" s="37" t="s">
        <v>255</v>
      </c>
      <c r="CQ309" s="37" t="s">
        <v>255</v>
      </c>
      <c r="CR309" s="123" t="s">
        <v>302</v>
      </c>
    </row>
    <row r="310" spans="1:96" ht="30" outlineLevel="1" collapsed="1" x14ac:dyDescent="0.25">
      <c r="A310" s="134" t="s">
        <v>480</v>
      </c>
      <c r="B310" s="115" t="s">
        <v>672</v>
      </c>
      <c r="C310" s="115"/>
      <c r="D310" s="115"/>
      <c r="E310" s="146"/>
      <c r="F310" s="109" t="s">
        <v>223</v>
      </c>
      <c r="G310" s="109" t="s">
        <v>953</v>
      </c>
      <c r="H310" s="109"/>
      <c r="I310" s="109"/>
      <c r="J310" s="109"/>
      <c r="K310" s="109"/>
      <c r="L310" s="109"/>
      <c r="M310" s="109">
        <v>1</v>
      </c>
      <c r="N310" s="235">
        <f t="shared" si="494"/>
        <v>0</v>
      </c>
      <c r="O310" s="200" t="str">
        <f t="shared" si="495"/>
        <v/>
      </c>
      <c r="P310" s="144"/>
      <c r="Q310" s="357">
        <f t="shared" si="496"/>
        <v>0</v>
      </c>
      <c r="R310" s="356" t="str">
        <f t="shared" si="497"/>
        <v/>
      </c>
      <c r="S310" s="144"/>
      <c r="T310" s="357">
        <f t="shared" si="498"/>
        <v>0</v>
      </c>
      <c r="U310" s="356" t="str">
        <f t="shared" si="499"/>
        <v/>
      </c>
      <c r="V310" s="144"/>
      <c r="W310" s="357">
        <f t="shared" si="500"/>
        <v>0</v>
      </c>
      <c r="X310" s="356" t="str">
        <f t="shared" si="501"/>
        <v/>
      </c>
      <c r="Y310" s="144"/>
      <c r="Z310" s="201">
        <f t="shared" si="502"/>
        <v>0</v>
      </c>
      <c r="AA310" s="388" t="str">
        <f t="shared" si="503"/>
        <v>НЕТ</v>
      </c>
      <c r="AB310" s="388"/>
      <c r="AC310" s="37" t="str">
        <f t="shared" si="531"/>
        <v>НЕТ</v>
      </c>
      <c r="AD310" s="37" t="str">
        <f t="shared" si="532"/>
        <v>Не требуется</v>
      </c>
      <c r="AE310" s="37"/>
      <c r="AF310" s="37" t="str">
        <f t="shared" si="506"/>
        <v>НЕТ</v>
      </c>
      <c r="AG310" s="37" t="str">
        <f t="shared" si="506"/>
        <v>НЕТ</v>
      </c>
      <c r="AH310" s="37" t="str">
        <f t="shared" si="506"/>
        <v>НЕТ</v>
      </c>
      <c r="AI310" s="37" t="str">
        <f t="shared" si="506"/>
        <v>НЕТ</v>
      </c>
      <c r="AJ310" s="37" t="str">
        <f t="shared" si="506"/>
        <v>НЕТ</v>
      </c>
      <c r="AK310" s="37" t="str">
        <f t="shared" si="506"/>
        <v>НЕТ</v>
      </c>
      <c r="AL310" s="37" t="str">
        <f t="shared" si="506"/>
        <v>НЕТ</v>
      </c>
      <c r="AM310" s="37" t="str">
        <f t="shared" si="507"/>
        <v>Не требуется</v>
      </c>
      <c r="AN310" s="37"/>
      <c r="AQ310" s="200"/>
      <c r="AR310" s="230"/>
      <c r="AS310" s="144" t="str">
        <f t="shared" si="508"/>
        <v/>
      </c>
      <c r="AT310" s="144" t="str">
        <f t="shared" si="509"/>
        <v/>
      </c>
      <c r="AU310" s="144" t="str">
        <f t="shared" si="510"/>
        <v/>
      </c>
      <c r="AV310" s="144" t="str">
        <f t="shared" si="511"/>
        <v/>
      </c>
      <c r="AW310" s="144" t="str">
        <f t="shared" si="512"/>
        <v/>
      </c>
      <c r="AX310" s="144" t="str">
        <f t="shared" si="513"/>
        <v/>
      </c>
      <c r="AY310" s="144" t="str">
        <f t="shared" si="514"/>
        <v/>
      </c>
      <c r="AZ310" s="201" t="str">
        <f t="shared" si="515"/>
        <v/>
      </c>
      <c r="BA310" s="235"/>
      <c r="BB310" s="144" t="str">
        <f t="shared" si="516"/>
        <v/>
      </c>
      <c r="BC310" s="144" t="str">
        <f t="shared" si="517"/>
        <v/>
      </c>
      <c r="BD310" s="144" t="str">
        <f t="shared" si="518"/>
        <v/>
      </c>
      <c r="BE310" s="144" t="str">
        <f t="shared" si="519"/>
        <v/>
      </c>
      <c r="BF310" s="201" t="str">
        <f t="shared" si="520"/>
        <v/>
      </c>
      <c r="BG310" s="144" t="str">
        <f t="shared" si="521"/>
        <v/>
      </c>
      <c r="BH310" s="144" t="str">
        <f t="shared" si="522"/>
        <v/>
      </c>
      <c r="BI310" s="144" t="str">
        <f t="shared" si="523"/>
        <v/>
      </c>
      <c r="BJ310" s="144" t="str">
        <f t="shared" si="524"/>
        <v/>
      </c>
      <c r="BK310" s="201" t="str">
        <f t="shared" si="525"/>
        <v/>
      </c>
      <c r="BL310" s="144" t="str">
        <f t="shared" si="526"/>
        <v/>
      </c>
      <c r="BM310" s="144" t="str">
        <f t="shared" si="527"/>
        <v/>
      </c>
      <c r="BN310" s="144" t="str">
        <f t="shared" si="528"/>
        <v/>
      </c>
      <c r="BO310" s="144" t="str">
        <f t="shared" si="529"/>
        <v/>
      </c>
      <c r="BP310" s="201" t="str">
        <f t="shared" si="530"/>
        <v/>
      </c>
      <c r="BQ310" s="209"/>
      <c r="BR310" s="388"/>
      <c r="BS310" s="37" t="s">
        <v>255</v>
      </c>
      <c r="BT310" s="37" t="s">
        <v>255</v>
      </c>
      <c r="BU310" s="37" t="s">
        <v>255</v>
      </c>
      <c r="BV310" s="37" t="s">
        <v>255</v>
      </c>
      <c r="BW310" s="37" t="s">
        <v>255</v>
      </c>
      <c r="BX310" s="37" t="s">
        <v>255</v>
      </c>
      <c r="BY310" s="37" t="s">
        <v>255</v>
      </c>
      <c r="BZ310" s="37" t="s">
        <v>255</v>
      </c>
      <c r="CA310" s="123" t="s">
        <v>255</v>
      </c>
      <c r="CB310" s="223"/>
      <c r="CC310" s="37" t="s">
        <v>255</v>
      </c>
      <c r="CD310" s="37" t="s">
        <v>255</v>
      </c>
      <c r="CE310" s="37" t="s">
        <v>255</v>
      </c>
      <c r="CF310" s="37" t="s">
        <v>255</v>
      </c>
      <c r="CG310" s="37" t="s">
        <v>255</v>
      </c>
      <c r="CH310" s="37" t="s">
        <v>255</v>
      </c>
      <c r="CI310" s="37" t="s">
        <v>255</v>
      </c>
      <c r="CJ310" s="37" t="s">
        <v>255</v>
      </c>
      <c r="CK310" s="37" t="s">
        <v>255</v>
      </c>
      <c r="CL310" s="37" t="s">
        <v>255</v>
      </c>
      <c r="CM310" s="37" t="s">
        <v>255</v>
      </c>
      <c r="CN310" s="37" t="s">
        <v>255</v>
      </c>
      <c r="CO310" s="37" t="s">
        <v>255</v>
      </c>
      <c r="CP310" s="37" t="s">
        <v>255</v>
      </c>
      <c r="CQ310" s="37" t="s">
        <v>255</v>
      </c>
      <c r="CR310" s="123" t="s">
        <v>302</v>
      </c>
    </row>
    <row r="311" spans="1:96" ht="30.75" outlineLevel="1" thickBot="1" x14ac:dyDescent="0.3">
      <c r="A311" s="19" t="s">
        <v>481</v>
      </c>
      <c r="B311" s="121" t="s">
        <v>1846</v>
      </c>
      <c r="C311" s="1024" t="s">
        <v>243</v>
      </c>
      <c r="D311" s="121"/>
      <c r="E311" s="121"/>
      <c r="F311" s="34" t="s">
        <v>225</v>
      </c>
      <c r="G311" s="861" t="s">
        <v>579</v>
      </c>
      <c r="H311" s="34"/>
      <c r="I311" s="34"/>
      <c r="J311" s="34"/>
      <c r="K311" s="34"/>
      <c r="L311" s="34"/>
      <c r="M311" s="862">
        <v>1</v>
      </c>
      <c r="N311" s="235">
        <f t="shared" si="494"/>
        <v>0</v>
      </c>
      <c r="O311" s="200" t="str">
        <f t="shared" si="495"/>
        <v/>
      </c>
      <c r="P311" s="144"/>
      <c r="Q311" s="357">
        <f t="shared" si="496"/>
        <v>0</v>
      </c>
      <c r="R311" s="356" t="str">
        <f t="shared" si="497"/>
        <v/>
      </c>
      <c r="S311" s="144"/>
      <c r="T311" s="357">
        <f t="shared" si="498"/>
        <v>0</v>
      </c>
      <c r="U311" s="356" t="str">
        <f t="shared" si="499"/>
        <v/>
      </c>
      <c r="V311" s="144"/>
      <c r="W311" s="357">
        <f t="shared" si="500"/>
        <v>0</v>
      </c>
      <c r="X311" s="356" t="str">
        <f t="shared" si="501"/>
        <v/>
      </c>
      <c r="Y311" s="144"/>
      <c r="Z311" s="201">
        <f t="shared" si="502"/>
        <v>0</v>
      </c>
      <c r="AA311" s="388" t="str">
        <f t="shared" si="503"/>
        <v>НЕТ</v>
      </c>
      <c r="AB311" s="388"/>
      <c r="AC311" s="37" t="str">
        <f t="shared" si="531"/>
        <v>НЕТ</v>
      </c>
      <c r="AD311" s="37" t="str">
        <f t="shared" si="532"/>
        <v>Не требуется</v>
      </c>
      <c r="AE311" s="37"/>
      <c r="AF311" s="37" t="str">
        <f t="shared" si="506"/>
        <v>НЕТ</v>
      </c>
      <c r="AG311" s="37" t="str">
        <f t="shared" si="506"/>
        <v>НЕТ</v>
      </c>
      <c r="AH311" s="37" t="str">
        <f t="shared" si="506"/>
        <v>НЕТ</v>
      </c>
      <c r="AI311" s="37" t="str">
        <f t="shared" si="506"/>
        <v>НЕТ</v>
      </c>
      <c r="AJ311" s="37" t="str">
        <f t="shared" si="506"/>
        <v>НЕТ</v>
      </c>
      <c r="AK311" s="37" t="str">
        <f t="shared" si="506"/>
        <v>НЕТ</v>
      </c>
      <c r="AL311" s="37" t="str">
        <f t="shared" si="506"/>
        <v>НЕТ</v>
      </c>
      <c r="AM311" s="37" t="str">
        <f t="shared" si="507"/>
        <v>Не требуется</v>
      </c>
      <c r="AN311" s="37"/>
      <c r="AQ311" s="200"/>
      <c r="AR311" s="230"/>
      <c r="AS311" s="144" t="str">
        <f t="shared" si="508"/>
        <v/>
      </c>
      <c r="AT311" s="144" t="str">
        <f t="shared" si="509"/>
        <v/>
      </c>
      <c r="AU311" s="144" t="str">
        <f t="shared" si="510"/>
        <v/>
      </c>
      <c r="AV311" s="144" t="str">
        <f t="shared" si="511"/>
        <v/>
      </c>
      <c r="AW311" s="144" t="str">
        <f t="shared" si="512"/>
        <v/>
      </c>
      <c r="AX311" s="144" t="str">
        <f t="shared" si="513"/>
        <v/>
      </c>
      <c r="AY311" s="144" t="str">
        <f t="shared" si="514"/>
        <v/>
      </c>
      <c r="AZ311" s="201" t="str">
        <f t="shared" si="515"/>
        <v/>
      </c>
      <c r="BA311" s="235"/>
      <c r="BB311" s="144" t="str">
        <f t="shared" si="516"/>
        <v/>
      </c>
      <c r="BC311" s="144" t="str">
        <f t="shared" si="517"/>
        <v/>
      </c>
      <c r="BD311" s="144" t="str">
        <f t="shared" si="518"/>
        <v/>
      </c>
      <c r="BE311" s="144" t="str">
        <f t="shared" si="519"/>
        <v/>
      </c>
      <c r="BF311" s="201" t="str">
        <f t="shared" si="520"/>
        <v/>
      </c>
      <c r="BG311" s="144" t="str">
        <f t="shared" si="521"/>
        <v/>
      </c>
      <c r="BH311" s="144" t="str">
        <f t="shared" si="522"/>
        <v/>
      </c>
      <c r="BI311" s="144" t="str">
        <f t="shared" si="523"/>
        <v/>
      </c>
      <c r="BJ311" s="144" t="str">
        <f t="shared" si="524"/>
        <v/>
      </c>
      <c r="BK311" s="201" t="str">
        <f t="shared" si="525"/>
        <v/>
      </c>
      <c r="BL311" s="144" t="str">
        <f t="shared" si="526"/>
        <v/>
      </c>
      <c r="BM311" s="144" t="str">
        <f t="shared" si="527"/>
        <v/>
      </c>
      <c r="BN311" s="144" t="str">
        <f t="shared" si="528"/>
        <v/>
      </c>
      <c r="BO311" s="144" t="str">
        <f t="shared" si="529"/>
        <v/>
      </c>
      <c r="BP311" s="201" t="str">
        <f t="shared" si="530"/>
        <v/>
      </c>
      <c r="BQ311" s="209"/>
      <c r="BR311" s="388"/>
      <c r="BS311" s="37" t="s">
        <v>255</v>
      </c>
      <c r="BT311" s="37" t="s">
        <v>255</v>
      </c>
      <c r="BU311" s="37" t="s">
        <v>255</v>
      </c>
      <c r="BV311" s="37" t="s">
        <v>255</v>
      </c>
      <c r="BW311" s="37" t="s">
        <v>255</v>
      </c>
      <c r="BX311" s="37" t="s">
        <v>255</v>
      </c>
      <c r="BY311" s="37" t="s">
        <v>255</v>
      </c>
      <c r="BZ311" s="37" t="s">
        <v>255</v>
      </c>
      <c r="CA311" s="123" t="s">
        <v>255</v>
      </c>
      <c r="CB311" s="223"/>
      <c r="CC311" s="37" t="s">
        <v>255</v>
      </c>
      <c r="CD311" s="37" t="s">
        <v>255</v>
      </c>
      <c r="CE311" s="37" t="s">
        <v>255</v>
      </c>
      <c r="CF311" s="37" t="s">
        <v>255</v>
      </c>
      <c r="CG311" s="37" t="s">
        <v>255</v>
      </c>
      <c r="CH311" s="37" t="s">
        <v>255</v>
      </c>
      <c r="CI311" s="37" t="s">
        <v>255</v>
      </c>
      <c r="CJ311" s="37" t="s">
        <v>255</v>
      </c>
      <c r="CK311" s="37" t="s">
        <v>255</v>
      </c>
      <c r="CL311" s="37" t="s">
        <v>255</v>
      </c>
      <c r="CM311" s="37" t="s">
        <v>255</v>
      </c>
      <c r="CN311" s="37" t="s">
        <v>255</v>
      </c>
      <c r="CO311" s="37" t="s">
        <v>255</v>
      </c>
      <c r="CP311" s="37" t="s">
        <v>255</v>
      </c>
      <c r="CQ311" s="37" t="s">
        <v>255</v>
      </c>
      <c r="CR311" s="124" t="s">
        <v>302</v>
      </c>
    </row>
    <row r="312" spans="1:96" ht="30.75" outlineLevel="1" thickBot="1" x14ac:dyDescent="0.3">
      <c r="A312" s="19" t="s">
        <v>482</v>
      </c>
      <c r="B312" s="121" t="s">
        <v>1847</v>
      </c>
      <c r="C312" s="1024" t="s">
        <v>243</v>
      </c>
      <c r="D312" s="121"/>
      <c r="E312" s="121"/>
      <c r="F312" s="34" t="s">
        <v>225</v>
      </c>
      <c r="G312" s="861" t="s">
        <v>579</v>
      </c>
      <c r="H312" s="34"/>
      <c r="I312" s="34"/>
      <c r="J312" s="34"/>
      <c r="K312" s="34"/>
      <c r="L312" s="34"/>
      <c r="M312" s="862"/>
      <c r="N312" s="235">
        <f t="shared" si="494"/>
        <v>0</v>
      </c>
      <c r="O312" s="200" t="str">
        <f t="shared" si="495"/>
        <v/>
      </c>
      <c r="P312" s="144"/>
      <c r="Q312" s="357">
        <f t="shared" si="496"/>
        <v>0</v>
      </c>
      <c r="R312" s="356" t="str">
        <f t="shared" si="497"/>
        <v/>
      </c>
      <c r="S312" s="144"/>
      <c r="T312" s="357">
        <f t="shared" si="498"/>
        <v>0</v>
      </c>
      <c r="U312" s="356" t="str">
        <f t="shared" si="499"/>
        <v/>
      </c>
      <c r="V312" s="144"/>
      <c r="W312" s="357">
        <f t="shared" si="500"/>
        <v>0</v>
      </c>
      <c r="X312" s="356" t="str">
        <f t="shared" si="501"/>
        <v/>
      </c>
      <c r="Y312" s="144"/>
      <c r="Z312" s="201">
        <f t="shared" si="502"/>
        <v>0</v>
      </c>
      <c r="AA312" s="388" t="str">
        <f t="shared" si="503"/>
        <v>НЕТ</v>
      </c>
      <c r="AB312" s="388"/>
      <c r="AC312" s="37" t="str">
        <f t="shared" si="531"/>
        <v>НЕТ</v>
      </c>
      <c r="AD312" s="37" t="str">
        <f t="shared" si="532"/>
        <v>Не требуется</v>
      </c>
      <c r="AE312" s="37"/>
      <c r="AF312" s="37" t="str">
        <f t="shared" si="506"/>
        <v>НЕТ</v>
      </c>
      <c r="AG312" s="37" t="str">
        <f t="shared" si="506"/>
        <v>НЕТ</v>
      </c>
      <c r="AH312" s="37" t="str">
        <f t="shared" si="506"/>
        <v>НЕТ</v>
      </c>
      <c r="AI312" s="37" t="str">
        <f t="shared" si="506"/>
        <v>НЕТ</v>
      </c>
      <c r="AJ312" s="37" t="str">
        <f t="shared" si="506"/>
        <v>НЕТ</v>
      </c>
      <c r="AK312" s="37" t="str">
        <f t="shared" si="506"/>
        <v>НЕТ</v>
      </c>
      <c r="AL312" s="37" t="str">
        <f t="shared" si="506"/>
        <v>НЕТ</v>
      </c>
      <c r="AM312" s="37" t="str">
        <f t="shared" si="507"/>
        <v>Не требуется</v>
      </c>
      <c r="AN312" s="37"/>
      <c r="AQ312" s="200"/>
      <c r="AR312" s="230"/>
      <c r="AS312" s="144" t="str">
        <f t="shared" si="508"/>
        <v/>
      </c>
      <c r="AT312" s="144" t="str">
        <f t="shared" si="509"/>
        <v/>
      </c>
      <c r="AU312" s="144" t="str">
        <f t="shared" si="510"/>
        <v/>
      </c>
      <c r="AV312" s="144" t="str">
        <f t="shared" si="511"/>
        <v/>
      </c>
      <c r="AW312" s="144" t="str">
        <f t="shared" si="512"/>
        <v/>
      </c>
      <c r="AX312" s="144" t="str">
        <f t="shared" si="513"/>
        <v/>
      </c>
      <c r="AY312" s="144" t="str">
        <f t="shared" si="514"/>
        <v/>
      </c>
      <c r="AZ312" s="201" t="str">
        <f t="shared" si="515"/>
        <v/>
      </c>
      <c r="BA312" s="235"/>
      <c r="BB312" s="144" t="str">
        <f t="shared" si="516"/>
        <v/>
      </c>
      <c r="BC312" s="144" t="str">
        <f t="shared" si="517"/>
        <v/>
      </c>
      <c r="BD312" s="144" t="str">
        <f t="shared" si="518"/>
        <v/>
      </c>
      <c r="BE312" s="144" t="str">
        <f t="shared" si="519"/>
        <v/>
      </c>
      <c r="BF312" s="201" t="str">
        <f t="shared" si="520"/>
        <v/>
      </c>
      <c r="BG312" s="144" t="str">
        <f t="shared" si="521"/>
        <v/>
      </c>
      <c r="BH312" s="144" t="str">
        <f t="shared" si="522"/>
        <v/>
      </c>
      <c r="BI312" s="144" t="str">
        <f t="shared" si="523"/>
        <v/>
      </c>
      <c r="BJ312" s="144" t="str">
        <f t="shared" si="524"/>
        <v/>
      </c>
      <c r="BK312" s="201" t="str">
        <f t="shared" si="525"/>
        <v/>
      </c>
      <c r="BL312" s="144" t="str">
        <f t="shared" si="526"/>
        <v/>
      </c>
      <c r="BM312" s="144" t="str">
        <f t="shared" si="527"/>
        <v/>
      </c>
      <c r="BN312" s="144" t="str">
        <f t="shared" si="528"/>
        <v/>
      </c>
      <c r="BO312" s="144" t="str">
        <f t="shared" si="529"/>
        <v/>
      </c>
      <c r="BP312" s="201" t="str">
        <f t="shared" si="530"/>
        <v/>
      </c>
      <c r="BQ312" s="209"/>
      <c r="BR312" s="388"/>
      <c r="BS312" s="37" t="s">
        <v>255</v>
      </c>
      <c r="BT312" s="37" t="s">
        <v>255</v>
      </c>
      <c r="BU312" s="37" t="s">
        <v>255</v>
      </c>
      <c r="BV312" s="37" t="s">
        <v>255</v>
      </c>
      <c r="BW312" s="37" t="s">
        <v>255</v>
      </c>
      <c r="BX312" s="37" t="s">
        <v>255</v>
      </c>
      <c r="BY312" s="37" t="s">
        <v>255</v>
      </c>
      <c r="BZ312" s="37" t="s">
        <v>255</v>
      </c>
      <c r="CA312" s="123" t="s">
        <v>255</v>
      </c>
      <c r="CB312" s="223"/>
      <c r="CC312" s="37" t="s">
        <v>255</v>
      </c>
      <c r="CD312" s="37" t="s">
        <v>255</v>
      </c>
      <c r="CE312" s="37" t="s">
        <v>255</v>
      </c>
      <c r="CF312" s="37" t="s">
        <v>255</v>
      </c>
      <c r="CG312" s="37" t="s">
        <v>255</v>
      </c>
      <c r="CH312" s="37" t="s">
        <v>255</v>
      </c>
      <c r="CI312" s="37" t="s">
        <v>255</v>
      </c>
      <c r="CJ312" s="37" t="s">
        <v>255</v>
      </c>
      <c r="CK312" s="37" t="s">
        <v>255</v>
      </c>
      <c r="CL312" s="37" t="s">
        <v>255</v>
      </c>
      <c r="CM312" s="37" t="s">
        <v>255</v>
      </c>
      <c r="CN312" s="37" t="s">
        <v>255</v>
      </c>
      <c r="CO312" s="37" t="s">
        <v>255</v>
      </c>
      <c r="CP312" s="37" t="s">
        <v>255</v>
      </c>
      <c r="CQ312" s="37" t="s">
        <v>255</v>
      </c>
      <c r="CR312" s="124" t="s">
        <v>302</v>
      </c>
    </row>
    <row r="313" spans="1:96" ht="30" outlineLevel="1" x14ac:dyDescent="0.25">
      <c r="A313" s="19" t="s">
        <v>486</v>
      </c>
      <c r="B313" s="121"/>
      <c r="C313" s="121"/>
      <c r="D313" s="121"/>
      <c r="E313" s="121"/>
      <c r="F313" s="34" t="s">
        <v>225</v>
      </c>
      <c r="G313" s="120" t="s">
        <v>579</v>
      </c>
      <c r="H313" s="34"/>
      <c r="I313" s="34"/>
      <c r="J313" s="34"/>
      <c r="K313" s="34"/>
      <c r="L313" s="34"/>
      <c r="M313" s="34"/>
      <c r="N313" s="235">
        <f t="shared" si="494"/>
        <v>0</v>
      </c>
      <c r="O313" s="200" t="str">
        <f t="shared" si="495"/>
        <v/>
      </c>
      <c r="P313" s="144"/>
      <c r="Q313" s="357">
        <f t="shared" si="496"/>
        <v>0</v>
      </c>
      <c r="R313" s="356" t="str">
        <f t="shared" si="497"/>
        <v/>
      </c>
      <c r="S313" s="144"/>
      <c r="T313" s="357">
        <f t="shared" si="498"/>
        <v>0</v>
      </c>
      <c r="U313" s="356" t="str">
        <f t="shared" si="499"/>
        <v/>
      </c>
      <c r="V313" s="144"/>
      <c r="W313" s="357">
        <f t="shared" si="500"/>
        <v>0</v>
      </c>
      <c r="X313" s="356" t="str">
        <f t="shared" si="501"/>
        <v/>
      </c>
      <c r="Y313" s="144"/>
      <c r="Z313" s="201">
        <f t="shared" si="502"/>
        <v>0</v>
      </c>
      <c r="AA313" s="388" t="str">
        <f t="shared" si="503"/>
        <v>НЕТ</v>
      </c>
      <c r="AB313" s="388"/>
      <c r="AC313" s="37" t="str">
        <f t="shared" si="531"/>
        <v>НЕТ</v>
      </c>
      <c r="AD313" s="37" t="str">
        <f t="shared" si="532"/>
        <v>Не требуется</v>
      </c>
      <c r="AE313" s="37"/>
      <c r="AF313" s="37" t="str">
        <f t="shared" si="506"/>
        <v>НЕТ</v>
      </c>
      <c r="AG313" s="37" t="str">
        <f t="shared" si="506"/>
        <v>НЕТ</v>
      </c>
      <c r="AH313" s="37" t="str">
        <f t="shared" si="506"/>
        <v>НЕТ</v>
      </c>
      <c r="AI313" s="37" t="str">
        <f t="shared" si="506"/>
        <v>НЕТ</v>
      </c>
      <c r="AJ313" s="37" t="str">
        <f t="shared" si="506"/>
        <v>НЕТ</v>
      </c>
      <c r="AK313" s="37" t="str">
        <f t="shared" si="506"/>
        <v>НЕТ</v>
      </c>
      <c r="AL313" s="37" t="str">
        <f t="shared" si="506"/>
        <v>НЕТ</v>
      </c>
      <c r="AM313" s="37" t="str">
        <f t="shared" si="507"/>
        <v>Не требуется</v>
      </c>
      <c r="AN313" s="37"/>
      <c r="AQ313" s="200"/>
      <c r="AR313" s="230"/>
      <c r="AS313" s="144" t="str">
        <f t="shared" si="508"/>
        <v/>
      </c>
      <c r="AT313" s="144" t="str">
        <f t="shared" si="509"/>
        <v/>
      </c>
      <c r="AU313" s="144" t="str">
        <f t="shared" si="510"/>
        <v/>
      </c>
      <c r="AV313" s="144" t="str">
        <f t="shared" si="511"/>
        <v/>
      </c>
      <c r="AW313" s="144" t="str">
        <f t="shared" si="512"/>
        <v/>
      </c>
      <c r="AX313" s="144" t="str">
        <f t="shared" si="513"/>
        <v/>
      </c>
      <c r="AY313" s="144" t="str">
        <f t="shared" si="514"/>
        <v/>
      </c>
      <c r="AZ313" s="201" t="str">
        <f t="shared" si="515"/>
        <v/>
      </c>
      <c r="BA313" s="235"/>
      <c r="BB313" s="144" t="str">
        <f t="shared" si="516"/>
        <v/>
      </c>
      <c r="BC313" s="144" t="str">
        <f t="shared" si="517"/>
        <v/>
      </c>
      <c r="BD313" s="144" t="str">
        <f t="shared" si="518"/>
        <v/>
      </c>
      <c r="BE313" s="144" t="str">
        <f t="shared" si="519"/>
        <v/>
      </c>
      <c r="BF313" s="201" t="str">
        <f t="shared" si="520"/>
        <v/>
      </c>
      <c r="BG313" s="144" t="str">
        <f t="shared" si="521"/>
        <v/>
      </c>
      <c r="BH313" s="144" t="str">
        <f t="shared" si="522"/>
        <v/>
      </c>
      <c r="BI313" s="144" t="str">
        <f t="shared" si="523"/>
        <v/>
      </c>
      <c r="BJ313" s="144" t="str">
        <f t="shared" si="524"/>
        <v/>
      </c>
      <c r="BK313" s="201" t="str">
        <f t="shared" si="525"/>
        <v/>
      </c>
      <c r="BL313" s="144" t="str">
        <f t="shared" si="526"/>
        <v/>
      </c>
      <c r="BM313" s="144" t="str">
        <f t="shared" si="527"/>
        <v/>
      </c>
      <c r="BN313" s="144" t="str">
        <f t="shared" si="528"/>
        <v/>
      </c>
      <c r="BO313" s="144" t="str">
        <f t="shared" si="529"/>
        <v/>
      </c>
      <c r="BP313" s="201" t="str">
        <f t="shared" si="530"/>
        <v/>
      </c>
      <c r="BQ313" s="209"/>
      <c r="BR313" s="388"/>
      <c r="BS313" s="37" t="s">
        <v>255</v>
      </c>
      <c r="BT313" s="37" t="s">
        <v>255</v>
      </c>
      <c r="BU313" s="37" t="s">
        <v>255</v>
      </c>
      <c r="BV313" s="37" t="s">
        <v>255</v>
      </c>
      <c r="BW313" s="37" t="s">
        <v>255</v>
      </c>
      <c r="BX313" s="37" t="s">
        <v>255</v>
      </c>
      <c r="BY313" s="37" t="s">
        <v>255</v>
      </c>
      <c r="BZ313" s="37" t="s">
        <v>255</v>
      </c>
      <c r="CA313" s="123" t="s">
        <v>255</v>
      </c>
      <c r="CB313" s="223"/>
      <c r="CC313" s="37" t="s">
        <v>255</v>
      </c>
      <c r="CD313" s="37" t="s">
        <v>255</v>
      </c>
      <c r="CE313" s="37" t="s">
        <v>255</v>
      </c>
      <c r="CF313" s="37" t="s">
        <v>255</v>
      </c>
      <c r="CG313" s="37" t="s">
        <v>255</v>
      </c>
      <c r="CH313" s="37" t="s">
        <v>255</v>
      </c>
      <c r="CI313" s="37" t="s">
        <v>255</v>
      </c>
      <c r="CJ313" s="37" t="s">
        <v>255</v>
      </c>
      <c r="CK313" s="37" t="s">
        <v>255</v>
      </c>
      <c r="CL313" s="37" t="s">
        <v>255</v>
      </c>
      <c r="CM313" s="37" t="s">
        <v>255</v>
      </c>
      <c r="CN313" s="37" t="s">
        <v>255</v>
      </c>
      <c r="CO313" s="37" t="s">
        <v>255</v>
      </c>
      <c r="CP313" s="37" t="s">
        <v>255</v>
      </c>
      <c r="CQ313" s="37" t="s">
        <v>255</v>
      </c>
      <c r="CR313" s="123" t="s">
        <v>302</v>
      </c>
    </row>
    <row r="314" spans="1:96" ht="30.75" outlineLevel="1" thickBot="1" x14ac:dyDescent="0.3">
      <c r="A314" s="19" t="s">
        <v>487</v>
      </c>
      <c r="B314" s="121"/>
      <c r="C314" s="121"/>
      <c r="D314" s="121"/>
      <c r="E314" s="121"/>
      <c r="F314" s="34" t="s">
        <v>225</v>
      </c>
      <c r="G314" s="120" t="s">
        <v>579</v>
      </c>
      <c r="H314" s="34"/>
      <c r="I314" s="34"/>
      <c r="J314" s="34"/>
      <c r="K314" s="34"/>
      <c r="L314" s="34"/>
      <c r="M314" s="34"/>
      <c r="N314" s="235">
        <f t="shared" si="494"/>
        <v>0</v>
      </c>
      <c r="O314" s="200" t="str">
        <f t="shared" si="495"/>
        <v/>
      </c>
      <c r="P314" s="144"/>
      <c r="Q314" s="357">
        <f t="shared" si="496"/>
        <v>0</v>
      </c>
      <c r="R314" s="356" t="str">
        <f t="shared" si="497"/>
        <v/>
      </c>
      <c r="S314" s="144"/>
      <c r="T314" s="357">
        <f t="shared" si="498"/>
        <v>0</v>
      </c>
      <c r="U314" s="356" t="str">
        <f t="shared" si="499"/>
        <v/>
      </c>
      <c r="V314" s="144"/>
      <c r="W314" s="357">
        <f t="shared" si="500"/>
        <v>0</v>
      </c>
      <c r="X314" s="356" t="str">
        <f t="shared" si="501"/>
        <v/>
      </c>
      <c r="Y314" s="144"/>
      <c r="Z314" s="201">
        <f t="shared" si="502"/>
        <v>0</v>
      </c>
      <c r="AA314" s="388" t="str">
        <f t="shared" si="503"/>
        <v>НЕТ</v>
      </c>
      <c r="AB314" s="388"/>
      <c r="AC314" s="37" t="str">
        <f t="shared" si="531"/>
        <v>НЕТ</v>
      </c>
      <c r="AD314" s="37" t="str">
        <f t="shared" si="532"/>
        <v>Не требуется</v>
      </c>
      <c r="AE314" s="37"/>
      <c r="AF314" s="37" t="str">
        <f t="shared" si="506"/>
        <v>НЕТ</v>
      </c>
      <c r="AG314" s="37" t="str">
        <f t="shared" si="506"/>
        <v>НЕТ</v>
      </c>
      <c r="AH314" s="37" t="str">
        <f t="shared" si="506"/>
        <v>НЕТ</v>
      </c>
      <c r="AI314" s="37" t="str">
        <f t="shared" si="506"/>
        <v>НЕТ</v>
      </c>
      <c r="AJ314" s="37" t="str">
        <f t="shared" si="506"/>
        <v>НЕТ</v>
      </c>
      <c r="AK314" s="37" t="str">
        <f t="shared" si="506"/>
        <v>НЕТ</v>
      </c>
      <c r="AL314" s="37" t="str">
        <f t="shared" si="506"/>
        <v>НЕТ</v>
      </c>
      <c r="AM314" s="37" t="str">
        <f t="shared" si="507"/>
        <v>Не требуется</v>
      </c>
      <c r="AN314" s="37"/>
      <c r="AQ314" s="200"/>
      <c r="AR314" s="230"/>
      <c r="AS314" s="144" t="str">
        <f t="shared" si="508"/>
        <v/>
      </c>
      <c r="AT314" s="144" t="str">
        <f t="shared" si="509"/>
        <v/>
      </c>
      <c r="AU314" s="144" t="str">
        <f t="shared" si="510"/>
        <v/>
      </c>
      <c r="AV314" s="144" t="str">
        <f t="shared" si="511"/>
        <v/>
      </c>
      <c r="AW314" s="144" t="str">
        <f t="shared" si="512"/>
        <v/>
      </c>
      <c r="AX314" s="144" t="str">
        <f t="shared" si="513"/>
        <v/>
      </c>
      <c r="AY314" s="144" t="str">
        <f t="shared" si="514"/>
        <v/>
      </c>
      <c r="AZ314" s="201" t="str">
        <f t="shared" si="515"/>
        <v/>
      </c>
      <c r="BA314" s="235"/>
      <c r="BB314" s="144" t="str">
        <f t="shared" si="516"/>
        <v/>
      </c>
      <c r="BC314" s="144" t="str">
        <f t="shared" si="517"/>
        <v/>
      </c>
      <c r="BD314" s="144" t="str">
        <f t="shared" si="518"/>
        <v/>
      </c>
      <c r="BE314" s="144" t="str">
        <f t="shared" si="519"/>
        <v/>
      </c>
      <c r="BF314" s="201" t="str">
        <f t="shared" si="520"/>
        <v/>
      </c>
      <c r="BG314" s="144" t="str">
        <f t="shared" si="521"/>
        <v/>
      </c>
      <c r="BH314" s="144" t="str">
        <f t="shared" si="522"/>
        <v/>
      </c>
      <c r="BI314" s="144" t="str">
        <f t="shared" si="523"/>
        <v/>
      </c>
      <c r="BJ314" s="144" t="str">
        <f t="shared" si="524"/>
        <v/>
      </c>
      <c r="BK314" s="201" t="str">
        <f t="shared" si="525"/>
        <v/>
      </c>
      <c r="BL314" s="144" t="str">
        <f t="shared" si="526"/>
        <v/>
      </c>
      <c r="BM314" s="144" t="str">
        <f t="shared" si="527"/>
        <v/>
      </c>
      <c r="BN314" s="144" t="str">
        <f t="shared" si="528"/>
        <v/>
      </c>
      <c r="BO314" s="144" t="str">
        <f t="shared" si="529"/>
        <v/>
      </c>
      <c r="BP314" s="201" t="str">
        <f t="shared" si="530"/>
        <v/>
      </c>
      <c r="BQ314" s="209"/>
      <c r="BR314" s="388"/>
      <c r="BS314" s="37" t="s">
        <v>255</v>
      </c>
      <c r="BT314" s="37" t="s">
        <v>255</v>
      </c>
      <c r="BU314" s="37" t="s">
        <v>255</v>
      </c>
      <c r="BV314" s="37" t="s">
        <v>255</v>
      </c>
      <c r="BW314" s="37" t="s">
        <v>255</v>
      </c>
      <c r="BX314" s="37" t="s">
        <v>255</v>
      </c>
      <c r="BY314" s="37" t="s">
        <v>255</v>
      </c>
      <c r="BZ314" s="37" t="s">
        <v>255</v>
      </c>
      <c r="CA314" s="123" t="s">
        <v>255</v>
      </c>
      <c r="CB314" s="223"/>
      <c r="CC314" s="37" t="s">
        <v>255</v>
      </c>
      <c r="CD314" s="37" t="s">
        <v>255</v>
      </c>
      <c r="CE314" s="37" t="s">
        <v>255</v>
      </c>
      <c r="CF314" s="37" t="s">
        <v>255</v>
      </c>
      <c r="CG314" s="37" t="s">
        <v>255</v>
      </c>
      <c r="CH314" s="37" t="s">
        <v>255</v>
      </c>
      <c r="CI314" s="37" t="s">
        <v>255</v>
      </c>
      <c r="CJ314" s="37" t="s">
        <v>255</v>
      </c>
      <c r="CK314" s="37" t="s">
        <v>255</v>
      </c>
      <c r="CL314" s="37" t="s">
        <v>255</v>
      </c>
      <c r="CM314" s="37" t="s">
        <v>255</v>
      </c>
      <c r="CN314" s="37" t="s">
        <v>255</v>
      </c>
      <c r="CO314" s="37" t="s">
        <v>255</v>
      </c>
      <c r="CP314" s="37" t="s">
        <v>255</v>
      </c>
      <c r="CQ314" s="37" t="s">
        <v>255</v>
      </c>
      <c r="CR314" s="124" t="s">
        <v>302</v>
      </c>
    </row>
    <row r="315" spans="1:96" ht="30" outlineLevel="1" x14ac:dyDescent="0.25">
      <c r="A315" s="19" t="s">
        <v>488</v>
      </c>
      <c r="B315" s="121"/>
      <c r="C315" s="121"/>
      <c r="D315" s="121"/>
      <c r="E315" s="121"/>
      <c r="F315" s="34" t="s">
        <v>225</v>
      </c>
      <c r="G315" s="120" t="s">
        <v>579</v>
      </c>
      <c r="H315" s="34"/>
      <c r="I315" s="34"/>
      <c r="J315" s="34"/>
      <c r="K315" s="34"/>
      <c r="L315" s="34"/>
      <c r="M315" s="34"/>
      <c r="N315" s="235">
        <f t="shared" si="494"/>
        <v>0</v>
      </c>
      <c r="O315" s="200" t="str">
        <f t="shared" si="495"/>
        <v/>
      </c>
      <c r="P315" s="144"/>
      <c r="Q315" s="357">
        <f t="shared" si="496"/>
        <v>0</v>
      </c>
      <c r="R315" s="356" t="str">
        <f t="shared" si="497"/>
        <v/>
      </c>
      <c r="S315" s="144"/>
      <c r="T315" s="357">
        <f t="shared" si="498"/>
        <v>0</v>
      </c>
      <c r="U315" s="356" t="str">
        <f t="shared" si="499"/>
        <v/>
      </c>
      <c r="V315" s="144"/>
      <c r="W315" s="357">
        <f t="shared" si="500"/>
        <v>0</v>
      </c>
      <c r="X315" s="356" t="str">
        <f t="shared" si="501"/>
        <v/>
      </c>
      <c r="Y315" s="144"/>
      <c r="Z315" s="201">
        <f t="shared" si="502"/>
        <v>0</v>
      </c>
      <c r="AA315" s="388" t="str">
        <f t="shared" si="503"/>
        <v>НЕТ</v>
      </c>
      <c r="AB315" s="388"/>
      <c r="AC315" s="37" t="str">
        <f t="shared" si="531"/>
        <v>НЕТ</v>
      </c>
      <c r="AD315" s="37" t="str">
        <f t="shared" si="532"/>
        <v>Не требуется</v>
      </c>
      <c r="AE315" s="37"/>
      <c r="AF315" s="37" t="str">
        <f t="shared" ref="AF315:AL326" si="533">IF(AF$8=$BT$9,$BT315,IF(AF$8=$BS$9,$BS315,IF(AF$8=$BU$9,$BU315,IF(AF$8=$BV$9,$BV315,IF(AF$8=$BW$9,$BW315,IF(AF$8=$BX$9,$BX315,IF(AF$8=$BY$9,$BY315,IF(AF$8=$BZ$9,$BZ315,IF(AF$8=$CA$9,$CA315,IF(AF$8=$CC$9,$CC315,IF(AF$8=$CD$9,$CD315,IF(AF$8=$CE$9,$CE315,IF(AF$8=$CF$9,$CF315,IF(AF$8=$CG$9,$CG315,IF(AF$8=$CH$9,$CH315,IF(AF$8=$CI$9,$CI315,IF(AF$8=$CJ$9,$CJ315,IF(AF$8=$CK$9,$CK315,IF(AF$8=$CL$9,$CL315,IF(AF$8=$CM$9,$CM315,IF(AF$8=$CN$9,$CN315,IF(AF$8=$CO$9,$CO315,IF(AF$8=$CP$9,$CP315,IF(AF$8=$CQ$9,$CQ315,"НЕТ"))))))))))))))))))))))))</f>
        <v>НЕТ</v>
      </c>
      <c r="AG315" s="37" t="str">
        <f t="shared" si="533"/>
        <v>НЕТ</v>
      </c>
      <c r="AH315" s="37" t="str">
        <f t="shared" si="533"/>
        <v>НЕТ</v>
      </c>
      <c r="AI315" s="37" t="str">
        <f t="shared" si="533"/>
        <v>НЕТ</v>
      </c>
      <c r="AJ315" s="37" t="str">
        <f t="shared" si="533"/>
        <v>НЕТ</v>
      </c>
      <c r="AK315" s="37" t="str">
        <f t="shared" si="533"/>
        <v>НЕТ</v>
      </c>
      <c r="AL315" s="37" t="str">
        <f t="shared" si="533"/>
        <v>НЕТ</v>
      </c>
      <c r="AM315" s="37" t="str">
        <f t="shared" si="507"/>
        <v>Не требуется</v>
      </c>
      <c r="AN315" s="37"/>
      <c r="AQ315" s="200"/>
      <c r="AR315" s="230"/>
      <c r="AS315" s="144" t="str">
        <f t="shared" si="508"/>
        <v/>
      </c>
      <c r="AT315" s="144" t="str">
        <f t="shared" si="509"/>
        <v/>
      </c>
      <c r="AU315" s="144" t="str">
        <f t="shared" si="510"/>
        <v/>
      </c>
      <c r="AV315" s="144" t="str">
        <f t="shared" si="511"/>
        <v/>
      </c>
      <c r="AW315" s="144" t="str">
        <f t="shared" si="512"/>
        <v/>
      </c>
      <c r="AX315" s="144" t="str">
        <f t="shared" si="513"/>
        <v/>
      </c>
      <c r="AY315" s="144" t="str">
        <f t="shared" si="514"/>
        <v/>
      </c>
      <c r="AZ315" s="201" t="str">
        <f t="shared" si="515"/>
        <v/>
      </c>
      <c r="BA315" s="235"/>
      <c r="BB315" s="144" t="str">
        <f t="shared" si="516"/>
        <v/>
      </c>
      <c r="BC315" s="144" t="str">
        <f t="shared" si="517"/>
        <v/>
      </c>
      <c r="BD315" s="144" t="str">
        <f t="shared" si="518"/>
        <v/>
      </c>
      <c r="BE315" s="144" t="str">
        <f t="shared" si="519"/>
        <v/>
      </c>
      <c r="BF315" s="201" t="str">
        <f t="shared" si="520"/>
        <v/>
      </c>
      <c r="BG315" s="144" t="str">
        <f t="shared" si="521"/>
        <v/>
      </c>
      <c r="BH315" s="144" t="str">
        <f t="shared" si="522"/>
        <v/>
      </c>
      <c r="BI315" s="144" t="str">
        <f t="shared" si="523"/>
        <v/>
      </c>
      <c r="BJ315" s="144" t="str">
        <f t="shared" si="524"/>
        <v/>
      </c>
      <c r="BK315" s="201" t="str">
        <f t="shared" si="525"/>
        <v/>
      </c>
      <c r="BL315" s="144" t="str">
        <f t="shared" si="526"/>
        <v/>
      </c>
      <c r="BM315" s="144" t="str">
        <f t="shared" si="527"/>
        <v/>
      </c>
      <c r="BN315" s="144" t="str">
        <f t="shared" si="528"/>
        <v/>
      </c>
      <c r="BO315" s="144" t="str">
        <f t="shared" si="529"/>
        <v/>
      </c>
      <c r="BP315" s="201" t="str">
        <f t="shared" si="530"/>
        <v/>
      </c>
      <c r="BQ315" s="209"/>
      <c r="BR315" s="388"/>
      <c r="BS315" s="37" t="s">
        <v>255</v>
      </c>
      <c r="BT315" s="37" t="s">
        <v>255</v>
      </c>
      <c r="BU315" s="37" t="s">
        <v>255</v>
      </c>
      <c r="BV315" s="37" t="s">
        <v>255</v>
      </c>
      <c r="BW315" s="37" t="s">
        <v>255</v>
      </c>
      <c r="BX315" s="37" t="s">
        <v>255</v>
      </c>
      <c r="BY315" s="37" t="s">
        <v>255</v>
      </c>
      <c r="BZ315" s="37" t="s">
        <v>255</v>
      </c>
      <c r="CA315" s="123" t="s">
        <v>255</v>
      </c>
      <c r="CB315" s="223"/>
      <c r="CC315" s="37" t="s">
        <v>255</v>
      </c>
      <c r="CD315" s="37" t="s">
        <v>255</v>
      </c>
      <c r="CE315" s="37" t="s">
        <v>255</v>
      </c>
      <c r="CF315" s="37" t="s">
        <v>255</v>
      </c>
      <c r="CG315" s="37" t="s">
        <v>255</v>
      </c>
      <c r="CH315" s="37" t="s">
        <v>255</v>
      </c>
      <c r="CI315" s="37" t="s">
        <v>255</v>
      </c>
      <c r="CJ315" s="37" t="s">
        <v>255</v>
      </c>
      <c r="CK315" s="37" t="s">
        <v>255</v>
      </c>
      <c r="CL315" s="37" t="s">
        <v>255</v>
      </c>
      <c r="CM315" s="37" t="s">
        <v>255</v>
      </c>
      <c r="CN315" s="37" t="s">
        <v>255</v>
      </c>
      <c r="CO315" s="37" t="s">
        <v>255</v>
      </c>
      <c r="CP315" s="37" t="s">
        <v>255</v>
      </c>
      <c r="CQ315" s="37" t="s">
        <v>255</v>
      </c>
      <c r="CR315" s="123" t="s">
        <v>302</v>
      </c>
    </row>
    <row r="316" spans="1:96" ht="30.75" outlineLevel="1" thickBot="1" x14ac:dyDescent="0.3">
      <c r="A316" s="19" t="s">
        <v>489</v>
      </c>
      <c r="B316" s="121"/>
      <c r="C316" s="121"/>
      <c r="D316" s="121"/>
      <c r="E316" s="121"/>
      <c r="F316" s="34" t="s">
        <v>225</v>
      </c>
      <c r="G316" s="120" t="s">
        <v>579</v>
      </c>
      <c r="H316" s="34"/>
      <c r="I316" s="34"/>
      <c r="J316" s="34"/>
      <c r="K316" s="34"/>
      <c r="L316" s="34"/>
      <c r="M316" s="34"/>
      <c r="N316" s="235">
        <f t="shared" si="494"/>
        <v>0</v>
      </c>
      <c r="O316" s="200" t="str">
        <f t="shared" si="495"/>
        <v/>
      </c>
      <c r="P316" s="144"/>
      <c r="Q316" s="357">
        <f t="shared" si="496"/>
        <v>0</v>
      </c>
      <c r="R316" s="356" t="str">
        <f t="shared" si="497"/>
        <v/>
      </c>
      <c r="S316" s="144"/>
      <c r="T316" s="357">
        <f t="shared" si="498"/>
        <v>0</v>
      </c>
      <c r="U316" s="356" t="str">
        <f t="shared" si="499"/>
        <v/>
      </c>
      <c r="V316" s="144"/>
      <c r="W316" s="357">
        <f t="shared" si="500"/>
        <v>0</v>
      </c>
      <c r="X316" s="356" t="str">
        <f t="shared" si="501"/>
        <v/>
      </c>
      <c r="Y316" s="144"/>
      <c r="Z316" s="201">
        <f t="shared" si="502"/>
        <v>0</v>
      </c>
      <c r="AA316" s="388" t="str">
        <f t="shared" si="503"/>
        <v>НЕТ</v>
      </c>
      <c r="AB316" s="388"/>
      <c r="AC316" s="37" t="str">
        <f t="shared" si="531"/>
        <v>НЕТ</v>
      </c>
      <c r="AD316" s="37" t="str">
        <f t="shared" si="532"/>
        <v>Не требуется</v>
      </c>
      <c r="AE316" s="37"/>
      <c r="AF316" s="37" t="str">
        <f t="shared" si="533"/>
        <v>НЕТ</v>
      </c>
      <c r="AG316" s="37" t="str">
        <f t="shared" si="533"/>
        <v>НЕТ</v>
      </c>
      <c r="AH316" s="37" t="str">
        <f t="shared" si="533"/>
        <v>НЕТ</v>
      </c>
      <c r="AI316" s="37" t="str">
        <f t="shared" si="533"/>
        <v>НЕТ</v>
      </c>
      <c r="AJ316" s="37" t="str">
        <f t="shared" si="533"/>
        <v>НЕТ</v>
      </c>
      <c r="AK316" s="37" t="str">
        <f t="shared" si="533"/>
        <v>НЕТ</v>
      </c>
      <c r="AL316" s="37" t="str">
        <f t="shared" si="533"/>
        <v>НЕТ</v>
      </c>
      <c r="AM316" s="37" t="str">
        <f t="shared" si="507"/>
        <v>Не требуется</v>
      </c>
      <c r="AN316" s="37"/>
      <c r="AQ316" s="200"/>
      <c r="AR316" s="230"/>
      <c r="AS316" s="144" t="str">
        <f t="shared" si="508"/>
        <v/>
      </c>
      <c r="AT316" s="144" t="str">
        <f t="shared" si="509"/>
        <v/>
      </c>
      <c r="AU316" s="144" t="str">
        <f t="shared" si="510"/>
        <v/>
      </c>
      <c r="AV316" s="144" t="str">
        <f t="shared" si="511"/>
        <v/>
      </c>
      <c r="AW316" s="144" t="str">
        <f t="shared" si="512"/>
        <v/>
      </c>
      <c r="AX316" s="144" t="str">
        <f t="shared" si="513"/>
        <v/>
      </c>
      <c r="AY316" s="144" t="str">
        <f t="shared" si="514"/>
        <v/>
      </c>
      <c r="AZ316" s="201" t="str">
        <f t="shared" si="515"/>
        <v/>
      </c>
      <c r="BA316" s="235"/>
      <c r="BB316" s="144" t="str">
        <f t="shared" si="516"/>
        <v/>
      </c>
      <c r="BC316" s="144" t="str">
        <f t="shared" si="517"/>
        <v/>
      </c>
      <c r="BD316" s="144" t="str">
        <f t="shared" si="518"/>
        <v/>
      </c>
      <c r="BE316" s="144" t="str">
        <f t="shared" si="519"/>
        <v/>
      </c>
      <c r="BF316" s="201" t="str">
        <f t="shared" si="520"/>
        <v/>
      </c>
      <c r="BG316" s="144" t="str">
        <f t="shared" si="521"/>
        <v/>
      </c>
      <c r="BH316" s="144" t="str">
        <f t="shared" si="522"/>
        <v/>
      </c>
      <c r="BI316" s="144" t="str">
        <f t="shared" si="523"/>
        <v/>
      </c>
      <c r="BJ316" s="144" t="str">
        <f t="shared" si="524"/>
        <v/>
      </c>
      <c r="BK316" s="201" t="str">
        <f t="shared" si="525"/>
        <v/>
      </c>
      <c r="BL316" s="144" t="str">
        <f t="shared" si="526"/>
        <v/>
      </c>
      <c r="BM316" s="144" t="str">
        <f t="shared" si="527"/>
        <v/>
      </c>
      <c r="BN316" s="144" t="str">
        <f t="shared" si="528"/>
        <v/>
      </c>
      <c r="BO316" s="144" t="str">
        <f t="shared" si="529"/>
        <v/>
      </c>
      <c r="BP316" s="201" t="str">
        <f t="shared" si="530"/>
        <v/>
      </c>
      <c r="BQ316" s="209"/>
      <c r="BR316" s="388"/>
      <c r="BS316" s="37" t="s">
        <v>255</v>
      </c>
      <c r="BT316" s="37" t="s">
        <v>255</v>
      </c>
      <c r="BU316" s="37" t="s">
        <v>255</v>
      </c>
      <c r="BV316" s="37" t="s">
        <v>255</v>
      </c>
      <c r="BW316" s="37" t="s">
        <v>255</v>
      </c>
      <c r="BX316" s="37" t="s">
        <v>255</v>
      </c>
      <c r="BY316" s="37" t="s">
        <v>255</v>
      </c>
      <c r="BZ316" s="37" t="s">
        <v>255</v>
      </c>
      <c r="CA316" s="123" t="s">
        <v>255</v>
      </c>
      <c r="CB316" s="223"/>
      <c r="CC316" s="37" t="s">
        <v>255</v>
      </c>
      <c r="CD316" s="37" t="s">
        <v>255</v>
      </c>
      <c r="CE316" s="37" t="s">
        <v>255</v>
      </c>
      <c r="CF316" s="37" t="s">
        <v>255</v>
      </c>
      <c r="CG316" s="37" t="s">
        <v>255</v>
      </c>
      <c r="CH316" s="37" t="s">
        <v>255</v>
      </c>
      <c r="CI316" s="37" t="s">
        <v>255</v>
      </c>
      <c r="CJ316" s="37" t="s">
        <v>255</v>
      </c>
      <c r="CK316" s="37" t="s">
        <v>255</v>
      </c>
      <c r="CL316" s="37" t="s">
        <v>255</v>
      </c>
      <c r="CM316" s="37" t="s">
        <v>255</v>
      </c>
      <c r="CN316" s="37" t="s">
        <v>255</v>
      </c>
      <c r="CO316" s="37" t="s">
        <v>255</v>
      </c>
      <c r="CP316" s="37" t="s">
        <v>255</v>
      </c>
      <c r="CQ316" s="37" t="s">
        <v>255</v>
      </c>
      <c r="CR316" s="124" t="s">
        <v>302</v>
      </c>
    </row>
    <row r="317" spans="1:96" ht="30" outlineLevel="1" x14ac:dyDescent="0.25">
      <c r="A317" s="19" t="s">
        <v>490</v>
      </c>
      <c r="B317" s="121"/>
      <c r="C317" s="121"/>
      <c r="D317" s="121"/>
      <c r="E317" s="121"/>
      <c r="F317" s="34" t="s">
        <v>225</v>
      </c>
      <c r="G317" s="120" t="s">
        <v>579</v>
      </c>
      <c r="H317" s="34"/>
      <c r="I317" s="34"/>
      <c r="J317" s="34"/>
      <c r="K317" s="34"/>
      <c r="L317" s="34"/>
      <c r="M317" s="34"/>
      <c r="N317" s="235">
        <f t="shared" si="494"/>
        <v>0</v>
      </c>
      <c r="O317" s="200" t="str">
        <f t="shared" si="495"/>
        <v/>
      </c>
      <c r="P317" s="144"/>
      <c r="Q317" s="357">
        <f t="shared" si="496"/>
        <v>0</v>
      </c>
      <c r="R317" s="356" t="str">
        <f t="shared" si="497"/>
        <v/>
      </c>
      <c r="S317" s="144"/>
      <c r="T317" s="357">
        <f t="shared" si="498"/>
        <v>0</v>
      </c>
      <c r="U317" s="356" t="str">
        <f t="shared" si="499"/>
        <v/>
      </c>
      <c r="V317" s="144"/>
      <c r="W317" s="357">
        <f t="shared" si="500"/>
        <v>0</v>
      </c>
      <c r="X317" s="356" t="str">
        <f t="shared" si="501"/>
        <v/>
      </c>
      <c r="Y317" s="144"/>
      <c r="Z317" s="201">
        <f t="shared" si="502"/>
        <v>0</v>
      </c>
      <c r="AA317" s="388" t="str">
        <f t="shared" si="503"/>
        <v>НЕТ</v>
      </c>
      <c r="AB317" s="388"/>
      <c r="AC317" s="37" t="str">
        <f t="shared" si="531"/>
        <v>НЕТ</v>
      </c>
      <c r="AD317" s="37" t="str">
        <f t="shared" si="532"/>
        <v>Не требуется</v>
      </c>
      <c r="AE317" s="37"/>
      <c r="AF317" s="37" t="str">
        <f t="shared" si="533"/>
        <v>НЕТ</v>
      </c>
      <c r="AG317" s="37" t="str">
        <f t="shared" si="533"/>
        <v>НЕТ</v>
      </c>
      <c r="AH317" s="37" t="str">
        <f t="shared" si="533"/>
        <v>НЕТ</v>
      </c>
      <c r="AI317" s="37" t="str">
        <f t="shared" si="533"/>
        <v>НЕТ</v>
      </c>
      <c r="AJ317" s="37" t="str">
        <f t="shared" si="533"/>
        <v>НЕТ</v>
      </c>
      <c r="AK317" s="37" t="str">
        <f t="shared" si="533"/>
        <v>НЕТ</v>
      </c>
      <c r="AL317" s="37" t="str">
        <f t="shared" si="533"/>
        <v>НЕТ</v>
      </c>
      <c r="AM317" s="37" t="str">
        <f t="shared" si="507"/>
        <v>Не требуется</v>
      </c>
      <c r="AN317" s="37"/>
      <c r="AQ317" s="200"/>
      <c r="AR317" s="230"/>
      <c r="AS317" s="144" t="str">
        <f t="shared" si="508"/>
        <v/>
      </c>
      <c r="AT317" s="144" t="str">
        <f t="shared" si="509"/>
        <v/>
      </c>
      <c r="AU317" s="144" t="str">
        <f t="shared" si="510"/>
        <v/>
      </c>
      <c r="AV317" s="144" t="str">
        <f t="shared" si="511"/>
        <v/>
      </c>
      <c r="AW317" s="144" t="str">
        <f t="shared" si="512"/>
        <v/>
      </c>
      <c r="AX317" s="144" t="str">
        <f t="shared" si="513"/>
        <v/>
      </c>
      <c r="AY317" s="144" t="str">
        <f t="shared" si="514"/>
        <v/>
      </c>
      <c r="AZ317" s="201" t="str">
        <f t="shared" si="515"/>
        <v/>
      </c>
      <c r="BA317" s="235"/>
      <c r="BB317" s="144" t="str">
        <f t="shared" si="516"/>
        <v/>
      </c>
      <c r="BC317" s="144" t="str">
        <f t="shared" si="517"/>
        <v/>
      </c>
      <c r="BD317" s="144" t="str">
        <f t="shared" si="518"/>
        <v/>
      </c>
      <c r="BE317" s="144" t="str">
        <f t="shared" si="519"/>
        <v/>
      </c>
      <c r="BF317" s="201" t="str">
        <f t="shared" si="520"/>
        <v/>
      </c>
      <c r="BG317" s="144" t="str">
        <f t="shared" si="521"/>
        <v/>
      </c>
      <c r="BH317" s="144" t="str">
        <f t="shared" si="522"/>
        <v/>
      </c>
      <c r="BI317" s="144" t="str">
        <f t="shared" si="523"/>
        <v/>
      </c>
      <c r="BJ317" s="144" t="str">
        <f t="shared" si="524"/>
        <v/>
      </c>
      <c r="BK317" s="201" t="str">
        <f t="shared" si="525"/>
        <v/>
      </c>
      <c r="BL317" s="144" t="str">
        <f t="shared" si="526"/>
        <v/>
      </c>
      <c r="BM317" s="144" t="str">
        <f t="shared" si="527"/>
        <v/>
      </c>
      <c r="BN317" s="144" t="str">
        <f t="shared" si="528"/>
        <v/>
      </c>
      <c r="BO317" s="144" t="str">
        <f t="shared" si="529"/>
        <v/>
      </c>
      <c r="BP317" s="201" t="str">
        <f t="shared" si="530"/>
        <v/>
      </c>
      <c r="BQ317" s="209"/>
      <c r="BR317" s="388"/>
      <c r="BS317" s="37" t="s">
        <v>255</v>
      </c>
      <c r="BT317" s="37" t="s">
        <v>255</v>
      </c>
      <c r="BU317" s="37" t="s">
        <v>255</v>
      </c>
      <c r="BV317" s="37" t="s">
        <v>255</v>
      </c>
      <c r="BW317" s="37" t="s">
        <v>255</v>
      </c>
      <c r="BX317" s="37" t="s">
        <v>255</v>
      </c>
      <c r="BY317" s="37" t="s">
        <v>255</v>
      </c>
      <c r="BZ317" s="37" t="s">
        <v>255</v>
      </c>
      <c r="CA317" s="123" t="s">
        <v>255</v>
      </c>
      <c r="CB317" s="223"/>
      <c r="CC317" s="37" t="s">
        <v>255</v>
      </c>
      <c r="CD317" s="37" t="s">
        <v>255</v>
      </c>
      <c r="CE317" s="37" t="s">
        <v>255</v>
      </c>
      <c r="CF317" s="37" t="s">
        <v>255</v>
      </c>
      <c r="CG317" s="37" t="s">
        <v>255</v>
      </c>
      <c r="CH317" s="37" t="s">
        <v>255</v>
      </c>
      <c r="CI317" s="37" t="s">
        <v>255</v>
      </c>
      <c r="CJ317" s="37" t="s">
        <v>255</v>
      </c>
      <c r="CK317" s="37" t="s">
        <v>255</v>
      </c>
      <c r="CL317" s="37" t="s">
        <v>255</v>
      </c>
      <c r="CM317" s="37" t="s">
        <v>255</v>
      </c>
      <c r="CN317" s="37" t="s">
        <v>255</v>
      </c>
      <c r="CO317" s="37" t="s">
        <v>255</v>
      </c>
      <c r="CP317" s="37" t="s">
        <v>255</v>
      </c>
      <c r="CQ317" s="37" t="s">
        <v>255</v>
      </c>
      <c r="CR317" s="123" t="s">
        <v>302</v>
      </c>
    </row>
    <row r="318" spans="1:96" ht="30.75" outlineLevel="1" thickBot="1" x14ac:dyDescent="0.3">
      <c r="A318" s="19" t="s">
        <v>491</v>
      </c>
      <c r="B318" s="121"/>
      <c r="C318" s="121"/>
      <c r="D318" s="121"/>
      <c r="E318" s="121"/>
      <c r="F318" s="34" t="s">
        <v>225</v>
      </c>
      <c r="G318" s="120" t="s">
        <v>579</v>
      </c>
      <c r="H318" s="34"/>
      <c r="I318" s="34"/>
      <c r="J318" s="34"/>
      <c r="K318" s="34"/>
      <c r="L318" s="34"/>
      <c r="M318" s="34"/>
      <c r="N318" s="235">
        <f t="shared" si="494"/>
        <v>0</v>
      </c>
      <c r="O318" s="200" t="str">
        <f t="shared" si="495"/>
        <v/>
      </c>
      <c r="P318" s="144"/>
      <c r="Q318" s="357">
        <f t="shared" si="496"/>
        <v>0</v>
      </c>
      <c r="R318" s="356" t="str">
        <f t="shared" si="497"/>
        <v/>
      </c>
      <c r="S318" s="144"/>
      <c r="T318" s="357">
        <f t="shared" si="498"/>
        <v>0</v>
      </c>
      <c r="U318" s="356" t="str">
        <f t="shared" si="499"/>
        <v/>
      </c>
      <c r="V318" s="144"/>
      <c r="W318" s="357">
        <f t="shared" si="500"/>
        <v>0</v>
      </c>
      <c r="X318" s="356" t="str">
        <f t="shared" si="501"/>
        <v/>
      </c>
      <c r="Y318" s="144"/>
      <c r="Z318" s="201">
        <f t="shared" si="502"/>
        <v>0</v>
      </c>
      <c r="AA318" s="388" t="str">
        <f t="shared" si="503"/>
        <v>НЕТ</v>
      </c>
      <c r="AB318" s="388"/>
      <c r="AC318" s="37" t="str">
        <f t="shared" si="531"/>
        <v>НЕТ</v>
      </c>
      <c r="AD318" s="37" t="str">
        <f t="shared" si="532"/>
        <v>Не требуется</v>
      </c>
      <c r="AE318" s="37"/>
      <c r="AF318" s="37" t="str">
        <f t="shared" si="533"/>
        <v>НЕТ</v>
      </c>
      <c r="AG318" s="37" t="str">
        <f t="shared" si="533"/>
        <v>НЕТ</v>
      </c>
      <c r="AH318" s="37" t="str">
        <f t="shared" si="533"/>
        <v>НЕТ</v>
      </c>
      <c r="AI318" s="37" t="str">
        <f t="shared" si="533"/>
        <v>НЕТ</v>
      </c>
      <c r="AJ318" s="37" t="str">
        <f t="shared" si="533"/>
        <v>НЕТ</v>
      </c>
      <c r="AK318" s="37" t="str">
        <f t="shared" si="533"/>
        <v>НЕТ</v>
      </c>
      <c r="AL318" s="37" t="str">
        <f t="shared" si="533"/>
        <v>НЕТ</v>
      </c>
      <c r="AM318" s="37" t="str">
        <f t="shared" si="507"/>
        <v>Не требуется</v>
      </c>
      <c r="AN318" s="37"/>
      <c r="AQ318" s="200"/>
      <c r="AR318" s="230"/>
      <c r="AS318" s="144" t="str">
        <f t="shared" si="508"/>
        <v/>
      </c>
      <c r="AT318" s="144" t="str">
        <f t="shared" si="509"/>
        <v/>
      </c>
      <c r="AU318" s="144" t="str">
        <f t="shared" si="510"/>
        <v/>
      </c>
      <c r="AV318" s="144" t="str">
        <f t="shared" si="511"/>
        <v/>
      </c>
      <c r="AW318" s="144" t="str">
        <f t="shared" si="512"/>
        <v/>
      </c>
      <c r="AX318" s="144" t="str">
        <f t="shared" si="513"/>
        <v/>
      </c>
      <c r="AY318" s="144" t="str">
        <f t="shared" si="514"/>
        <v/>
      </c>
      <c r="AZ318" s="201" t="str">
        <f t="shared" si="515"/>
        <v/>
      </c>
      <c r="BA318" s="235"/>
      <c r="BB318" s="144" t="str">
        <f t="shared" si="516"/>
        <v/>
      </c>
      <c r="BC318" s="144" t="str">
        <f t="shared" si="517"/>
        <v/>
      </c>
      <c r="BD318" s="144" t="str">
        <f t="shared" si="518"/>
        <v/>
      </c>
      <c r="BE318" s="144" t="str">
        <f t="shared" si="519"/>
        <v/>
      </c>
      <c r="BF318" s="201" t="str">
        <f t="shared" si="520"/>
        <v/>
      </c>
      <c r="BG318" s="144" t="str">
        <f t="shared" si="521"/>
        <v/>
      </c>
      <c r="BH318" s="144" t="str">
        <f t="shared" si="522"/>
        <v/>
      </c>
      <c r="BI318" s="144" t="str">
        <f t="shared" si="523"/>
        <v/>
      </c>
      <c r="BJ318" s="144" t="str">
        <f t="shared" si="524"/>
        <v/>
      </c>
      <c r="BK318" s="201" t="str">
        <f t="shared" si="525"/>
        <v/>
      </c>
      <c r="BL318" s="144" t="str">
        <f t="shared" si="526"/>
        <v/>
      </c>
      <c r="BM318" s="144" t="str">
        <f t="shared" si="527"/>
        <v/>
      </c>
      <c r="BN318" s="144" t="str">
        <f t="shared" si="528"/>
        <v/>
      </c>
      <c r="BO318" s="144" t="str">
        <f t="shared" si="529"/>
        <v/>
      </c>
      <c r="BP318" s="201" t="str">
        <f t="shared" si="530"/>
        <v/>
      </c>
      <c r="BQ318" s="209"/>
      <c r="BR318" s="388"/>
      <c r="BS318" s="37" t="s">
        <v>255</v>
      </c>
      <c r="BT318" s="37" t="s">
        <v>255</v>
      </c>
      <c r="BU318" s="37" t="s">
        <v>255</v>
      </c>
      <c r="BV318" s="37" t="s">
        <v>255</v>
      </c>
      <c r="BW318" s="37" t="s">
        <v>255</v>
      </c>
      <c r="BX318" s="37" t="s">
        <v>255</v>
      </c>
      <c r="BY318" s="37" t="s">
        <v>255</v>
      </c>
      <c r="BZ318" s="37" t="s">
        <v>255</v>
      </c>
      <c r="CA318" s="123" t="s">
        <v>255</v>
      </c>
      <c r="CB318" s="223"/>
      <c r="CC318" s="37" t="s">
        <v>255</v>
      </c>
      <c r="CD318" s="37" t="s">
        <v>255</v>
      </c>
      <c r="CE318" s="37" t="s">
        <v>255</v>
      </c>
      <c r="CF318" s="37" t="s">
        <v>255</v>
      </c>
      <c r="CG318" s="37" t="s">
        <v>255</v>
      </c>
      <c r="CH318" s="37" t="s">
        <v>255</v>
      </c>
      <c r="CI318" s="37" t="s">
        <v>255</v>
      </c>
      <c r="CJ318" s="37" t="s">
        <v>255</v>
      </c>
      <c r="CK318" s="37" t="s">
        <v>255</v>
      </c>
      <c r="CL318" s="37" t="s">
        <v>255</v>
      </c>
      <c r="CM318" s="37" t="s">
        <v>255</v>
      </c>
      <c r="CN318" s="37" t="s">
        <v>255</v>
      </c>
      <c r="CO318" s="37" t="s">
        <v>255</v>
      </c>
      <c r="CP318" s="37" t="s">
        <v>255</v>
      </c>
      <c r="CQ318" s="37" t="s">
        <v>255</v>
      </c>
      <c r="CR318" s="124" t="s">
        <v>302</v>
      </c>
    </row>
    <row r="319" spans="1:96" ht="30" outlineLevel="1" x14ac:dyDescent="0.25">
      <c r="A319" s="19" t="s">
        <v>492</v>
      </c>
      <c r="B319" s="121"/>
      <c r="C319" s="121"/>
      <c r="D319" s="121"/>
      <c r="E319" s="121"/>
      <c r="F319" s="34" t="s">
        <v>225</v>
      </c>
      <c r="G319" s="120" t="s">
        <v>579</v>
      </c>
      <c r="H319" s="34"/>
      <c r="I319" s="34"/>
      <c r="J319" s="34"/>
      <c r="K319" s="34"/>
      <c r="L319" s="34"/>
      <c r="M319" s="34"/>
      <c r="N319" s="235">
        <f t="shared" si="494"/>
        <v>0</v>
      </c>
      <c r="O319" s="200" t="str">
        <f t="shared" si="495"/>
        <v/>
      </c>
      <c r="P319" s="144"/>
      <c r="Q319" s="357">
        <f t="shared" si="496"/>
        <v>0</v>
      </c>
      <c r="R319" s="356" t="str">
        <f t="shared" si="497"/>
        <v/>
      </c>
      <c r="S319" s="144"/>
      <c r="T319" s="357">
        <f t="shared" si="498"/>
        <v>0</v>
      </c>
      <c r="U319" s="356" t="str">
        <f t="shared" si="499"/>
        <v/>
      </c>
      <c r="V319" s="144"/>
      <c r="W319" s="357">
        <f t="shared" si="500"/>
        <v>0</v>
      </c>
      <c r="X319" s="356" t="str">
        <f t="shared" si="501"/>
        <v/>
      </c>
      <c r="Y319" s="144"/>
      <c r="Z319" s="201">
        <f t="shared" si="502"/>
        <v>0</v>
      </c>
      <c r="AA319" s="388" t="str">
        <f t="shared" si="503"/>
        <v>НЕТ</v>
      </c>
      <c r="AB319" s="388"/>
      <c r="AC319" s="37" t="str">
        <f t="shared" si="531"/>
        <v>НЕТ</v>
      </c>
      <c r="AD319" s="37" t="str">
        <f t="shared" si="532"/>
        <v>Не требуется</v>
      </c>
      <c r="AE319" s="37"/>
      <c r="AF319" s="37" t="str">
        <f t="shared" si="533"/>
        <v>НЕТ</v>
      </c>
      <c r="AG319" s="37" t="str">
        <f t="shared" si="533"/>
        <v>НЕТ</v>
      </c>
      <c r="AH319" s="37" t="str">
        <f t="shared" si="533"/>
        <v>НЕТ</v>
      </c>
      <c r="AI319" s="37" t="str">
        <f t="shared" si="533"/>
        <v>НЕТ</v>
      </c>
      <c r="AJ319" s="37" t="str">
        <f t="shared" si="533"/>
        <v>НЕТ</v>
      </c>
      <c r="AK319" s="37" t="str">
        <f t="shared" si="533"/>
        <v>НЕТ</v>
      </c>
      <c r="AL319" s="37" t="str">
        <f t="shared" si="533"/>
        <v>НЕТ</v>
      </c>
      <c r="AM319" s="37" t="str">
        <f t="shared" si="507"/>
        <v>Не требуется</v>
      </c>
      <c r="AN319" s="37"/>
      <c r="AQ319" s="200"/>
      <c r="AR319" s="230"/>
      <c r="AS319" s="144" t="str">
        <f t="shared" si="508"/>
        <v/>
      </c>
      <c r="AT319" s="144" t="str">
        <f t="shared" si="509"/>
        <v/>
      </c>
      <c r="AU319" s="144" t="str">
        <f t="shared" si="510"/>
        <v/>
      </c>
      <c r="AV319" s="144" t="str">
        <f t="shared" si="511"/>
        <v/>
      </c>
      <c r="AW319" s="144" t="str">
        <f t="shared" si="512"/>
        <v/>
      </c>
      <c r="AX319" s="144" t="str">
        <f t="shared" si="513"/>
        <v/>
      </c>
      <c r="AY319" s="144" t="str">
        <f t="shared" si="514"/>
        <v/>
      </c>
      <c r="AZ319" s="201" t="str">
        <f t="shared" si="515"/>
        <v/>
      </c>
      <c r="BA319" s="235"/>
      <c r="BB319" s="144" t="str">
        <f t="shared" si="516"/>
        <v/>
      </c>
      <c r="BC319" s="144" t="str">
        <f t="shared" si="517"/>
        <v/>
      </c>
      <c r="BD319" s="144" t="str">
        <f t="shared" si="518"/>
        <v/>
      </c>
      <c r="BE319" s="144" t="str">
        <f t="shared" si="519"/>
        <v/>
      </c>
      <c r="BF319" s="201" t="str">
        <f t="shared" si="520"/>
        <v/>
      </c>
      <c r="BG319" s="144" t="str">
        <f t="shared" si="521"/>
        <v/>
      </c>
      <c r="BH319" s="144" t="str">
        <f t="shared" si="522"/>
        <v/>
      </c>
      <c r="BI319" s="144" t="str">
        <f t="shared" si="523"/>
        <v/>
      </c>
      <c r="BJ319" s="144" t="str">
        <f t="shared" si="524"/>
        <v/>
      </c>
      <c r="BK319" s="201" t="str">
        <f t="shared" si="525"/>
        <v/>
      </c>
      <c r="BL319" s="144" t="str">
        <f t="shared" si="526"/>
        <v/>
      </c>
      <c r="BM319" s="144" t="str">
        <f t="shared" si="527"/>
        <v/>
      </c>
      <c r="BN319" s="144" t="str">
        <f t="shared" si="528"/>
        <v/>
      </c>
      <c r="BO319" s="144" t="str">
        <f t="shared" si="529"/>
        <v/>
      </c>
      <c r="BP319" s="201" t="str">
        <f t="shared" si="530"/>
        <v/>
      </c>
      <c r="BQ319" s="209"/>
      <c r="BR319" s="388"/>
      <c r="BS319" s="37" t="s">
        <v>255</v>
      </c>
      <c r="BT319" s="37" t="s">
        <v>255</v>
      </c>
      <c r="BU319" s="37" t="s">
        <v>255</v>
      </c>
      <c r="BV319" s="37" t="s">
        <v>255</v>
      </c>
      <c r="BW319" s="37" t="s">
        <v>255</v>
      </c>
      <c r="BX319" s="37" t="s">
        <v>255</v>
      </c>
      <c r="BY319" s="37" t="s">
        <v>255</v>
      </c>
      <c r="BZ319" s="37" t="s">
        <v>255</v>
      </c>
      <c r="CA319" s="123" t="s">
        <v>255</v>
      </c>
      <c r="CB319" s="223"/>
      <c r="CC319" s="37" t="s">
        <v>255</v>
      </c>
      <c r="CD319" s="37" t="s">
        <v>255</v>
      </c>
      <c r="CE319" s="37" t="s">
        <v>255</v>
      </c>
      <c r="CF319" s="37" t="s">
        <v>255</v>
      </c>
      <c r="CG319" s="37" t="s">
        <v>255</v>
      </c>
      <c r="CH319" s="37" t="s">
        <v>255</v>
      </c>
      <c r="CI319" s="37" t="s">
        <v>255</v>
      </c>
      <c r="CJ319" s="37" t="s">
        <v>255</v>
      </c>
      <c r="CK319" s="37" t="s">
        <v>255</v>
      </c>
      <c r="CL319" s="37" t="s">
        <v>255</v>
      </c>
      <c r="CM319" s="37" t="s">
        <v>255</v>
      </c>
      <c r="CN319" s="37" t="s">
        <v>255</v>
      </c>
      <c r="CO319" s="37" t="s">
        <v>255</v>
      </c>
      <c r="CP319" s="37" t="s">
        <v>255</v>
      </c>
      <c r="CQ319" s="37" t="s">
        <v>255</v>
      </c>
      <c r="CR319" s="123" t="s">
        <v>302</v>
      </c>
    </row>
    <row r="320" spans="1:96" ht="30.75" outlineLevel="1" thickBot="1" x14ac:dyDescent="0.3">
      <c r="A320" s="19" t="s">
        <v>493</v>
      </c>
      <c r="B320" s="121"/>
      <c r="C320" s="121"/>
      <c r="D320" s="121"/>
      <c r="E320" s="121"/>
      <c r="F320" s="34" t="s">
        <v>225</v>
      </c>
      <c r="G320" s="120" t="s">
        <v>579</v>
      </c>
      <c r="H320" s="34"/>
      <c r="I320" s="34"/>
      <c r="J320" s="34"/>
      <c r="K320" s="34"/>
      <c r="L320" s="34"/>
      <c r="M320" s="34"/>
      <c r="N320" s="235">
        <f t="shared" si="494"/>
        <v>0</v>
      </c>
      <c r="O320" s="200" t="str">
        <f t="shared" si="495"/>
        <v/>
      </c>
      <c r="P320" s="144"/>
      <c r="Q320" s="357">
        <f t="shared" si="496"/>
        <v>0</v>
      </c>
      <c r="R320" s="356" t="str">
        <f t="shared" si="497"/>
        <v/>
      </c>
      <c r="S320" s="144"/>
      <c r="T320" s="357">
        <f t="shared" si="498"/>
        <v>0</v>
      </c>
      <c r="U320" s="356" t="str">
        <f t="shared" si="499"/>
        <v/>
      </c>
      <c r="V320" s="144"/>
      <c r="W320" s="357">
        <f t="shared" si="500"/>
        <v>0</v>
      </c>
      <c r="X320" s="356" t="str">
        <f t="shared" si="501"/>
        <v/>
      </c>
      <c r="Y320" s="144"/>
      <c r="Z320" s="201">
        <f t="shared" si="502"/>
        <v>0</v>
      </c>
      <c r="AA320" s="388" t="str">
        <f t="shared" si="503"/>
        <v>НЕТ</v>
      </c>
      <c r="AB320" s="388"/>
      <c r="AC320" s="37" t="str">
        <f t="shared" si="531"/>
        <v>НЕТ</v>
      </c>
      <c r="AD320" s="37" t="str">
        <f t="shared" si="532"/>
        <v>Не требуется</v>
      </c>
      <c r="AE320" s="37"/>
      <c r="AF320" s="37" t="str">
        <f t="shared" si="533"/>
        <v>НЕТ</v>
      </c>
      <c r="AG320" s="37" t="str">
        <f t="shared" si="533"/>
        <v>НЕТ</v>
      </c>
      <c r="AH320" s="37" t="str">
        <f t="shared" si="533"/>
        <v>НЕТ</v>
      </c>
      <c r="AI320" s="37" t="str">
        <f t="shared" si="533"/>
        <v>НЕТ</v>
      </c>
      <c r="AJ320" s="37" t="str">
        <f t="shared" si="533"/>
        <v>НЕТ</v>
      </c>
      <c r="AK320" s="37" t="str">
        <f t="shared" si="533"/>
        <v>НЕТ</v>
      </c>
      <c r="AL320" s="37" t="str">
        <f t="shared" si="533"/>
        <v>НЕТ</v>
      </c>
      <c r="AM320" s="37" t="str">
        <f t="shared" si="507"/>
        <v>Не требуется</v>
      </c>
      <c r="AN320" s="37"/>
      <c r="AQ320" s="200"/>
      <c r="AR320" s="230"/>
      <c r="AS320" s="144" t="str">
        <f t="shared" si="508"/>
        <v/>
      </c>
      <c r="AT320" s="144" t="str">
        <f t="shared" si="509"/>
        <v/>
      </c>
      <c r="AU320" s="144" t="str">
        <f t="shared" si="510"/>
        <v/>
      </c>
      <c r="AV320" s="144" t="str">
        <f t="shared" si="511"/>
        <v/>
      </c>
      <c r="AW320" s="144" t="str">
        <f t="shared" si="512"/>
        <v/>
      </c>
      <c r="AX320" s="144" t="str">
        <f t="shared" si="513"/>
        <v/>
      </c>
      <c r="AY320" s="144" t="str">
        <f t="shared" si="514"/>
        <v/>
      </c>
      <c r="AZ320" s="201" t="str">
        <f t="shared" si="515"/>
        <v/>
      </c>
      <c r="BA320" s="235"/>
      <c r="BB320" s="144" t="str">
        <f t="shared" si="516"/>
        <v/>
      </c>
      <c r="BC320" s="144" t="str">
        <f t="shared" si="517"/>
        <v/>
      </c>
      <c r="BD320" s="144" t="str">
        <f t="shared" si="518"/>
        <v/>
      </c>
      <c r="BE320" s="144" t="str">
        <f t="shared" si="519"/>
        <v/>
      </c>
      <c r="BF320" s="201" t="str">
        <f t="shared" si="520"/>
        <v/>
      </c>
      <c r="BG320" s="144" t="str">
        <f t="shared" si="521"/>
        <v/>
      </c>
      <c r="BH320" s="144" t="str">
        <f t="shared" si="522"/>
        <v/>
      </c>
      <c r="BI320" s="144" t="str">
        <f t="shared" si="523"/>
        <v/>
      </c>
      <c r="BJ320" s="144" t="str">
        <f t="shared" si="524"/>
        <v/>
      </c>
      <c r="BK320" s="201" t="str">
        <f t="shared" si="525"/>
        <v/>
      </c>
      <c r="BL320" s="144" t="str">
        <f t="shared" si="526"/>
        <v/>
      </c>
      <c r="BM320" s="144" t="str">
        <f t="shared" si="527"/>
        <v/>
      </c>
      <c r="BN320" s="144" t="str">
        <f t="shared" si="528"/>
        <v/>
      </c>
      <c r="BO320" s="144" t="str">
        <f t="shared" si="529"/>
        <v/>
      </c>
      <c r="BP320" s="201" t="str">
        <f t="shared" si="530"/>
        <v/>
      </c>
      <c r="BQ320" s="209"/>
      <c r="BR320" s="388"/>
      <c r="BS320" s="37" t="s">
        <v>255</v>
      </c>
      <c r="BT320" s="37" t="s">
        <v>255</v>
      </c>
      <c r="BU320" s="37" t="s">
        <v>255</v>
      </c>
      <c r="BV320" s="37" t="s">
        <v>255</v>
      </c>
      <c r="BW320" s="37" t="s">
        <v>255</v>
      </c>
      <c r="BX320" s="37" t="s">
        <v>255</v>
      </c>
      <c r="BY320" s="37" t="s">
        <v>255</v>
      </c>
      <c r="BZ320" s="37" t="s">
        <v>255</v>
      </c>
      <c r="CA320" s="123" t="s">
        <v>255</v>
      </c>
      <c r="CB320" s="223"/>
      <c r="CC320" s="37" t="s">
        <v>255</v>
      </c>
      <c r="CD320" s="37" t="s">
        <v>255</v>
      </c>
      <c r="CE320" s="37" t="s">
        <v>255</v>
      </c>
      <c r="CF320" s="37" t="s">
        <v>255</v>
      </c>
      <c r="CG320" s="37" t="s">
        <v>255</v>
      </c>
      <c r="CH320" s="37" t="s">
        <v>255</v>
      </c>
      <c r="CI320" s="37" t="s">
        <v>255</v>
      </c>
      <c r="CJ320" s="37" t="s">
        <v>255</v>
      </c>
      <c r="CK320" s="37" t="s">
        <v>255</v>
      </c>
      <c r="CL320" s="37" t="s">
        <v>255</v>
      </c>
      <c r="CM320" s="37" t="s">
        <v>255</v>
      </c>
      <c r="CN320" s="37" t="s">
        <v>255</v>
      </c>
      <c r="CO320" s="37" t="s">
        <v>255</v>
      </c>
      <c r="CP320" s="37" t="s">
        <v>255</v>
      </c>
      <c r="CQ320" s="37" t="s">
        <v>255</v>
      </c>
      <c r="CR320" s="124" t="s">
        <v>302</v>
      </c>
    </row>
    <row r="321" spans="1:96" ht="30" outlineLevel="1" x14ac:dyDescent="0.25">
      <c r="A321" s="19" t="s">
        <v>494</v>
      </c>
      <c r="B321" s="121"/>
      <c r="C321" s="121"/>
      <c r="D321" s="121"/>
      <c r="E321" s="121"/>
      <c r="F321" s="34" t="s">
        <v>225</v>
      </c>
      <c r="G321" s="120" t="s">
        <v>579</v>
      </c>
      <c r="H321" s="34"/>
      <c r="I321" s="34"/>
      <c r="J321" s="34"/>
      <c r="K321" s="34"/>
      <c r="L321" s="34"/>
      <c r="M321" s="34"/>
      <c r="N321" s="235">
        <f t="shared" si="494"/>
        <v>0</v>
      </c>
      <c r="O321" s="200" t="str">
        <f t="shared" si="495"/>
        <v/>
      </c>
      <c r="P321" s="144"/>
      <c r="Q321" s="357">
        <f t="shared" si="496"/>
        <v>0</v>
      </c>
      <c r="R321" s="356" t="str">
        <f t="shared" si="497"/>
        <v/>
      </c>
      <c r="S321" s="144"/>
      <c r="T321" s="357">
        <f t="shared" si="498"/>
        <v>0</v>
      </c>
      <c r="U321" s="356" t="str">
        <f t="shared" si="499"/>
        <v/>
      </c>
      <c r="V321" s="144"/>
      <c r="W321" s="357">
        <f t="shared" si="500"/>
        <v>0</v>
      </c>
      <c r="X321" s="356" t="str">
        <f t="shared" si="501"/>
        <v/>
      </c>
      <c r="Y321" s="144"/>
      <c r="Z321" s="201">
        <f t="shared" si="502"/>
        <v>0</v>
      </c>
      <c r="AA321" s="388" t="str">
        <f t="shared" si="503"/>
        <v>НЕТ</v>
      </c>
      <c r="AB321" s="388"/>
      <c r="AC321" s="37" t="str">
        <f t="shared" si="531"/>
        <v>НЕТ</v>
      </c>
      <c r="AD321" s="37" t="str">
        <f t="shared" si="532"/>
        <v>Не требуется</v>
      </c>
      <c r="AE321" s="37"/>
      <c r="AF321" s="37" t="str">
        <f t="shared" si="533"/>
        <v>НЕТ</v>
      </c>
      <c r="AG321" s="37" t="str">
        <f t="shared" si="533"/>
        <v>НЕТ</v>
      </c>
      <c r="AH321" s="37" t="str">
        <f t="shared" si="533"/>
        <v>НЕТ</v>
      </c>
      <c r="AI321" s="37" t="str">
        <f t="shared" si="533"/>
        <v>НЕТ</v>
      </c>
      <c r="AJ321" s="37" t="str">
        <f t="shared" si="533"/>
        <v>НЕТ</v>
      </c>
      <c r="AK321" s="37" t="str">
        <f t="shared" si="533"/>
        <v>НЕТ</v>
      </c>
      <c r="AL321" s="37" t="str">
        <f t="shared" si="533"/>
        <v>НЕТ</v>
      </c>
      <c r="AM321" s="37" t="str">
        <f t="shared" si="507"/>
        <v>Не требуется</v>
      </c>
      <c r="AN321" s="37"/>
      <c r="AQ321" s="200"/>
      <c r="AR321" s="230"/>
      <c r="AS321" s="144" t="str">
        <f t="shared" si="508"/>
        <v/>
      </c>
      <c r="AT321" s="144" t="str">
        <f t="shared" si="509"/>
        <v/>
      </c>
      <c r="AU321" s="144" t="str">
        <f t="shared" si="510"/>
        <v/>
      </c>
      <c r="AV321" s="144" t="str">
        <f t="shared" si="511"/>
        <v/>
      </c>
      <c r="AW321" s="144" t="str">
        <f t="shared" si="512"/>
        <v/>
      </c>
      <c r="AX321" s="144" t="str">
        <f t="shared" si="513"/>
        <v/>
      </c>
      <c r="AY321" s="144" t="str">
        <f t="shared" si="514"/>
        <v/>
      </c>
      <c r="AZ321" s="201" t="str">
        <f t="shared" si="515"/>
        <v/>
      </c>
      <c r="BA321" s="235"/>
      <c r="BB321" s="144" t="str">
        <f t="shared" si="516"/>
        <v/>
      </c>
      <c r="BC321" s="144" t="str">
        <f t="shared" si="517"/>
        <v/>
      </c>
      <c r="BD321" s="144" t="str">
        <f t="shared" si="518"/>
        <v/>
      </c>
      <c r="BE321" s="144" t="str">
        <f t="shared" si="519"/>
        <v/>
      </c>
      <c r="BF321" s="201" t="str">
        <f t="shared" si="520"/>
        <v/>
      </c>
      <c r="BG321" s="144" t="str">
        <f t="shared" si="521"/>
        <v/>
      </c>
      <c r="BH321" s="144" t="str">
        <f t="shared" si="522"/>
        <v/>
      </c>
      <c r="BI321" s="144" t="str">
        <f t="shared" si="523"/>
        <v/>
      </c>
      <c r="BJ321" s="144" t="str">
        <f t="shared" si="524"/>
        <v/>
      </c>
      <c r="BK321" s="201" t="str">
        <f t="shared" si="525"/>
        <v/>
      </c>
      <c r="BL321" s="144" t="str">
        <f t="shared" si="526"/>
        <v/>
      </c>
      <c r="BM321" s="144" t="str">
        <f t="shared" si="527"/>
        <v/>
      </c>
      <c r="BN321" s="144" t="str">
        <f t="shared" si="528"/>
        <v/>
      </c>
      <c r="BO321" s="144" t="str">
        <f t="shared" si="529"/>
        <v/>
      </c>
      <c r="BP321" s="201" t="str">
        <f t="shared" si="530"/>
        <v/>
      </c>
      <c r="BQ321" s="209"/>
      <c r="BR321" s="388"/>
      <c r="BS321" s="37" t="s">
        <v>255</v>
      </c>
      <c r="BT321" s="37" t="s">
        <v>255</v>
      </c>
      <c r="BU321" s="37" t="s">
        <v>255</v>
      </c>
      <c r="BV321" s="37" t="s">
        <v>255</v>
      </c>
      <c r="BW321" s="37" t="s">
        <v>255</v>
      </c>
      <c r="BX321" s="37" t="s">
        <v>255</v>
      </c>
      <c r="BY321" s="37" t="s">
        <v>255</v>
      </c>
      <c r="BZ321" s="37" t="s">
        <v>255</v>
      </c>
      <c r="CA321" s="123" t="s">
        <v>255</v>
      </c>
      <c r="CB321" s="223"/>
      <c r="CC321" s="37" t="s">
        <v>255</v>
      </c>
      <c r="CD321" s="37" t="s">
        <v>255</v>
      </c>
      <c r="CE321" s="37" t="s">
        <v>255</v>
      </c>
      <c r="CF321" s="37" t="s">
        <v>255</v>
      </c>
      <c r="CG321" s="37" t="s">
        <v>255</v>
      </c>
      <c r="CH321" s="37" t="s">
        <v>255</v>
      </c>
      <c r="CI321" s="37" t="s">
        <v>255</v>
      </c>
      <c r="CJ321" s="37" t="s">
        <v>255</v>
      </c>
      <c r="CK321" s="37" t="s">
        <v>255</v>
      </c>
      <c r="CL321" s="37" t="s">
        <v>255</v>
      </c>
      <c r="CM321" s="37" t="s">
        <v>255</v>
      </c>
      <c r="CN321" s="37" t="s">
        <v>255</v>
      </c>
      <c r="CO321" s="37" t="s">
        <v>255</v>
      </c>
      <c r="CP321" s="37" t="s">
        <v>255</v>
      </c>
      <c r="CQ321" s="37" t="s">
        <v>255</v>
      </c>
      <c r="CR321" s="123" t="s">
        <v>302</v>
      </c>
    </row>
    <row r="322" spans="1:96" ht="30.75" outlineLevel="1" thickBot="1" x14ac:dyDescent="0.3">
      <c r="A322" s="19" t="s">
        <v>495</v>
      </c>
      <c r="B322" s="121"/>
      <c r="C322" s="121"/>
      <c r="D322" s="121"/>
      <c r="E322" s="121"/>
      <c r="F322" s="34" t="s">
        <v>225</v>
      </c>
      <c r="G322" s="120" t="s">
        <v>579</v>
      </c>
      <c r="H322" s="34"/>
      <c r="I322" s="34"/>
      <c r="J322" s="34"/>
      <c r="K322" s="34"/>
      <c r="L322" s="34"/>
      <c r="M322" s="34"/>
      <c r="N322" s="235">
        <f t="shared" si="494"/>
        <v>0</v>
      </c>
      <c r="O322" s="200" t="str">
        <f t="shared" si="495"/>
        <v/>
      </c>
      <c r="P322" s="144"/>
      <c r="Q322" s="357">
        <f t="shared" si="496"/>
        <v>0</v>
      </c>
      <c r="R322" s="356" t="str">
        <f t="shared" si="497"/>
        <v/>
      </c>
      <c r="S322" s="144"/>
      <c r="T322" s="357">
        <f t="shared" si="498"/>
        <v>0</v>
      </c>
      <c r="U322" s="356" t="str">
        <f t="shared" si="499"/>
        <v/>
      </c>
      <c r="V322" s="144"/>
      <c r="W322" s="357">
        <f t="shared" si="500"/>
        <v>0</v>
      </c>
      <c r="X322" s="356" t="str">
        <f t="shared" si="501"/>
        <v/>
      </c>
      <c r="Y322" s="144"/>
      <c r="Z322" s="201">
        <f t="shared" si="502"/>
        <v>0</v>
      </c>
      <c r="AA322" s="388" t="str">
        <f t="shared" si="503"/>
        <v>НЕТ</v>
      </c>
      <c r="AB322" s="388"/>
      <c r="AC322" s="37" t="str">
        <f t="shared" si="531"/>
        <v>НЕТ</v>
      </c>
      <c r="AD322" s="37" t="str">
        <f t="shared" si="532"/>
        <v>Не требуется</v>
      </c>
      <c r="AE322" s="37"/>
      <c r="AF322" s="37" t="str">
        <f t="shared" si="533"/>
        <v>НЕТ</v>
      </c>
      <c r="AG322" s="37" t="str">
        <f t="shared" si="533"/>
        <v>НЕТ</v>
      </c>
      <c r="AH322" s="37" t="str">
        <f t="shared" si="533"/>
        <v>НЕТ</v>
      </c>
      <c r="AI322" s="37" t="str">
        <f t="shared" si="533"/>
        <v>НЕТ</v>
      </c>
      <c r="AJ322" s="37" t="str">
        <f t="shared" si="533"/>
        <v>НЕТ</v>
      </c>
      <c r="AK322" s="37" t="str">
        <f t="shared" si="533"/>
        <v>НЕТ</v>
      </c>
      <c r="AL322" s="37" t="str">
        <f t="shared" si="533"/>
        <v>НЕТ</v>
      </c>
      <c r="AM322" s="37" t="str">
        <f t="shared" si="507"/>
        <v>Не требуется</v>
      </c>
      <c r="AN322" s="37"/>
      <c r="AQ322" s="200"/>
      <c r="AR322" s="230"/>
      <c r="AS322" s="144" t="str">
        <f t="shared" si="508"/>
        <v/>
      </c>
      <c r="AT322" s="144" t="str">
        <f t="shared" si="509"/>
        <v/>
      </c>
      <c r="AU322" s="144" t="str">
        <f t="shared" si="510"/>
        <v/>
      </c>
      <c r="AV322" s="144" t="str">
        <f t="shared" si="511"/>
        <v/>
      </c>
      <c r="AW322" s="144" t="str">
        <f t="shared" si="512"/>
        <v/>
      </c>
      <c r="AX322" s="144" t="str">
        <f t="shared" si="513"/>
        <v/>
      </c>
      <c r="AY322" s="144" t="str">
        <f t="shared" si="514"/>
        <v/>
      </c>
      <c r="AZ322" s="201" t="str">
        <f t="shared" si="515"/>
        <v/>
      </c>
      <c r="BA322" s="235"/>
      <c r="BB322" s="144" t="str">
        <f t="shared" si="516"/>
        <v/>
      </c>
      <c r="BC322" s="144" t="str">
        <f t="shared" si="517"/>
        <v/>
      </c>
      <c r="BD322" s="144" t="str">
        <f t="shared" si="518"/>
        <v/>
      </c>
      <c r="BE322" s="144" t="str">
        <f t="shared" si="519"/>
        <v/>
      </c>
      <c r="BF322" s="201" t="str">
        <f t="shared" si="520"/>
        <v/>
      </c>
      <c r="BG322" s="144" t="str">
        <f t="shared" si="521"/>
        <v/>
      </c>
      <c r="BH322" s="144" t="str">
        <f t="shared" si="522"/>
        <v/>
      </c>
      <c r="BI322" s="144" t="str">
        <f t="shared" si="523"/>
        <v/>
      </c>
      <c r="BJ322" s="144" t="str">
        <f t="shared" si="524"/>
        <v/>
      </c>
      <c r="BK322" s="201" t="str">
        <f t="shared" si="525"/>
        <v/>
      </c>
      <c r="BL322" s="144" t="str">
        <f t="shared" si="526"/>
        <v/>
      </c>
      <c r="BM322" s="144" t="str">
        <f t="shared" si="527"/>
        <v/>
      </c>
      <c r="BN322" s="144" t="str">
        <f t="shared" si="528"/>
        <v/>
      </c>
      <c r="BO322" s="144" t="str">
        <f t="shared" si="529"/>
        <v/>
      </c>
      <c r="BP322" s="201" t="str">
        <f t="shared" si="530"/>
        <v/>
      </c>
      <c r="BQ322" s="209"/>
      <c r="BR322" s="388"/>
      <c r="BS322" s="37" t="s">
        <v>255</v>
      </c>
      <c r="BT322" s="37" t="s">
        <v>255</v>
      </c>
      <c r="BU322" s="37" t="s">
        <v>255</v>
      </c>
      <c r="BV322" s="37" t="s">
        <v>255</v>
      </c>
      <c r="BW322" s="37" t="s">
        <v>255</v>
      </c>
      <c r="BX322" s="37" t="s">
        <v>255</v>
      </c>
      <c r="BY322" s="37" t="s">
        <v>255</v>
      </c>
      <c r="BZ322" s="37" t="s">
        <v>255</v>
      </c>
      <c r="CA322" s="123" t="s">
        <v>255</v>
      </c>
      <c r="CB322" s="223"/>
      <c r="CC322" s="37" t="s">
        <v>255</v>
      </c>
      <c r="CD322" s="37" t="s">
        <v>255</v>
      </c>
      <c r="CE322" s="37" t="s">
        <v>255</v>
      </c>
      <c r="CF322" s="37" t="s">
        <v>255</v>
      </c>
      <c r="CG322" s="37" t="s">
        <v>255</v>
      </c>
      <c r="CH322" s="37" t="s">
        <v>255</v>
      </c>
      <c r="CI322" s="37" t="s">
        <v>255</v>
      </c>
      <c r="CJ322" s="37" t="s">
        <v>255</v>
      </c>
      <c r="CK322" s="37" t="s">
        <v>255</v>
      </c>
      <c r="CL322" s="37" t="s">
        <v>255</v>
      </c>
      <c r="CM322" s="37" t="s">
        <v>255</v>
      </c>
      <c r="CN322" s="37" t="s">
        <v>255</v>
      </c>
      <c r="CO322" s="37" t="s">
        <v>255</v>
      </c>
      <c r="CP322" s="37" t="s">
        <v>255</v>
      </c>
      <c r="CQ322" s="37" t="s">
        <v>255</v>
      </c>
      <c r="CR322" s="124" t="s">
        <v>302</v>
      </c>
    </row>
    <row r="323" spans="1:96" ht="30" outlineLevel="1" x14ac:dyDescent="0.25">
      <c r="A323" s="19" t="s">
        <v>496</v>
      </c>
      <c r="B323" s="121"/>
      <c r="C323" s="121"/>
      <c r="D323" s="121"/>
      <c r="E323" s="121"/>
      <c r="F323" s="34" t="s">
        <v>225</v>
      </c>
      <c r="G323" s="120" t="s">
        <v>579</v>
      </c>
      <c r="H323" s="34"/>
      <c r="I323" s="34"/>
      <c r="J323" s="34"/>
      <c r="K323" s="34"/>
      <c r="L323" s="34"/>
      <c r="M323" s="34"/>
      <c r="N323" s="235">
        <f t="shared" si="494"/>
        <v>0</v>
      </c>
      <c r="O323" s="200" t="str">
        <f t="shared" si="495"/>
        <v/>
      </c>
      <c r="P323" s="144"/>
      <c r="Q323" s="357">
        <f t="shared" si="496"/>
        <v>0</v>
      </c>
      <c r="R323" s="356" t="str">
        <f t="shared" si="497"/>
        <v/>
      </c>
      <c r="S323" s="144"/>
      <c r="T323" s="357">
        <f t="shared" si="498"/>
        <v>0</v>
      </c>
      <c r="U323" s="356" t="str">
        <f t="shared" si="499"/>
        <v/>
      </c>
      <c r="V323" s="144"/>
      <c r="W323" s="357">
        <f t="shared" si="500"/>
        <v>0</v>
      </c>
      <c r="X323" s="356" t="str">
        <f t="shared" si="501"/>
        <v/>
      </c>
      <c r="Y323" s="144"/>
      <c r="Z323" s="201">
        <f t="shared" si="502"/>
        <v>0</v>
      </c>
      <c r="AA323" s="388" t="str">
        <f t="shared" si="503"/>
        <v>НЕТ</v>
      </c>
      <c r="AB323" s="388"/>
      <c r="AC323" s="37" t="str">
        <f t="shared" si="531"/>
        <v>НЕТ</v>
      </c>
      <c r="AD323" s="37" t="str">
        <f t="shared" si="532"/>
        <v>Не требуется</v>
      </c>
      <c r="AE323" s="37"/>
      <c r="AF323" s="37" t="str">
        <f t="shared" si="533"/>
        <v>НЕТ</v>
      </c>
      <c r="AG323" s="37" t="str">
        <f t="shared" si="533"/>
        <v>НЕТ</v>
      </c>
      <c r="AH323" s="37" t="str">
        <f t="shared" si="533"/>
        <v>НЕТ</v>
      </c>
      <c r="AI323" s="37" t="str">
        <f t="shared" si="533"/>
        <v>НЕТ</v>
      </c>
      <c r="AJ323" s="37" t="str">
        <f t="shared" si="533"/>
        <v>НЕТ</v>
      </c>
      <c r="AK323" s="37" t="str">
        <f t="shared" si="533"/>
        <v>НЕТ</v>
      </c>
      <c r="AL323" s="37" t="str">
        <f t="shared" si="533"/>
        <v>НЕТ</v>
      </c>
      <c r="AM323" s="37" t="str">
        <f t="shared" si="507"/>
        <v>Не требуется</v>
      </c>
      <c r="AN323" s="37"/>
      <c r="AQ323" s="200"/>
      <c r="AR323" s="230"/>
      <c r="AS323" s="144" t="str">
        <f t="shared" si="508"/>
        <v/>
      </c>
      <c r="AT323" s="144" t="str">
        <f t="shared" si="509"/>
        <v/>
      </c>
      <c r="AU323" s="144" t="str">
        <f t="shared" si="510"/>
        <v/>
      </c>
      <c r="AV323" s="144" t="str">
        <f t="shared" si="511"/>
        <v/>
      </c>
      <c r="AW323" s="144" t="str">
        <f t="shared" si="512"/>
        <v/>
      </c>
      <c r="AX323" s="144" t="str">
        <f t="shared" si="513"/>
        <v/>
      </c>
      <c r="AY323" s="144" t="str">
        <f t="shared" si="514"/>
        <v/>
      </c>
      <c r="AZ323" s="201" t="str">
        <f t="shared" si="515"/>
        <v/>
      </c>
      <c r="BA323" s="235"/>
      <c r="BB323" s="144" t="str">
        <f t="shared" si="516"/>
        <v/>
      </c>
      <c r="BC323" s="144" t="str">
        <f t="shared" si="517"/>
        <v/>
      </c>
      <c r="BD323" s="144" t="str">
        <f t="shared" si="518"/>
        <v/>
      </c>
      <c r="BE323" s="144" t="str">
        <f t="shared" si="519"/>
        <v/>
      </c>
      <c r="BF323" s="201" t="str">
        <f t="shared" si="520"/>
        <v/>
      </c>
      <c r="BG323" s="144" t="str">
        <f t="shared" si="521"/>
        <v/>
      </c>
      <c r="BH323" s="144" t="str">
        <f t="shared" si="522"/>
        <v/>
      </c>
      <c r="BI323" s="144" t="str">
        <f t="shared" si="523"/>
        <v/>
      </c>
      <c r="BJ323" s="144" t="str">
        <f t="shared" si="524"/>
        <v/>
      </c>
      <c r="BK323" s="201" t="str">
        <f t="shared" si="525"/>
        <v/>
      </c>
      <c r="BL323" s="144" t="str">
        <f t="shared" si="526"/>
        <v/>
      </c>
      <c r="BM323" s="144" t="str">
        <f t="shared" si="527"/>
        <v/>
      </c>
      <c r="BN323" s="144" t="str">
        <f t="shared" si="528"/>
        <v/>
      </c>
      <c r="BO323" s="144" t="str">
        <f t="shared" si="529"/>
        <v/>
      </c>
      <c r="BP323" s="201" t="str">
        <f t="shared" si="530"/>
        <v/>
      </c>
      <c r="BQ323" s="209"/>
      <c r="BR323" s="388"/>
      <c r="BS323" s="37" t="s">
        <v>255</v>
      </c>
      <c r="BT323" s="37" t="s">
        <v>255</v>
      </c>
      <c r="BU323" s="37" t="s">
        <v>255</v>
      </c>
      <c r="BV323" s="37" t="s">
        <v>255</v>
      </c>
      <c r="BW323" s="37" t="s">
        <v>255</v>
      </c>
      <c r="BX323" s="37" t="s">
        <v>255</v>
      </c>
      <c r="BY323" s="37" t="s">
        <v>255</v>
      </c>
      <c r="BZ323" s="37" t="s">
        <v>255</v>
      </c>
      <c r="CA323" s="123" t="s">
        <v>255</v>
      </c>
      <c r="CB323" s="223"/>
      <c r="CC323" s="37" t="s">
        <v>255</v>
      </c>
      <c r="CD323" s="37" t="s">
        <v>255</v>
      </c>
      <c r="CE323" s="37" t="s">
        <v>255</v>
      </c>
      <c r="CF323" s="37" t="s">
        <v>255</v>
      </c>
      <c r="CG323" s="37" t="s">
        <v>255</v>
      </c>
      <c r="CH323" s="37" t="s">
        <v>255</v>
      </c>
      <c r="CI323" s="37" t="s">
        <v>255</v>
      </c>
      <c r="CJ323" s="37" t="s">
        <v>255</v>
      </c>
      <c r="CK323" s="37" t="s">
        <v>255</v>
      </c>
      <c r="CL323" s="37" t="s">
        <v>255</v>
      </c>
      <c r="CM323" s="37" t="s">
        <v>255</v>
      </c>
      <c r="CN323" s="37" t="s">
        <v>255</v>
      </c>
      <c r="CO323" s="37" t="s">
        <v>255</v>
      </c>
      <c r="CP323" s="37" t="s">
        <v>255</v>
      </c>
      <c r="CQ323" s="37" t="s">
        <v>255</v>
      </c>
      <c r="CR323" s="123" t="s">
        <v>302</v>
      </c>
    </row>
    <row r="324" spans="1:96" ht="30.75" outlineLevel="1" thickBot="1" x14ac:dyDescent="0.3">
      <c r="A324" s="19" t="s">
        <v>497</v>
      </c>
      <c r="B324" s="121"/>
      <c r="C324" s="121"/>
      <c r="D324" s="121"/>
      <c r="E324" s="121"/>
      <c r="F324" s="34" t="s">
        <v>225</v>
      </c>
      <c r="G324" s="120" t="s">
        <v>579</v>
      </c>
      <c r="H324" s="34"/>
      <c r="I324" s="34"/>
      <c r="J324" s="34"/>
      <c r="K324" s="34"/>
      <c r="L324" s="34"/>
      <c r="M324" s="34"/>
      <c r="N324" s="235">
        <f t="shared" si="494"/>
        <v>0</v>
      </c>
      <c r="O324" s="200" t="str">
        <f t="shared" si="495"/>
        <v/>
      </c>
      <c r="P324" s="144"/>
      <c r="Q324" s="357">
        <f t="shared" si="496"/>
        <v>0</v>
      </c>
      <c r="R324" s="356" t="str">
        <f t="shared" si="497"/>
        <v/>
      </c>
      <c r="S324" s="144"/>
      <c r="T324" s="357">
        <f t="shared" si="498"/>
        <v>0</v>
      </c>
      <c r="U324" s="356" t="str">
        <f t="shared" si="499"/>
        <v/>
      </c>
      <c r="V324" s="144"/>
      <c r="W324" s="357">
        <f t="shared" si="500"/>
        <v>0</v>
      </c>
      <c r="X324" s="356" t="str">
        <f t="shared" si="501"/>
        <v/>
      </c>
      <c r="Y324" s="144"/>
      <c r="Z324" s="201">
        <f t="shared" si="502"/>
        <v>0</v>
      </c>
      <c r="AA324" s="388" t="str">
        <f t="shared" si="503"/>
        <v>НЕТ</v>
      </c>
      <c r="AB324" s="388"/>
      <c r="AC324" s="37" t="str">
        <f t="shared" si="531"/>
        <v>НЕТ</v>
      </c>
      <c r="AD324" s="37" t="str">
        <f t="shared" si="532"/>
        <v>Не требуется</v>
      </c>
      <c r="AE324" s="37"/>
      <c r="AF324" s="37" t="str">
        <f t="shared" si="533"/>
        <v>НЕТ</v>
      </c>
      <c r="AG324" s="37" t="str">
        <f t="shared" si="533"/>
        <v>НЕТ</v>
      </c>
      <c r="AH324" s="37" t="str">
        <f t="shared" si="533"/>
        <v>НЕТ</v>
      </c>
      <c r="AI324" s="37" t="str">
        <f t="shared" si="533"/>
        <v>НЕТ</v>
      </c>
      <c r="AJ324" s="37" t="str">
        <f t="shared" si="533"/>
        <v>НЕТ</v>
      </c>
      <c r="AK324" s="37" t="str">
        <f t="shared" si="533"/>
        <v>НЕТ</v>
      </c>
      <c r="AL324" s="37" t="str">
        <f t="shared" si="533"/>
        <v>НЕТ</v>
      </c>
      <c r="AM324" s="37" t="str">
        <f t="shared" si="507"/>
        <v>Не требуется</v>
      </c>
      <c r="AN324" s="37"/>
      <c r="AQ324" s="200"/>
      <c r="AR324" s="230"/>
      <c r="AS324" s="144" t="str">
        <f t="shared" si="508"/>
        <v/>
      </c>
      <c r="AT324" s="144" t="str">
        <f t="shared" si="509"/>
        <v/>
      </c>
      <c r="AU324" s="144" t="str">
        <f t="shared" si="510"/>
        <v/>
      </c>
      <c r="AV324" s="144" t="str">
        <f t="shared" si="511"/>
        <v/>
      </c>
      <c r="AW324" s="144" t="str">
        <f t="shared" si="512"/>
        <v/>
      </c>
      <c r="AX324" s="144" t="str">
        <f t="shared" si="513"/>
        <v/>
      </c>
      <c r="AY324" s="144" t="str">
        <f t="shared" si="514"/>
        <v/>
      </c>
      <c r="AZ324" s="201" t="str">
        <f t="shared" si="515"/>
        <v/>
      </c>
      <c r="BA324" s="235"/>
      <c r="BB324" s="144" t="str">
        <f t="shared" si="516"/>
        <v/>
      </c>
      <c r="BC324" s="144" t="str">
        <f t="shared" si="517"/>
        <v/>
      </c>
      <c r="BD324" s="144" t="str">
        <f t="shared" si="518"/>
        <v/>
      </c>
      <c r="BE324" s="144" t="str">
        <f t="shared" si="519"/>
        <v/>
      </c>
      <c r="BF324" s="201" t="str">
        <f t="shared" si="520"/>
        <v/>
      </c>
      <c r="BG324" s="144" t="str">
        <f t="shared" si="521"/>
        <v/>
      </c>
      <c r="BH324" s="144" t="str">
        <f t="shared" si="522"/>
        <v/>
      </c>
      <c r="BI324" s="144" t="str">
        <f t="shared" si="523"/>
        <v/>
      </c>
      <c r="BJ324" s="144" t="str">
        <f t="shared" si="524"/>
        <v/>
      </c>
      <c r="BK324" s="201" t="str">
        <f t="shared" si="525"/>
        <v/>
      </c>
      <c r="BL324" s="144" t="str">
        <f t="shared" si="526"/>
        <v/>
      </c>
      <c r="BM324" s="144" t="str">
        <f t="shared" si="527"/>
        <v/>
      </c>
      <c r="BN324" s="144" t="str">
        <f t="shared" si="528"/>
        <v/>
      </c>
      <c r="BO324" s="144" t="str">
        <f t="shared" si="529"/>
        <v/>
      </c>
      <c r="BP324" s="201" t="str">
        <f t="shared" si="530"/>
        <v/>
      </c>
      <c r="BQ324" s="209"/>
      <c r="BR324" s="388"/>
      <c r="BS324" s="37" t="s">
        <v>255</v>
      </c>
      <c r="BT324" s="37" t="s">
        <v>255</v>
      </c>
      <c r="BU324" s="37" t="s">
        <v>255</v>
      </c>
      <c r="BV324" s="37" t="s">
        <v>255</v>
      </c>
      <c r="BW324" s="37" t="s">
        <v>255</v>
      </c>
      <c r="BX324" s="37" t="s">
        <v>255</v>
      </c>
      <c r="BY324" s="37" t="s">
        <v>255</v>
      </c>
      <c r="BZ324" s="37" t="s">
        <v>255</v>
      </c>
      <c r="CA324" s="123" t="s">
        <v>255</v>
      </c>
      <c r="CB324" s="223"/>
      <c r="CC324" s="37" t="s">
        <v>255</v>
      </c>
      <c r="CD324" s="37" t="s">
        <v>255</v>
      </c>
      <c r="CE324" s="37" t="s">
        <v>255</v>
      </c>
      <c r="CF324" s="37" t="s">
        <v>255</v>
      </c>
      <c r="CG324" s="37" t="s">
        <v>255</v>
      </c>
      <c r="CH324" s="37" t="s">
        <v>255</v>
      </c>
      <c r="CI324" s="37" t="s">
        <v>255</v>
      </c>
      <c r="CJ324" s="37" t="s">
        <v>255</v>
      </c>
      <c r="CK324" s="37" t="s">
        <v>255</v>
      </c>
      <c r="CL324" s="37" t="s">
        <v>255</v>
      </c>
      <c r="CM324" s="37" t="s">
        <v>255</v>
      </c>
      <c r="CN324" s="37" t="s">
        <v>255</v>
      </c>
      <c r="CO324" s="37" t="s">
        <v>255</v>
      </c>
      <c r="CP324" s="37" t="s">
        <v>255</v>
      </c>
      <c r="CQ324" s="37" t="s">
        <v>255</v>
      </c>
      <c r="CR324" s="124" t="s">
        <v>302</v>
      </c>
    </row>
    <row r="325" spans="1:96" ht="30" outlineLevel="1" x14ac:dyDescent="0.25">
      <c r="A325" s="19" t="s">
        <v>498</v>
      </c>
      <c r="B325" s="121"/>
      <c r="C325" s="121"/>
      <c r="D325" s="121"/>
      <c r="E325" s="121"/>
      <c r="F325" s="34" t="s">
        <v>225</v>
      </c>
      <c r="G325" s="120" t="s">
        <v>579</v>
      </c>
      <c r="H325" s="34"/>
      <c r="I325" s="34"/>
      <c r="J325" s="34"/>
      <c r="K325" s="34"/>
      <c r="L325" s="34"/>
      <c r="M325" s="34"/>
      <c r="N325" s="235">
        <f t="shared" si="494"/>
        <v>0</v>
      </c>
      <c r="O325" s="200" t="str">
        <f t="shared" si="495"/>
        <v/>
      </c>
      <c r="P325" s="144"/>
      <c r="Q325" s="357">
        <f t="shared" si="496"/>
        <v>0</v>
      </c>
      <c r="R325" s="356" t="str">
        <f t="shared" si="497"/>
        <v/>
      </c>
      <c r="S325" s="144"/>
      <c r="T325" s="357">
        <f t="shared" si="498"/>
        <v>0</v>
      </c>
      <c r="U325" s="356" t="str">
        <f t="shared" si="499"/>
        <v/>
      </c>
      <c r="V325" s="144"/>
      <c r="W325" s="357">
        <f t="shared" si="500"/>
        <v>0</v>
      </c>
      <c r="X325" s="356" t="str">
        <f t="shared" si="501"/>
        <v/>
      </c>
      <c r="Y325" s="144"/>
      <c r="Z325" s="201">
        <f t="shared" si="502"/>
        <v>0</v>
      </c>
      <c r="AA325" s="388" t="str">
        <f t="shared" si="503"/>
        <v>НЕТ</v>
      </c>
      <c r="AB325" s="388"/>
      <c r="AC325" s="37" t="str">
        <f t="shared" si="531"/>
        <v>НЕТ</v>
      </c>
      <c r="AD325" s="37" t="str">
        <f t="shared" si="532"/>
        <v>Не требуется</v>
      </c>
      <c r="AE325" s="37"/>
      <c r="AF325" s="37" t="str">
        <f t="shared" si="533"/>
        <v>НЕТ</v>
      </c>
      <c r="AG325" s="37" t="str">
        <f t="shared" si="533"/>
        <v>НЕТ</v>
      </c>
      <c r="AH325" s="37" t="str">
        <f t="shared" si="533"/>
        <v>НЕТ</v>
      </c>
      <c r="AI325" s="37" t="str">
        <f t="shared" si="533"/>
        <v>НЕТ</v>
      </c>
      <c r="AJ325" s="37" t="str">
        <f t="shared" si="533"/>
        <v>НЕТ</v>
      </c>
      <c r="AK325" s="37" t="str">
        <f t="shared" si="533"/>
        <v>НЕТ</v>
      </c>
      <c r="AL325" s="37" t="str">
        <f t="shared" si="533"/>
        <v>НЕТ</v>
      </c>
      <c r="AM325" s="37" t="str">
        <f t="shared" si="507"/>
        <v>Не требуется</v>
      </c>
      <c r="AN325" s="37"/>
      <c r="AQ325" s="200"/>
      <c r="AR325" s="230"/>
      <c r="AS325" s="144" t="str">
        <f t="shared" si="508"/>
        <v/>
      </c>
      <c r="AT325" s="144" t="str">
        <f t="shared" si="509"/>
        <v/>
      </c>
      <c r="AU325" s="144" t="str">
        <f t="shared" si="510"/>
        <v/>
      </c>
      <c r="AV325" s="144" t="str">
        <f t="shared" si="511"/>
        <v/>
      </c>
      <c r="AW325" s="144" t="str">
        <f t="shared" si="512"/>
        <v/>
      </c>
      <c r="AX325" s="144" t="str">
        <f t="shared" si="513"/>
        <v/>
      </c>
      <c r="AY325" s="144" t="str">
        <f t="shared" si="514"/>
        <v/>
      </c>
      <c r="AZ325" s="201" t="str">
        <f t="shared" si="515"/>
        <v/>
      </c>
      <c r="BA325" s="235"/>
      <c r="BB325" s="144" t="str">
        <f t="shared" si="516"/>
        <v/>
      </c>
      <c r="BC325" s="144" t="str">
        <f t="shared" si="517"/>
        <v/>
      </c>
      <c r="BD325" s="144" t="str">
        <f t="shared" si="518"/>
        <v/>
      </c>
      <c r="BE325" s="144" t="str">
        <f t="shared" si="519"/>
        <v/>
      </c>
      <c r="BF325" s="201" t="str">
        <f t="shared" si="520"/>
        <v/>
      </c>
      <c r="BG325" s="144" t="str">
        <f t="shared" si="521"/>
        <v/>
      </c>
      <c r="BH325" s="144" t="str">
        <f t="shared" si="522"/>
        <v/>
      </c>
      <c r="BI325" s="144" t="str">
        <f t="shared" si="523"/>
        <v/>
      </c>
      <c r="BJ325" s="144" t="str">
        <f t="shared" si="524"/>
        <v/>
      </c>
      <c r="BK325" s="201" t="str">
        <f t="shared" si="525"/>
        <v/>
      </c>
      <c r="BL325" s="144" t="str">
        <f t="shared" si="526"/>
        <v/>
      </c>
      <c r="BM325" s="144" t="str">
        <f t="shared" si="527"/>
        <v/>
      </c>
      <c r="BN325" s="144" t="str">
        <f t="shared" si="528"/>
        <v/>
      </c>
      <c r="BO325" s="144" t="str">
        <f t="shared" si="529"/>
        <v/>
      </c>
      <c r="BP325" s="201" t="str">
        <f t="shared" si="530"/>
        <v/>
      </c>
      <c r="BQ325" s="209"/>
      <c r="BR325" s="388"/>
      <c r="BS325" s="37" t="s">
        <v>255</v>
      </c>
      <c r="BT325" s="37" t="s">
        <v>255</v>
      </c>
      <c r="BU325" s="37" t="s">
        <v>255</v>
      </c>
      <c r="BV325" s="37" t="s">
        <v>255</v>
      </c>
      <c r="BW325" s="37" t="s">
        <v>255</v>
      </c>
      <c r="BX325" s="37" t="s">
        <v>255</v>
      </c>
      <c r="BY325" s="37" t="s">
        <v>255</v>
      </c>
      <c r="BZ325" s="37" t="s">
        <v>255</v>
      </c>
      <c r="CA325" s="123" t="s">
        <v>255</v>
      </c>
      <c r="CB325" s="223"/>
      <c r="CC325" s="37" t="s">
        <v>255</v>
      </c>
      <c r="CD325" s="37" t="s">
        <v>255</v>
      </c>
      <c r="CE325" s="37" t="s">
        <v>255</v>
      </c>
      <c r="CF325" s="37" t="s">
        <v>255</v>
      </c>
      <c r="CG325" s="37" t="s">
        <v>255</v>
      </c>
      <c r="CH325" s="37" t="s">
        <v>255</v>
      </c>
      <c r="CI325" s="37" t="s">
        <v>255</v>
      </c>
      <c r="CJ325" s="37" t="s">
        <v>255</v>
      </c>
      <c r="CK325" s="37" t="s">
        <v>255</v>
      </c>
      <c r="CL325" s="37" t="s">
        <v>255</v>
      </c>
      <c r="CM325" s="37" t="s">
        <v>255</v>
      </c>
      <c r="CN325" s="37" t="s">
        <v>255</v>
      </c>
      <c r="CO325" s="37" t="s">
        <v>255</v>
      </c>
      <c r="CP325" s="37" t="s">
        <v>255</v>
      </c>
      <c r="CQ325" s="37" t="s">
        <v>255</v>
      </c>
      <c r="CR325" s="123" t="s">
        <v>302</v>
      </c>
    </row>
    <row r="326" spans="1:96" ht="30.75" outlineLevel="1" thickBot="1" x14ac:dyDescent="0.3">
      <c r="A326" s="19" t="s">
        <v>499</v>
      </c>
      <c r="B326" s="121"/>
      <c r="C326" s="121"/>
      <c r="D326" s="121"/>
      <c r="E326" s="121"/>
      <c r="F326" s="34" t="s">
        <v>225</v>
      </c>
      <c r="G326" s="120" t="s">
        <v>579</v>
      </c>
      <c r="H326" s="34"/>
      <c r="I326" s="34"/>
      <c r="J326" s="34"/>
      <c r="K326" s="34"/>
      <c r="L326" s="34"/>
      <c r="M326" s="34"/>
      <c r="N326" s="235">
        <f t="shared" si="494"/>
        <v>0</v>
      </c>
      <c r="O326" s="200" t="str">
        <f t="shared" si="495"/>
        <v/>
      </c>
      <c r="P326" s="144"/>
      <c r="Q326" s="357">
        <f t="shared" si="496"/>
        <v>0</v>
      </c>
      <c r="R326" s="356" t="str">
        <f t="shared" si="497"/>
        <v/>
      </c>
      <c r="S326" s="144"/>
      <c r="T326" s="357">
        <f t="shared" si="498"/>
        <v>0</v>
      </c>
      <c r="U326" s="356" t="str">
        <f t="shared" si="499"/>
        <v/>
      </c>
      <c r="V326" s="144"/>
      <c r="W326" s="357">
        <f t="shared" si="500"/>
        <v>0</v>
      </c>
      <c r="X326" s="356" t="str">
        <f t="shared" si="501"/>
        <v/>
      </c>
      <c r="Y326" s="144"/>
      <c r="Z326" s="201">
        <f t="shared" si="502"/>
        <v>0</v>
      </c>
      <c r="AA326" s="388" t="str">
        <f t="shared" si="503"/>
        <v>НЕТ</v>
      </c>
      <c r="AB326" s="388"/>
      <c r="AC326" s="37" t="str">
        <f t="shared" si="531"/>
        <v>НЕТ</v>
      </c>
      <c r="AD326" s="37" t="str">
        <f t="shared" si="532"/>
        <v>Не требуется</v>
      </c>
      <c r="AE326" s="37"/>
      <c r="AF326" s="37" t="str">
        <f t="shared" si="533"/>
        <v>НЕТ</v>
      </c>
      <c r="AG326" s="37" t="str">
        <f t="shared" si="533"/>
        <v>НЕТ</v>
      </c>
      <c r="AH326" s="37" t="str">
        <f t="shared" si="533"/>
        <v>НЕТ</v>
      </c>
      <c r="AI326" s="37" t="str">
        <f t="shared" si="533"/>
        <v>НЕТ</v>
      </c>
      <c r="AJ326" s="37" t="str">
        <f t="shared" si="533"/>
        <v>НЕТ</v>
      </c>
      <c r="AK326" s="37" t="str">
        <f t="shared" si="533"/>
        <v>НЕТ</v>
      </c>
      <c r="AL326" s="37" t="str">
        <f t="shared" si="533"/>
        <v>НЕТ</v>
      </c>
      <c r="AM326" s="37" t="str">
        <f t="shared" si="507"/>
        <v>Не требуется</v>
      </c>
      <c r="AN326" s="37"/>
      <c r="AQ326" s="200"/>
      <c r="AR326" s="230"/>
      <c r="AS326" s="144" t="str">
        <f t="shared" si="508"/>
        <v/>
      </c>
      <c r="AT326" s="144" t="str">
        <f t="shared" si="509"/>
        <v/>
      </c>
      <c r="AU326" s="144" t="str">
        <f t="shared" si="510"/>
        <v/>
      </c>
      <c r="AV326" s="144" t="str">
        <f t="shared" si="511"/>
        <v/>
      </c>
      <c r="AW326" s="144" t="str">
        <f t="shared" si="512"/>
        <v/>
      </c>
      <c r="AX326" s="144" t="str">
        <f t="shared" si="513"/>
        <v/>
      </c>
      <c r="AY326" s="144" t="str">
        <f t="shared" si="514"/>
        <v/>
      </c>
      <c r="AZ326" s="201" t="str">
        <f t="shared" si="515"/>
        <v/>
      </c>
      <c r="BA326" s="235"/>
      <c r="BB326" s="144" t="str">
        <f t="shared" si="516"/>
        <v/>
      </c>
      <c r="BC326" s="144" t="str">
        <f t="shared" si="517"/>
        <v/>
      </c>
      <c r="BD326" s="144" t="str">
        <f t="shared" si="518"/>
        <v/>
      </c>
      <c r="BE326" s="144" t="str">
        <f t="shared" si="519"/>
        <v/>
      </c>
      <c r="BF326" s="201" t="str">
        <f t="shared" si="520"/>
        <v/>
      </c>
      <c r="BG326" s="144" t="str">
        <f t="shared" si="521"/>
        <v/>
      </c>
      <c r="BH326" s="144" t="str">
        <f t="shared" si="522"/>
        <v/>
      </c>
      <c r="BI326" s="144" t="str">
        <f t="shared" si="523"/>
        <v/>
      </c>
      <c r="BJ326" s="144" t="str">
        <f t="shared" si="524"/>
        <v/>
      </c>
      <c r="BK326" s="201" t="str">
        <f t="shared" si="525"/>
        <v/>
      </c>
      <c r="BL326" s="144" t="str">
        <f t="shared" si="526"/>
        <v/>
      </c>
      <c r="BM326" s="144" t="str">
        <f t="shared" si="527"/>
        <v/>
      </c>
      <c r="BN326" s="144" t="str">
        <f t="shared" si="528"/>
        <v/>
      </c>
      <c r="BO326" s="144" t="str">
        <f t="shared" si="529"/>
        <v/>
      </c>
      <c r="BP326" s="201" t="str">
        <f t="shared" si="530"/>
        <v/>
      </c>
      <c r="BQ326" s="209"/>
      <c r="BR326" s="388"/>
      <c r="BS326" s="37" t="s">
        <v>255</v>
      </c>
      <c r="BT326" s="37" t="s">
        <v>255</v>
      </c>
      <c r="BU326" s="37" t="s">
        <v>255</v>
      </c>
      <c r="BV326" s="37" t="s">
        <v>255</v>
      </c>
      <c r="BW326" s="37" t="s">
        <v>255</v>
      </c>
      <c r="BX326" s="37" t="s">
        <v>255</v>
      </c>
      <c r="BY326" s="37" t="s">
        <v>255</v>
      </c>
      <c r="BZ326" s="37" t="s">
        <v>255</v>
      </c>
      <c r="CA326" s="123" t="s">
        <v>255</v>
      </c>
      <c r="CB326" s="223"/>
      <c r="CC326" s="37" t="s">
        <v>255</v>
      </c>
      <c r="CD326" s="37" t="s">
        <v>255</v>
      </c>
      <c r="CE326" s="37" t="s">
        <v>255</v>
      </c>
      <c r="CF326" s="37" t="s">
        <v>255</v>
      </c>
      <c r="CG326" s="37" t="s">
        <v>255</v>
      </c>
      <c r="CH326" s="37" t="s">
        <v>255</v>
      </c>
      <c r="CI326" s="37" t="s">
        <v>255</v>
      </c>
      <c r="CJ326" s="37" t="s">
        <v>255</v>
      </c>
      <c r="CK326" s="37" t="s">
        <v>255</v>
      </c>
      <c r="CL326" s="37" t="s">
        <v>255</v>
      </c>
      <c r="CM326" s="37" t="s">
        <v>255</v>
      </c>
      <c r="CN326" s="37" t="s">
        <v>255</v>
      </c>
      <c r="CO326" s="37" t="s">
        <v>255</v>
      </c>
      <c r="CP326" s="37" t="s">
        <v>255</v>
      </c>
      <c r="CQ326" s="37" t="s">
        <v>255</v>
      </c>
      <c r="CR326" s="124" t="s">
        <v>302</v>
      </c>
    </row>
    <row r="327" spans="1:96" ht="19.5" thickBot="1" x14ac:dyDescent="0.35">
      <c r="A327" s="141"/>
      <c r="B327" s="142" t="s">
        <v>254</v>
      </c>
      <c r="C327" s="971"/>
      <c r="D327" s="971"/>
      <c r="E327" s="498"/>
      <c r="F327" s="49"/>
      <c r="G327" s="49"/>
      <c r="H327" s="143"/>
      <c r="I327" s="143"/>
      <c r="J327" s="143"/>
      <c r="K327" s="143"/>
      <c r="L327" s="143"/>
      <c r="M327" s="224">
        <f t="shared" ref="M327:Z327" si="534">SUM(M10,M38,M67,M100,M147,M177,M211,M254,M264,M298)</f>
        <v>347</v>
      </c>
      <c r="N327" s="224">
        <f t="shared" si="534"/>
        <v>195</v>
      </c>
      <c r="O327" s="224">
        <f t="shared" si="534"/>
        <v>16</v>
      </c>
      <c r="P327" s="224">
        <f t="shared" si="534"/>
        <v>0</v>
      </c>
      <c r="Q327" s="224">
        <f t="shared" si="534"/>
        <v>11</v>
      </c>
      <c r="R327" s="224">
        <f t="shared" si="534"/>
        <v>161</v>
      </c>
      <c r="S327" s="224">
        <f t="shared" si="534"/>
        <v>0</v>
      </c>
      <c r="T327" s="224">
        <f t="shared" si="534"/>
        <v>55</v>
      </c>
      <c r="U327" s="224">
        <f t="shared" si="534"/>
        <v>18</v>
      </c>
      <c r="V327" s="224">
        <f t="shared" si="534"/>
        <v>0</v>
      </c>
      <c r="W327" s="224">
        <f t="shared" si="534"/>
        <v>13</v>
      </c>
      <c r="X327" s="224">
        <f t="shared" si="534"/>
        <v>0</v>
      </c>
      <c r="Y327" s="224">
        <f t="shared" si="534"/>
        <v>0</v>
      </c>
      <c r="Z327" s="224">
        <f t="shared" si="534"/>
        <v>0</v>
      </c>
      <c r="AA327" s="231"/>
      <c r="AB327" s="231"/>
      <c r="AC327" s="143"/>
      <c r="AD327" s="143"/>
      <c r="AE327" s="143"/>
      <c r="AF327" s="143"/>
      <c r="AG327" s="143"/>
      <c r="AH327" s="143"/>
      <c r="AI327" s="143"/>
      <c r="AJ327" s="143"/>
      <c r="AK327" s="143"/>
      <c r="AL327" s="143"/>
      <c r="AM327" s="143"/>
      <c r="AN327" s="143"/>
      <c r="AQ327" s="204"/>
      <c r="AR327" s="231"/>
      <c r="AS327" s="143">
        <f>SUM(AS10,AS38,AS67,AS100,AS147,AS177,AS211,AS254,AS264,AS298)</f>
        <v>25</v>
      </c>
      <c r="AT327" s="143">
        <f t="shared" ref="AT327:AV327" si="535">SUM(AT10,AT38,AT67,AT100,AT147,AT177,AT211,AT254,AT264,AT298)</f>
        <v>17</v>
      </c>
      <c r="AU327" s="143">
        <f t="shared" si="535"/>
        <v>16</v>
      </c>
      <c r="AV327" s="143">
        <f t="shared" si="535"/>
        <v>17</v>
      </c>
      <c r="AW327" s="143">
        <f>SUM(AW10,AW38,AW67,AW100,AW147,AW177,AW211,AW254,AW264,AW298)</f>
        <v>43</v>
      </c>
      <c r="AX327" s="143">
        <f>SUM(AX10,AX38,AX67,AX100,AX147,AX177,AX211,AX254,AX264,AX298)</f>
        <v>104</v>
      </c>
      <c r="AY327" s="143">
        <f>SUM(AY10,AY38,AY67,AY100,AY147,AY177,AY211,AY254,AY264,AY298)</f>
        <v>144</v>
      </c>
      <c r="AZ327" s="205">
        <f>SUM(AZ10,AZ38,AZ67,AZ100,AZ147,AZ177,AZ211,AZ254,AZ264,AZ298)</f>
        <v>213</v>
      </c>
      <c r="BA327" s="224"/>
      <c r="BB327" s="143">
        <f t="shared" ref="BB327:BP327" si="536">SUM(BB10,BB38,BB67,BB100,BB147,BB177,BB211,BB254,BB264,BB298)</f>
        <v>62</v>
      </c>
      <c r="BC327" s="143">
        <f t="shared" si="536"/>
        <v>103</v>
      </c>
      <c r="BD327" s="143">
        <f t="shared" si="536"/>
        <v>42</v>
      </c>
      <c r="BE327" s="143">
        <f t="shared" si="536"/>
        <v>81</v>
      </c>
      <c r="BF327" s="205">
        <f t="shared" si="536"/>
        <v>81</v>
      </c>
      <c r="BG327" s="143">
        <f t="shared" si="536"/>
        <v>86</v>
      </c>
      <c r="BH327" s="143">
        <f t="shared" si="536"/>
        <v>59</v>
      </c>
      <c r="BI327" s="143">
        <f t="shared" si="536"/>
        <v>40</v>
      </c>
      <c r="BJ327" s="143">
        <f t="shared" si="536"/>
        <v>57</v>
      </c>
      <c r="BK327" s="205">
        <f t="shared" si="536"/>
        <v>29</v>
      </c>
      <c r="BL327" s="143">
        <f t="shared" si="536"/>
        <v>17</v>
      </c>
      <c r="BM327" s="143">
        <f t="shared" si="536"/>
        <v>0</v>
      </c>
      <c r="BN327" s="143">
        <f t="shared" si="536"/>
        <v>0</v>
      </c>
      <c r="BO327" s="143">
        <f t="shared" si="536"/>
        <v>0</v>
      </c>
      <c r="BP327" s="205">
        <f t="shared" si="536"/>
        <v>0</v>
      </c>
      <c r="BQ327" s="204"/>
      <c r="BR327" s="231"/>
      <c r="BS327" s="143"/>
      <c r="BT327" s="143"/>
      <c r="BU327" s="143"/>
      <c r="BV327" s="143"/>
      <c r="BW327" s="143"/>
      <c r="BX327" s="143"/>
      <c r="BY327" s="143"/>
      <c r="BZ327" s="143"/>
      <c r="CA327" s="205"/>
      <c r="CB327" s="224"/>
      <c r="CC327" s="143"/>
      <c r="CD327" s="143"/>
      <c r="CE327" s="143"/>
      <c r="CF327" s="143"/>
      <c r="CG327" s="143"/>
      <c r="CH327" s="143"/>
      <c r="CI327" s="143"/>
      <c r="CJ327" s="143"/>
      <c r="CK327" s="143"/>
      <c r="CL327" s="143"/>
      <c r="CM327" s="143"/>
      <c r="CN327" s="143"/>
      <c r="CO327" s="143"/>
      <c r="CP327" s="143"/>
      <c r="CQ327" s="143"/>
      <c r="CR327" s="51"/>
    </row>
    <row r="328" spans="1:96" ht="63.75" thickBot="1" x14ac:dyDescent="0.3">
      <c r="A328" s="150" t="s">
        <v>505</v>
      </c>
      <c r="B328" s="151" t="s">
        <v>1740</v>
      </c>
      <c r="C328" s="1037" t="s">
        <v>243</v>
      </c>
      <c r="D328" s="151"/>
      <c r="E328" s="499"/>
      <c r="F328" s="152" t="s">
        <v>221</v>
      </c>
      <c r="G328" s="49" t="s">
        <v>221</v>
      </c>
      <c r="H328" s="49" t="s">
        <v>221</v>
      </c>
      <c r="I328" s="49" t="s">
        <v>221</v>
      </c>
      <c r="J328" s="49" t="s">
        <v>221</v>
      </c>
      <c r="K328" s="49" t="s">
        <v>221</v>
      </c>
      <c r="L328" s="49" t="s">
        <v>221</v>
      </c>
      <c r="M328" s="160">
        <f t="shared" ref="M328:Z328" si="537">SUM(M329:M355)</f>
        <v>193</v>
      </c>
      <c r="N328" s="160">
        <f t="shared" si="537"/>
        <v>0</v>
      </c>
      <c r="O328" s="160">
        <f t="shared" si="537"/>
        <v>0</v>
      </c>
      <c r="P328" s="160">
        <f t="shared" si="537"/>
        <v>0</v>
      </c>
      <c r="Q328" s="160">
        <f t="shared" si="537"/>
        <v>0</v>
      </c>
      <c r="R328" s="160">
        <f t="shared" si="537"/>
        <v>0</v>
      </c>
      <c r="S328" s="160">
        <f t="shared" si="537"/>
        <v>0</v>
      </c>
      <c r="T328" s="160">
        <f t="shared" si="537"/>
        <v>0</v>
      </c>
      <c r="U328" s="160">
        <f t="shared" si="537"/>
        <v>0</v>
      </c>
      <c r="V328" s="160">
        <f t="shared" si="537"/>
        <v>0</v>
      </c>
      <c r="W328" s="160">
        <f t="shared" si="537"/>
        <v>0</v>
      </c>
      <c r="X328" s="160">
        <f t="shared" si="537"/>
        <v>0</v>
      </c>
      <c r="Y328" s="160">
        <f t="shared" si="537"/>
        <v>0</v>
      </c>
      <c r="Z328" s="160">
        <f t="shared" si="537"/>
        <v>0</v>
      </c>
      <c r="AA328" s="390" t="str">
        <f>IF(N328&gt;0,"ДА","НЕТ")</f>
        <v>НЕТ</v>
      </c>
      <c r="AB328" s="805"/>
      <c r="AC328" s="37" t="str">
        <f t="shared" ref="AC328:AC355" si="538">IF(AC$8=$BT$9,$BT328,IF(AC$8=$BS$9,$BS328,IF(AC$8=$BU$9,$BU328,IF(AC$8=$BV$9,$BV328,IF(AC$8=$BW$9,$BW328,IF(AC$8=$BX$9,$BX328,IF(AC$8=$BY$9,$BY328,IF(AC$8=$BZ$9,$BZ328,IF(AC$8=$CA$9,$CA328,IF(AC$8=$CC$9,$CC328,IF(AC$8=$CD$9,$CD328,IF(AC$8=$CE$9,$CE328,IF(AC$8=$CF$9,$CF328,IF(AC$8=$CG$9,$CG328,IF(AC$8=$CH$9,$CH328,IF(AC$8=$CI$9,$CI328,IF(AC$8=$CJ$9,$CJ328,IF(AC$8=$CK$9,$CK328,IF(AC$8=$CL$9,$CL328,IF(AC$8=$CM$9,$CM328,IF(AC$8=$CN$9,$CN328,IF(AC$8=$CO$9,$CO328,IF(AC$8=$CP$9,$CP328,IF(AC$8=$CQ$9,$CQ328,"НЕТ"))))))))))))))))))))))))</f>
        <v>НЕТ</v>
      </c>
      <c r="AD328" s="37" t="str">
        <f t="shared" ref="AD328:AD355" si="539">IF(AC328="НЕТ","Не требуется",$CR328)</f>
        <v>Не требуется</v>
      </c>
      <c r="AE328" s="37"/>
      <c r="AF328" s="37" t="str">
        <f t="shared" ref="AF328:AL355" si="540">IF(AF$8=$BT$9,$BT328,IF(AF$8=$BS$9,$BS328,IF(AF$8=$BU$9,$BU328,IF(AF$8=$BV$9,$BV328,IF(AF$8=$BW$9,$BW328,IF(AF$8=$BX$9,$BX328,IF(AF$8=$BY$9,$BY328,IF(AF$8=$BZ$9,$BZ328,IF(AF$8=$CA$9,$CA328,IF(AF$8=$CC$9,$CC328,IF(AF$8=$CD$9,$CD328,IF(AF$8=$CE$9,$CE328,IF(AF$8=$CF$9,$CF328,IF(AF$8=$CG$9,$CG328,IF(AF$8=$CH$9,$CH328,IF(AF$8=$CI$9,$CI328,IF(AF$8=$CJ$9,$CJ328,IF(AF$8=$CK$9,$CK328,IF(AF$8=$CL$9,$CL328,IF(AF$8=$CM$9,$CM328,IF(AF$8=$CN$9,$CN328,IF(AF$8=$CO$9,$CO328,IF(AF$8=$CP$9,$CP328,IF(AF$8=$CQ$9,$CQ328,"НЕТ"))))))))))))))))))))))))</f>
        <v>НЕТ</v>
      </c>
      <c r="AG328" s="37" t="str">
        <f t="shared" si="540"/>
        <v>НЕТ</v>
      </c>
      <c r="AH328" s="37" t="str">
        <f t="shared" si="540"/>
        <v>НЕТ</v>
      </c>
      <c r="AI328" s="37" t="str">
        <f t="shared" si="540"/>
        <v>НЕТ</v>
      </c>
      <c r="AJ328" s="37" t="str">
        <f t="shared" si="540"/>
        <v>НЕТ</v>
      </c>
      <c r="AK328" s="37" t="str">
        <f t="shared" si="540"/>
        <v>НЕТ</v>
      </c>
      <c r="AL328" s="37" t="str">
        <f t="shared" si="540"/>
        <v>НЕТ</v>
      </c>
      <c r="AM328" s="154"/>
      <c r="AN328" s="153"/>
      <c r="AQ328" s="217"/>
      <c r="AR328" s="232"/>
      <c r="AS328" s="218">
        <f>SUM(AS329:AS355)</f>
        <v>1</v>
      </c>
      <c r="AT328" s="218">
        <f t="shared" ref="AT328:AV328" si="541">SUM(AT329:AT355)</f>
        <v>0</v>
      </c>
      <c r="AU328" s="218">
        <f t="shared" si="541"/>
        <v>0</v>
      </c>
      <c r="AV328" s="218">
        <f t="shared" si="541"/>
        <v>0</v>
      </c>
      <c r="AW328" s="218">
        <f>SUM(AW329:AW355)</f>
        <v>0</v>
      </c>
      <c r="AX328" s="218">
        <f>SUM(AX329:AX355)</f>
        <v>12</v>
      </c>
      <c r="AY328" s="218">
        <f>SUM(AY329:AY355)</f>
        <v>0</v>
      </c>
      <c r="AZ328" s="219">
        <f>SUM(AZ329:AZ355)</f>
        <v>0</v>
      </c>
      <c r="BA328" s="236"/>
      <c r="BB328" s="218">
        <f t="shared" ref="BB328:BP328" si="542">SUM(BB329:BB355)</f>
        <v>0</v>
      </c>
      <c r="BC328" s="218">
        <f t="shared" si="542"/>
        <v>0</v>
      </c>
      <c r="BD328" s="218">
        <f t="shared" si="542"/>
        <v>0</v>
      </c>
      <c r="BE328" s="218">
        <f t="shared" si="542"/>
        <v>0</v>
      </c>
      <c r="BF328" s="219">
        <f t="shared" si="542"/>
        <v>0</v>
      </c>
      <c r="BG328" s="218">
        <f t="shared" si="542"/>
        <v>0</v>
      </c>
      <c r="BH328" s="218">
        <f t="shared" si="542"/>
        <v>0</v>
      </c>
      <c r="BI328" s="218">
        <f t="shared" si="542"/>
        <v>0</v>
      </c>
      <c r="BJ328" s="218">
        <f t="shared" si="542"/>
        <v>0</v>
      </c>
      <c r="BK328" s="219">
        <f t="shared" si="542"/>
        <v>0</v>
      </c>
      <c r="BL328" s="218">
        <f t="shared" si="542"/>
        <v>0</v>
      </c>
      <c r="BM328" s="218">
        <f t="shared" si="542"/>
        <v>0</v>
      </c>
      <c r="BN328" s="218">
        <f t="shared" si="542"/>
        <v>0</v>
      </c>
      <c r="BO328" s="218">
        <f t="shared" si="542"/>
        <v>0</v>
      </c>
      <c r="BP328" s="219">
        <f t="shared" si="542"/>
        <v>0</v>
      </c>
      <c r="BQ328" s="210"/>
      <c r="BR328" s="858"/>
      <c r="BS328" s="140" t="str">
        <f t="shared" ref="BS328:BV328" si="543">IF(AS328&gt;0,"ДА","НЕТ")</f>
        <v>ДА</v>
      </c>
      <c r="BT328" s="140" t="str">
        <f t="shared" si="543"/>
        <v>НЕТ</v>
      </c>
      <c r="BU328" s="140" t="str">
        <f t="shared" si="543"/>
        <v>НЕТ</v>
      </c>
      <c r="BV328" s="140" t="str">
        <f t="shared" si="543"/>
        <v>НЕТ</v>
      </c>
      <c r="BW328" s="220" t="str">
        <f>IF(AS328&gt;0,"ДА","НЕТ")</f>
        <v>ДА</v>
      </c>
      <c r="BX328" s="220" t="str">
        <f>IF(AW328&gt;0,"ДА","НЕТ")</f>
        <v>НЕТ</v>
      </c>
      <c r="BY328" s="220" t="str">
        <f>IF(AX328&gt;0,"ДА","НЕТ")</f>
        <v>ДА</v>
      </c>
      <c r="BZ328" s="220" t="str">
        <f>IF(AY328&gt;0,"ДА","НЕТ")</f>
        <v>НЕТ</v>
      </c>
      <c r="CA328" s="221" t="str">
        <f>IF(AZ328&gt;0,"ДА","НЕТ")</f>
        <v>НЕТ</v>
      </c>
      <c r="CB328" s="225"/>
      <c r="CC328" s="220" t="str">
        <f t="shared" ref="CC328:CQ328" si="544">IF(BB328&gt;0,"ДА","НЕТ")</f>
        <v>НЕТ</v>
      </c>
      <c r="CD328" s="220" t="str">
        <f t="shared" si="544"/>
        <v>НЕТ</v>
      </c>
      <c r="CE328" s="220" t="str">
        <f t="shared" si="544"/>
        <v>НЕТ</v>
      </c>
      <c r="CF328" s="220" t="str">
        <f t="shared" si="544"/>
        <v>НЕТ</v>
      </c>
      <c r="CG328" s="220" t="str">
        <f t="shared" si="544"/>
        <v>НЕТ</v>
      </c>
      <c r="CH328" s="220" t="str">
        <f t="shared" si="544"/>
        <v>НЕТ</v>
      </c>
      <c r="CI328" s="220" t="str">
        <f t="shared" si="544"/>
        <v>НЕТ</v>
      </c>
      <c r="CJ328" s="220" t="str">
        <f t="shared" si="544"/>
        <v>НЕТ</v>
      </c>
      <c r="CK328" s="220" t="str">
        <f t="shared" si="544"/>
        <v>НЕТ</v>
      </c>
      <c r="CL328" s="220" t="str">
        <f t="shared" si="544"/>
        <v>НЕТ</v>
      </c>
      <c r="CM328" s="220" t="str">
        <f t="shared" si="544"/>
        <v>НЕТ</v>
      </c>
      <c r="CN328" s="220" t="str">
        <f t="shared" si="544"/>
        <v>НЕТ</v>
      </c>
      <c r="CO328" s="220" t="str">
        <f t="shared" si="544"/>
        <v>НЕТ</v>
      </c>
      <c r="CP328" s="220" t="str">
        <f t="shared" si="544"/>
        <v>НЕТ</v>
      </c>
      <c r="CQ328" s="220" t="str">
        <f t="shared" si="544"/>
        <v>НЕТ</v>
      </c>
      <c r="CR328" s="148"/>
    </row>
    <row r="329" spans="1:96" ht="30" outlineLevel="1" x14ac:dyDescent="0.25">
      <c r="A329" s="145" t="s">
        <v>506</v>
      </c>
      <c r="B329" s="146" t="s">
        <v>522</v>
      </c>
      <c r="C329" s="146"/>
      <c r="D329" s="146"/>
      <c r="E329" s="146"/>
      <c r="F329" s="147" t="s">
        <v>223</v>
      </c>
      <c r="G329" s="109" t="s">
        <v>953</v>
      </c>
      <c r="H329" s="111" t="s">
        <v>1693</v>
      </c>
      <c r="I329" s="111" t="s">
        <v>1693</v>
      </c>
      <c r="J329" s="111" t="s">
        <v>1693</v>
      </c>
      <c r="K329" s="111" t="s">
        <v>1693</v>
      </c>
      <c r="L329" s="111" t="s">
        <v>1693</v>
      </c>
      <c r="M329" s="147">
        <v>2</v>
      </c>
      <c r="N329" s="144">
        <f t="shared" ref="N329:N355" si="545">SUM(O329,R329,U329,X329)</f>
        <v>0</v>
      </c>
      <c r="O329" s="212" t="str">
        <f t="shared" ref="O329:O355" si="546">IF(AC329="ДА",$M329,"")</f>
        <v/>
      </c>
      <c r="P329" s="212"/>
      <c r="Q329" s="212">
        <f t="shared" ref="Q329:Q355" si="547">IF(AC329="ДА",ROUNDUP(O329/5,0),0)</f>
        <v>0</v>
      </c>
      <c r="R329" s="212" t="str">
        <f>IF(AF329="ДА",$M329,"")</f>
        <v/>
      </c>
      <c r="S329" s="212"/>
      <c r="T329" s="212">
        <f>IF(AF329="ДА",ROUNDUP(R329/5,0),0)</f>
        <v>0</v>
      </c>
      <c r="U329" s="212" t="str">
        <f>IF(AI329="ДА",$M329,"")</f>
        <v/>
      </c>
      <c r="V329" s="212"/>
      <c r="W329" s="212">
        <f>IF(AI329="ДА",ROUNDUP(U329/5,0),0)</f>
        <v>0</v>
      </c>
      <c r="X329" s="212" t="str">
        <f>IF(AL329="ДА",$M329,"")</f>
        <v/>
      </c>
      <c r="Y329" s="212"/>
      <c r="Z329" s="212">
        <f>IF(AL329="ДА",ROUNDUP(X329/5,0),0)</f>
        <v>0</v>
      </c>
      <c r="AA329" s="37" t="str">
        <f t="shared" ref="AA329:AA355" si="548">IF(OR(AC329="ДА",AF329="ДА",AI329="ДА",AL329="ДА"),"ДА","НЕТ")</f>
        <v>НЕТ</v>
      </c>
      <c r="AB329" s="37"/>
      <c r="AC329" s="37" t="str">
        <f t="shared" si="538"/>
        <v>НЕТ</v>
      </c>
      <c r="AD329" s="37" t="str">
        <f t="shared" si="539"/>
        <v>Не требуется</v>
      </c>
      <c r="AE329" s="37"/>
      <c r="AF329" s="37" t="str">
        <f t="shared" si="540"/>
        <v>НЕТ</v>
      </c>
      <c r="AG329" s="37" t="str">
        <f t="shared" si="540"/>
        <v>НЕТ</v>
      </c>
      <c r="AH329" s="37" t="str">
        <f t="shared" si="540"/>
        <v>НЕТ</v>
      </c>
      <c r="AI329" s="37" t="str">
        <f t="shared" si="540"/>
        <v>НЕТ</v>
      </c>
      <c r="AJ329" s="37" t="str">
        <f t="shared" si="540"/>
        <v>НЕТ</v>
      </c>
      <c r="AK329" s="37" t="str">
        <f t="shared" si="540"/>
        <v>НЕТ</v>
      </c>
      <c r="AL329" s="37" t="str">
        <f t="shared" si="540"/>
        <v>НЕТ</v>
      </c>
      <c r="AM329" s="123" t="str">
        <f t="shared" ref="AM329:AM355" si="549">IF(AL329="НЕТ","Не требуется",$CR329)</f>
        <v>Не требуется</v>
      </c>
      <c r="AN329" s="37"/>
      <c r="AQ329" s="211"/>
      <c r="AR329" s="233"/>
      <c r="AS329" s="212" t="str">
        <f t="shared" ref="AS329:AS355" si="550">IF(BS329="ДА",$M329,"")</f>
        <v/>
      </c>
      <c r="AT329" s="212" t="str">
        <f t="shared" ref="AT329:AT355" si="551">IF(BT329="ДА",$M329,"")</f>
        <v/>
      </c>
      <c r="AU329" s="212" t="str">
        <f t="shared" ref="AU329:AU355" si="552">IF(BU329="ДА",$M329,"")</f>
        <v/>
      </c>
      <c r="AV329" s="212" t="str">
        <f t="shared" ref="AV329:AV355" si="553">IF(BV329="ДА",$M329,"")</f>
        <v/>
      </c>
      <c r="AW329" s="212" t="str">
        <f t="shared" ref="AW329:AW355" si="554">IF(BX329="ДА",$M329,"")</f>
        <v/>
      </c>
      <c r="AX329" s="212" t="str">
        <f t="shared" ref="AX329:AX355" si="555">IF(BY329="ДА",$M329,"")</f>
        <v/>
      </c>
      <c r="AY329" s="212" t="str">
        <f t="shared" ref="AY329:AY355" si="556">IF(BZ329="ДА",$M329,"")</f>
        <v/>
      </c>
      <c r="AZ329" s="213" t="str">
        <f t="shared" ref="AZ329:AZ355" si="557">IF(CA329="ДА",$M329,"")</f>
        <v/>
      </c>
      <c r="BA329" s="237"/>
      <c r="BB329" s="212" t="str">
        <f t="shared" ref="BB329:BB355" si="558">IF(CC329="ДА",$M329,"")</f>
        <v/>
      </c>
      <c r="BC329" s="212" t="str">
        <f t="shared" ref="BC329:BC355" si="559">IF(CD329="ДА",$M329,"")</f>
        <v/>
      </c>
      <c r="BD329" s="212" t="str">
        <f t="shared" ref="BD329:BD355" si="560">IF(CE329="ДА",$M329,"")</f>
        <v/>
      </c>
      <c r="BE329" s="212" t="str">
        <f t="shared" ref="BE329:BE355" si="561">IF(CF329="ДА",$M329,"")</f>
        <v/>
      </c>
      <c r="BF329" s="213" t="str">
        <f t="shared" ref="BF329:BF355" si="562">IF(CG329="ДА",$M329,"")</f>
        <v/>
      </c>
      <c r="BG329" s="212" t="str">
        <f t="shared" ref="BG329:BG355" si="563">IF(CH329="ДА",$M329,"")</f>
        <v/>
      </c>
      <c r="BH329" s="212" t="str">
        <f t="shared" ref="BH329:BH355" si="564">IF(CI329="ДА",$M329,"")</f>
        <v/>
      </c>
      <c r="BI329" s="212" t="str">
        <f t="shared" ref="BI329:BI355" si="565">IF(CJ329="ДА",$M329,"")</f>
        <v/>
      </c>
      <c r="BJ329" s="212" t="str">
        <f t="shared" ref="BJ329:BJ355" si="566">IF(CK329="ДА",$M329,"")</f>
        <v/>
      </c>
      <c r="BK329" s="213" t="str">
        <f t="shared" ref="BK329:BK355" si="567">IF(CL329="ДА",$M329,"")</f>
        <v/>
      </c>
      <c r="BL329" s="212" t="str">
        <f t="shared" ref="BL329:BL355" si="568">IF(CM329="ДА",$M329,"")</f>
        <v/>
      </c>
      <c r="BM329" s="212" t="str">
        <f t="shared" ref="BM329:BM355" si="569">IF(CN329="ДА",$M329,"")</f>
        <v/>
      </c>
      <c r="BN329" s="212" t="str">
        <f t="shared" ref="BN329:BN355" si="570">IF(CO329="ДА",$M329,"")</f>
        <v/>
      </c>
      <c r="BO329" s="212" t="str">
        <f t="shared" ref="BO329:BO355" si="571">IF(CP329="ДА",$M329,"")</f>
        <v/>
      </c>
      <c r="BP329" s="213" t="str">
        <f t="shared" ref="BP329:BP355" si="572">IF(CQ329="ДА",$M329,"")</f>
        <v/>
      </c>
      <c r="BQ329" s="214"/>
      <c r="BR329" s="859"/>
      <c r="BS329" s="215" t="s">
        <v>255</v>
      </c>
      <c r="BT329" s="215" t="s">
        <v>255</v>
      </c>
      <c r="BU329" s="215" t="s">
        <v>255</v>
      </c>
      <c r="BV329" s="215" t="s">
        <v>255</v>
      </c>
      <c r="BW329" s="215" t="s">
        <v>255</v>
      </c>
      <c r="BX329" s="215" t="s">
        <v>255</v>
      </c>
      <c r="BY329" s="215" t="s">
        <v>255</v>
      </c>
      <c r="BZ329" s="215" t="s">
        <v>255</v>
      </c>
      <c r="CA329" s="216" t="s">
        <v>255</v>
      </c>
      <c r="CB329" s="226"/>
      <c r="CC329" s="215" t="s">
        <v>255</v>
      </c>
      <c r="CD329" s="215" t="s">
        <v>255</v>
      </c>
      <c r="CE329" s="215" t="s">
        <v>255</v>
      </c>
      <c r="CF329" s="215" t="s">
        <v>255</v>
      </c>
      <c r="CG329" s="215" t="s">
        <v>255</v>
      </c>
      <c r="CH329" s="215" t="s">
        <v>255</v>
      </c>
      <c r="CI329" s="215" t="s">
        <v>255</v>
      </c>
      <c r="CJ329" s="215" t="s">
        <v>255</v>
      </c>
      <c r="CK329" s="215" t="s">
        <v>255</v>
      </c>
      <c r="CL329" s="215" t="s">
        <v>255</v>
      </c>
      <c r="CM329" s="215" t="s">
        <v>255</v>
      </c>
      <c r="CN329" s="215" t="s">
        <v>255</v>
      </c>
      <c r="CO329" s="215" t="s">
        <v>255</v>
      </c>
      <c r="CP329" s="215" t="s">
        <v>255</v>
      </c>
      <c r="CQ329" s="215" t="s">
        <v>255</v>
      </c>
      <c r="CR329" s="149" t="s">
        <v>302</v>
      </c>
    </row>
    <row r="330" spans="1:96" ht="126" outlineLevel="1" collapsed="1" x14ac:dyDescent="0.25">
      <c r="A330" s="134" t="s">
        <v>507</v>
      </c>
      <c r="B330" s="115" t="s">
        <v>1843</v>
      </c>
      <c r="C330" s="115"/>
      <c r="D330" s="115"/>
      <c r="E330" s="496"/>
      <c r="F330" s="808" t="s">
        <v>326</v>
      </c>
      <c r="G330" s="808" t="s">
        <v>1754</v>
      </c>
      <c r="H330" s="111" t="s">
        <v>242</v>
      </c>
      <c r="I330" s="111" t="s">
        <v>243</v>
      </c>
      <c r="J330" s="111" t="s">
        <v>242</v>
      </c>
      <c r="K330" s="111" t="s">
        <v>243</v>
      </c>
      <c r="L330" s="111" t="s">
        <v>243</v>
      </c>
      <c r="M330" s="109">
        <v>1</v>
      </c>
      <c r="N330" s="144">
        <f t="shared" ref="N330" si="573">SUM(O330,R330,U330,X330)</f>
        <v>0</v>
      </c>
      <c r="O330" s="144" t="str">
        <f t="shared" ref="O330" si="574">IF(AC330="ДА",$M330,"")</f>
        <v/>
      </c>
      <c r="P330" s="144"/>
      <c r="Q330" s="144">
        <f t="shared" ref="Q330" si="575">IF(AC330="ДА",ROUNDUP(O330/5,0),0)</f>
        <v>0</v>
      </c>
      <c r="R330" s="144" t="str">
        <f t="shared" ref="R330" si="576">IF(AF330="ДА",$M330,"")</f>
        <v/>
      </c>
      <c r="S330" s="144"/>
      <c r="T330" s="144">
        <f t="shared" ref="T330" si="577">IF(AF330="ДА",ROUNDUP(R330/5,0),0)</f>
        <v>0</v>
      </c>
      <c r="U330" s="144" t="str">
        <f t="shared" ref="U330" si="578">IF(AI330="ДА",$M330,"")</f>
        <v/>
      </c>
      <c r="V330" s="144"/>
      <c r="W330" s="144">
        <f t="shared" ref="W330" si="579">IF(AI330="ДА",ROUNDUP(U330/5,0),0)</f>
        <v>0</v>
      </c>
      <c r="X330" s="144" t="str">
        <f t="shared" ref="X330" si="580">IF(AL330="ДА",$M330,"")</f>
        <v/>
      </c>
      <c r="Y330" s="144"/>
      <c r="Z330" s="144">
        <f t="shared" ref="Z330" si="581">IF(AL330="ДА",ROUNDUP(X330/5,0),0)</f>
        <v>0</v>
      </c>
      <c r="AA330" s="388" t="str">
        <f t="shared" si="548"/>
        <v>НЕТ</v>
      </c>
      <c r="AB330" s="388"/>
      <c r="AC330" s="37" t="str">
        <f t="shared" si="538"/>
        <v>НЕТ</v>
      </c>
      <c r="AD330" s="37" t="str">
        <f t="shared" si="539"/>
        <v>Не требуется</v>
      </c>
      <c r="AE330" s="37"/>
      <c r="AF330" s="37" t="str">
        <f t="shared" si="540"/>
        <v>НЕТ</v>
      </c>
      <c r="AG330" s="37" t="str">
        <f t="shared" si="540"/>
        <v>НЕТ</v>
      </c>
      <c r="AH330" s="37" t="str">
        <f t="shared" si="540"/>
        <v>НЕТ</v>
      </c>
      <c r="AI330" s="37" t="str">
        <f t="shared" si="540"/>
        <v>НЕТ</v>
      </c>
      <c r="AJ330" s="37" t="str">
        <f t="shared" si="540"/>
        <v>НЕТ</v>
      </c>
      <c r="AK330" s="37" t="str">
        <f t="shared" si="540"/>
        <v>НЕТ</v>
      </c>
      <c r="AL330" s="37" t="str">
        <f t="shared" si="540"/>
        <v>НЕТ</v>
      </c>
      <c r="AM330" s="123" t="str">
        <f t="shared" si="549"/>
        <v>Не требуется</v>
      </c>
      <c r="AN330" s="37"/>
      <c r="AQ330" s="200"/>
      <c r="AR330" s="230"/>
      <c r="AS330" s="144">
        <f t="shared" si="550"/>
        <v>1</v>
      </c>
      <c r="AT330" s="144" t="str">
        <f t="shared" si="551"/>
        <v/>
      </c>
      <c r="AU330" s="144" t="str">
        <f t="shared" si="552"/>
        <v/>
      </c>
      <c r="AV330" s="144" t="str">
        <f t="shared" si="553"/>
        <v/>
      </c>
      <c r="AW330" s="144"/>
      <c r="AX330" s="144"/>
      <c r="AY330" s="144"/>
      <c r="AZ330" s="201"/>
      <c r="BA330" s="235"/>
      <c r="BB330" s="144"/>
      <c r="BC330" s="144"/>
      <c r="BD330" s="144"/>
      <c r="BE330" s="144"/>
      <c r="BF330" s="201"/>
      <c r="BG330" s="144"/>
      <c r="BH330" s="144"/>
      <c r="BI330" s="144"/>
      <c r="BJ330" s="144"/>
      <c r="BK330" s="201"/>
      <c r="BL330" s="144"/>
      <c r="BM330" s="144"/>
      <c r="BN330" s="144"/>
      <c r="BO330" s="144"/>
      <c r="BP330" s="201"/>
      <c r="BQ330" s="209"/>
      <c r="BR330" s="859"/>
      <c r="BS330" s="215" t="s">
        <v>246</v>
      </c>
      <c r="BT330" s="215" t="s">
        <v>255</v>
      </c>
      <c r="BU330" s="215" t="s">
        <v>255</v>
      </c>
      <c r="BV330" s="215" t="s">
        <v>255</v>
      </c>
      <c r="BW330" s="215" t="s">
        <v>246</v>
      </c>
      <c r="BX330" s="215" t="s">
        <v>246</v>
      </c>
      <c r="BY330" s="215" t="s">
        <v>255</v>
      </c>
      <c r="BZ330" s="215" t="s">
        <v>255</v>
      </c>
      <c r="CA330" s="215" t="s">
        <v>255</v>
      </c>
      <c r="CB330" s="223"/>
      <c r="CC330" s="215" t="s">
        <v>255</v>
      </c>
      <c r="CD330" s="215" t="s">
        <v>255</v>
      </c>
      <c r="CE330" s="215" t="s">
        <v>255</v>
      </c>
      <c r="CF330" s="215" t="s">
        <v>255</v>
      </c>
      <c r="CG330" s="215" t="s">
        <v>255</v>
      </c>
      <c r="CH330" s="215" t="s">
        <v>255</v>
      </c>
      <c r="CI330" s="215" t="s">
        <v>255</v>
      </c>
      <c r="CJ330" s="215" t="s">
        <v>255</v>
      </c>
      <c r="CK330" s="215" t="s">
        <v>255</v>
      </c>
      <c r="CL330" s="215" t="s">
        <v>255</v>
      </c>
      <c r="CM330" s="215" t="s">
        <v>255</v>
      </c>
      <c r="CN330" s="215" t="s">
        <v>255</v>
      </c>
      <c r="CO330" s="215" t="s">
        <v>255</v>
      </c>
      <c r="CP330" s="215" t="s">
        <v>255</v>
      </c>
      <c r="CQ330" s="215" t="s">
        <v>255</v>
      </c>
      <c r="CR330" s="149" t="s">
        <v>302</v>
      </c>
    </row>
    <row r="331" spans="1:96" ht="63" outlineLevel="1" x14ac:dyDescent="0.25">
      <c r="A331" s="145" t="s">
        <v>508</v>
      </c>
      <c r="B331" s="146" t="s">
        <v>1842</v>
      </c>
      <c r="C331" s="146"/>
      <c r="D331" s="146"/>
      <c r="E331" s="146"/>
      <c r="F331" s="147" t="s">
        <v>223</v>
      </c>
      <c r="G331" s="109" t="s">
        <v>953</v>
      </c>
      <c r="H331" s="111" t="s">
        <v>243</v>
      </c>
      <c r="I331" s="111" t="s">
        <v>1693</v>
      </c>
      <c r="J331" s="111" t="s">
        <v>243</v>
      </c>
      <c r="K331" s="111" t="s">
        <v>1693</v>
      </c>
      <c r="L331" s="111" t="s">
        <v>243</v>
      </c>
      <c r="M331" s="147">
        <v>5</v>
      </c>
      <c r="N331" s="144">
        <f t="shared" si="545"/>
        <v>0</v>
      </c>
      <c r="O331" s="144" t="str">
        <f t="shared" si="546"/>
        <v/>
      </c>
      <c r="P331" s="144"/>
      <c r="Q331" s="144">
        <f t="shared" si="547"/>
        <v>0</v>
      </c>
      <c r="R331" s="144" t="str">
        <f t="shared" ref="R331:R355" si="582">IF(AF331="ДА",$M331,"")</f>
        <v/>
      </c>
      <c r="S331" s="144"/>
      <c r="T331" s="144">
        <f t="shared" ref="T331:T355" si="583">IF(AF331="ДА",ROUNDUP(R331/5,0),0)</f>
        <v>0</v>
      </c>
      <c r="U331" s="144" t="str">
        <f t="shared" ref="U331:U355" si="584">IF(AI331="ДА",$M331,"")</f>
        <v/>
      </c>
      <c r="V331" s="144"/>
      <c r="W331" s="144">
        <f t="shared" ref="W331:W355" si="585">IF(AI331="ДА",ROUNDUP(U331/5,0),0)</f>
        <v>0</v>
      </c>
      <c r="X331" s="144" t="str">
        <f t="shared" ref="X331:X355" si="586">IF(AL331="ДА",$M331,"")</f>
        <v/>
      </c>
      <c r="Y331" s="144"/>
      <c r="Z331" s="144">
        <f t="shared" ref="Z331:Z355" si="587">IF(AL331="ДА",ROUNDUP(X331/5,0),0)</f>
        <v>0</v>
      </c>
      <c r="AA331" s="37" t="str">
        <f t="shared" si="548"/>
        <v>НЕТ</v>
      </c>
      <c r="AB331" s="37"/>
      <c r="AC331" s="37" t="str">
        <f t="shared" si="538"/>
        <v>НЕТ</v>
      </c>
      <c r="AD331" s="37" t="str">
        <f t="shared" si="539"/>
        <v>Не требуется</v>
      </c>
      <c r="AE331" s="37"/>
      <c r="AF331" s="37" t="str">
        <f t="shared" si="540"/>
        <v>НЕТ</v>
      </c>
      <c r="AG331" s="37" t="str">
        <f t="shared" si="540"/>
        <v>НЕТ</v>
      </c>
      <c r="AH331" s="37" t="str">
        <f t="shared" si="540"/>
        <v>НЕТ</v>
      </c>
      <c r="AI331" s="37" t="str">
        <f t="shared" si="540"/>
        <v>НЕТ</v>
      </c>
      <c r="AJ331" s="37" t="str">
        <f t="shared" si="540"/>
        <v>НЕТ</v>
      </c>
      <c r="AK331" s="37" t="str">
        <f t="shared" si="540"/>
        <v>НЕТ</v>
      </c>
      <c r="AL331" s="37" t="str">
        <f t="shared" si="540"/>
        <v>НЕТ</v>
      </c>
      <c r="AM331" s="123" t="str">
        <f t="shared" si="549"/>
        <v>Не требуется</v>
      </c>
      <c r="AN331" s="37"/>
      <c r="AQ331" s="200"/>
      <c r="AR331" s="230"/>
      <c r="AS331" s="144" t="str">
        <f t="shared" si="550"/>
        <v/>
      </c>
      <c r="AT331" s="144" t="str">
        <f t="shared" si="551"/>
        <v/>
      </c>
      <c r="AU331" s="144" t="str">
        <f t="shared" si="552"/>
        <v/>
      </c>
      <c r="AV331" s="144" t="str">
        <f t="shared" si="553"/>
        <v/>
      </c>
      <c r="AW331" s="144" t="str">
        <f t="shared" si="554"/>
        <v/>
      </c>
      <c r="AX331" s="144">
        <f t="shared" si="555"/>
        <v>5</v>
      </c>
      <c r="AY331" s="144" t="str">
        <f t="shared" si="556"/>
        <v/>
      </c>
      <c r="AZ331" s="201" t="str">
        <f t="shared" si="557"/>
        <v/>
      </c>
      <c r="BA331" s="235"/>
      <c r="BB331" s="144" t="str">
        <f t="shared" si="558"/>
        <v/>
      </c>
      <c r="BC331" s="144" t="str">
        <f t="shared" si="559"/>
        <v/>
      </c>
      <c r="BD331" s="144" t="str">
        <f t="shared" si="560"/>
        <v/>
      </c>
      <c r="BE331" s="144" t="str">
        <f t="shared" si="561"/>
        <v/>
      </c>
      <c r="BF331" s="201" t="str">
        <f t="shared" si="562"/>
        <v/>
      </c>
      <c r="BG331" s="144" t="str">
        <f t="shared" si="563"/>
        <v/>
      </c>
      <c r="BH331" s="144" t="str">
        <f t="shared" si="564"/>
        <v/>
      </c>
      <c r="BI331" s="144" t="str">
        <f t="shared" si="565"/>
        <v/>
      </c>
      <c r="BJ331" s="144" t="str">
        <f t="shared" si="566"/>
        <v/>
      </c>
      <c r="BK331" s="201" t="str">
        <f t="shared" si="567"/>
        <v/>
      </c>
      <c r="BL331" s="144" t="str">
        <f t="shared" si="568"/>
        <v/>
      </c>
      <c r="BM331" s="144" t="str">
        <f t="shared" si="569"/>
        <v/>
      </c>
      <c r="BN331" s="144" t="str">
        <f t="shared" si="570"/>
        <v/>
      </c>
      <c r="BO331" s="144" t="str">
        <f t="shared" si="571"/>
        <v/>
      </c>
      <c r="BP331" s="201" t="str">
        <f t="shared" si="572"/>
        <v/>
      </c>
      <c r="BQ331" s="209"/>
      <c r="BR331" s="388"/>
      <c r="BS331" s="37" t="s">
        <v>255</v>
      </c>
      <c r="BT331" s="37" t="s">
        <v>255</v>
      </c>
      <c r="BU331" s="37" t="s">
        <v>255</v>
      </c>
      <c r="BV331" s="37" t="s">
        <v>255</v>
      </c>
      <c r="BW331" s="37" t="s">
        <v>255</v>
      </c>
      <c r="BX331" s="37" t="s">
        <v>255</v>
      </c>
      <c r="BY331" s="37" t="s">
        <v>246</v>
      </c>
      <c r="BZ331" s="37" t="s">
        <v>255</v>
      </c>
      <c r="CA331" s="123" t="s">
        <v>255</v>
      </c>
      <c r="CB331" s="223"/>
      <c r="CC331" s="37" t="s">
        <v>255</v>
      </c>
      <c r="CD331" s="37" t="s">
        <v>255</v>
      </c>
      <c r="CE331" s="37" t="s">
        <v>255</v>
      </c>
      <c r="CF331" s="37" t="s">
        <v>255</v>
      </c>
      <c r="CG331" s="37" t="s">
        <v>255</v>
      </c>
      <c r="CH331" s="37" t="s">
        <v>255</v>
      </c>
      <c r="CI331" s="37" t="s">
        <v>255</v>
      </c>
      <c r="CJ331" s="37" t="s">
        <v>255</v>
      </c>
      <c r="CK331" s="37" t="s">
        <v>255</v>
      </c>
      <c r="CL331" s="37" t="s">
        <v>255</v>
      </c>
      <c r="CM331" s="37" t="s">
        <v>255</v>
      </c>
      <c r="CN331" s="37" t="s">
        <v>255</v>
      </c>
      <c r="CO331" s="37" t="s">
        <v>255</v>
      </c>
      <c r="CP331" s="37" t="s">
        <v>255</v>
      </c>
      <c r="CQ331" s="37" t="s">
        <v>255</v>
      </c>
      <c r="CR331" s="149" t="s">
        <v>302</v>
      </c>
    </row>
    <row r="332" spans="1:96" ht="47.25" outlineLevel="1" x14ac:dyDescent="0.25">
      <c r="A332" s="145" t="s">
        <v>509</v>
      </c>
      <c r="B332" s="146" t="s">
        <v>1844</v>
      </c>
      <c r="C332" s="146"/>
      <c r="D332" s="146"/>
      <c r="E332" s="146"/>
      <c r="F332" s="147" t="s">
        <v>223</v>
      </c>
      <c r="G332" s="109" t="s">
        <v>953</v>
      </c>
      <c r="H332" s="111" t="s">
        <v>243</v>
      </c>
      <c r="I332" s="111" t="s">
        <v>1693</v>
      </c>
      <c r="J332" s="111" t="s">
        <v>243</v>
      </c>
      <c r="K332" s="111" t="s">
        <v>243</v>
      </c>
      <c r="L332" s="111" t="s">
        <v>243</v>
      </c>
      <c r="M332" s="147">
        <v>5</v>
      </c>
      <c r="N332" s="144">
        <f t="shared" ref="N332" si="588">SUM(O332,R332,U332,X332)</f>
        <v>0</v>
      </c>
      <c r="O332" s="144" t="str">
        <f t="shared" ref="O332" si="589">IF(AC332="ДА",$M332,"")</f>
        <v/>
      </c>
      <c r="P332" s="144"/>
      <c r="Q332" s="144">
        <f t="shared" ref="Q332" si="590">IF(AC332="ДА",ROUNDUP(O332/5,0),0)</f>
        <v>0</v>
      </c>
      <c r="R332" s="144" t="str">
        <f t="shared" si="582"/>
        <v/>
      </c>
      <c r="S332" s="144"/>
      <c r="T332" s="144">
        <f t="shared" si="583"/>
        <v>0</v>
      </c>
      <c r="U332" s="144" t="str">
        <f t="shared" si="584"/>
        <v/>
      </c>
      <c r="V332" s="144"/>
      <c r="W332" s="144">
        <f t="shared" si="585"/>
        <v>0</v>
      </c>
      <c r="X332" s="144" t="str">
        <f t="shared" si="586"/>
        <v/>
      </c>
      <c r="Y332" s="144"/>
      <c r="Z332" s="144">
        <f t="shared" si="587"/>
        <v>0</v>
      </c>
      <c r="AA332" s="37" t="str">
        <f t="shared" si="548"/>
        <v>НЕТ</v>
      </c>
      <c r="AB332" s="37"/>
      <c r="AC332" s="37" t="str">
        <f t="shared" si="538"/>
        <v>НЕТ</v>
      </c>
      <c r="AD332" s="37" t="str">
        <f t="shared" si="539"/>
        <v>Не требуется</v>
      </c>
      <c r="AE332" s="37"/>
      <c r="AF332" s="37" t="str">
        <f t="shared" si="540"/>
        <v>НЕТ</v>
      </c>
      <c r="AG332" s="37" t="str">
        <f t="shared" si="540"/>
        <v>НЕТ</v>
      </c>
      <c r="AH332" s="37" t="str">
        <f t="shared" si="540"/>
        <v>НЕТ</v>
      </c>
      <c r="AI332" s="37" t="str">
        <f t="shared" si="540"/>
        <v>НЕТ</v>
      </c>
      <c r="AJ332" s="37" t="str">
        <f t="shared" si="540"/>
        <v>НЕТ</v>
      </c>
      <c r="AK332" s="37" t="str">
        <f t="shared" si="540"/>
        <v>НЕТ</v>
      </c>
      <c r="AL332" s="37" t="str">
        <f t="shared" si="540"/>
        <v>НЕТ</v>
      </c>
      <c r="AM332" s="123" t="str">
        <f t="shared" ref="AM332" si="591">IF(AL332="НЕТ","Не требуется",$CR332)</f>
        <v>Не требуется</v>
      </c>
      <c r="AN332" s="37"/>
      <c r="AQ332" s="200"/>
      <c r="AR332" s="230"/>
      <c r="AS332" s="144" t="str">
        <f t="shared" si="550"/>
        <v/>
      </c>
      <c r="AT332" s="144" t="str">
        <f t="shared" si="551"/>
        <v/>
      </c>
      <c r="AU332" s="144" t="str">
        <f t="shared" si="552"/>
        <v/>
      </c>
      <c r="AV332" s="144" t="str">
        <f t="shared" si="553"/>
        <v/>
      </c>
      <c r="AW332" s="144" t="str">
        <f t="shared" ref="AW332" si="592">IF(BX332="ДА",$M332,"")</f>
        <v/>
      </c>
      <c r="AX332" s="144">
        <f t="shared" ref="AX332" si="593">IF(BY332="ДА",$M332,"")</f>
        <v>5</v>
      </c>
      <c r="AY332" s="144" t="str">
        <f t="shared" ref="AY332" si="594">IF(BZ332="ДА",$M332,"")</f>
        <v/>
      </c>
      <c r="AZ332" s="201" t="str">
        <f t="shared" ref="AZ332" si="595">IF(CA332="ДА",$M332,"")</f>
        <v/>
      </c>
      <c r="BA332" s="235"/>
      <c r="BB332" s="144" t="str">
        <f t="shared" ref="BB332" si="596">IF(CC332="ДА",$M332,"")</f>
        <v/>
      </c>
      <c r="BC332" s="144" t="str">
        <f t="shared" ref="BC332" si="597">IF(CD332="ДА",$M332,"")</f>
        <v/>
      </c>
      <c r="BD332" s="144" t="str">
        <f t="shared" ref="BD332" si="598">IF(CE332="ДА",$M332,"")</f>
        <v/>
      </c>
      <c r="BE332" s="144" t="str">
        <f t="shared" ref="BE332" si="599">IF(CF332="ДА",$M332,"")</f>
        <v/>
      </c>
      <c r="BF332" s="201" t="str">
        <f t="shared" ref="BF332" si="600">IF(CG332="ДА",$M332,"")</f>
        <v/>
      </c>
      <c r="BG332" s="144" t="str">
        <f t="shared" ref="BG332" si="601">IF(CH332="ДА",$M332,"")</f>
        <v/>
      </c>
      <c r="BH332" s="144" t="str">
        <f t="shared" ref="BH332" si="602">IF(CI332="ДА",$M332,"")</f>
        <v/>
      </c>
      <c r="BI332" s="144" t="str">
        <f t="shared" ref="BI332" si="603">IF(CJ332="ДА",$M332,"")</f>
        <v/>
      </c>
      <c r="BJ332" s="144" t="str">
        <f t="shared" ref="BJ332" si="604">IF(CK332="ДА",$M332,"")</f>
        <v/>
      </c>
      <c r="BK332" s="201" t="str">
        <f t="shared" ref="BK332" si="605">IF(CL332="ДА",$M332,"")</f>
        <v/>
      </c>
      <c r="BL332" s="144" t="str">
        <f t="shared" ref="BL332" si="606">IF(CM332="ДА",$M332,"")</f>
        <v/>
      </c>
      <c r="BM332" s="144" t="str">
        <f t="shared" ref="BM332" si="607">IF(CN332="ДА",$M332,"")</f>
        <v/>
      </c>
      <c r="BN332" s="144" t="str">
        <f t="shared" ref="BN332" si="608">IF(CO332="ДА",$M332,"")</f>
        <v/>
      </c>
      <c r="BO332" s="144" t="str">
        <f t="shared" ref="BO332" si="609">IF(CP332="ДА",$M332,"")</f>
        <v/>
      </c>
      <c r="BP332" s="201" t="str">
        <f t="shared" ref="BP332" si="610">IF(CQ332="ДА",$M332,"")</f>
        <v/>
      </c>
      <c r="BQ332" s="209"/>
      <c r="BR332" s="388"/>
      <c r="BS332" s="37" t="s">
        <v>255</v>
      </c>
      <c r="BT332" s="37" t="s">
        <v>255</v>
      </c>
      <c r="BU332" s="37" t="s">
        <v>255</v>
      </c>
      <c r="BV332" s="37" t="s">
        <v>255</v>
      </c>
      <c r="BW332" s="37" t="s">
        <v>255</v>
      </c>
      <c r="BX332" s="37" t="s">
        <v>255</v>
      </c>
      <c r="BY332" s="37" t="s">
        <v>246</v>
      </c>
      <c r="BZ332" s="37" t="s">
        <v>255</v>
      </c>
      <c r="CA332" s="123" t="s">
        <v>255</v>
      </c>
      <c r="CB332" s="223"/>
      <c r="CC332" s="37" t="s">
        <v>255</v>
      </c>
      <c r="CD332" s="37" t="s">
        <v>255</v>
      </c>
      <c r="CE332" s="37" t="s">
        <v>255</v>
      </c>
      <c r="CF332" s="37" t="s">
        <v>255</v>
      </c>
      <c r="CG332" s="37" t="s">
        <v>255</v>
      </c>
      <c r="CH332" s="37" t="s">
        <v>255</v>
      </c>
      <c r="CI332" s="37" t="s">
        <v>255</v>
      </c>
      <c r="CJ332" s="37" t="s">
        <v>255</v>
      </c>
      <c r="CK332" s="37" t="s">
        <v>255</v>
      </c>
      <c r="CL332" s="37" t="s">
        <v>255</v>
      </c>
      <c r="CM332" s="37" t="s">
        <v>255</v>
      </c>
      <c r="CN332" s="37" t="s">
        <v>255</v>
      </c>
      <c r="CO332" s="37" t="s">
        <v>255</v>
      </c>
      <c r="CP332" s="37" t="s">
        <v>255</v>
      </c>
      <c r="CQ332" s="37" t="s">
        <v>255</v>
      </c>
      <c r="CR332" s="149" t="s">
        <v>302</v>
      </c>
    </row>
    <row r="333" spans="1:96" ht="63" outlineLevel="1" x14ac:dyDescent="0.25">
      <c r="A333" s="145" t="s">
        <v>510</v>
      </c>
      <c r="B333" s="146" t="s">
        <v>1845</v>
      </c>
      <c r="C333" s="146"/>
      <c r="D333" s="146"/>
      <c r="E333" s="146"/>
      <c r="F333" s="147" t="s">
        <v>223</v>
      </c>
      <c r="G333" s="109" t="s">
        <v>953</v>
      </c>
      <c r="H333" s="111" t="s">
        <v>243</v>
      </c>
      <c r="I333" s="111" t="s">
        <v>243</v>
      </c>
      <c r="J333" s="111" t="s">
        <v>243</v>
      </c>
      <c r="K333" s="111" t="s">
        <v>242</v>
      </c>
      <c r="L333" s="111" t="s">
        <v>243</v>
      </c>
      <c r="M333" s="147">
        <v>2</v>
      </c>
      <c r="N333" s="144">
        <f t="shared" si="545"/>
        <v>0</v>
      </c>
      <c r="O333" s="144" t="str">
        <f t="shared" si="546"/>
        <v/>
      </c>
      <c r="P333" s="144"/>
      <c r="Q333" s="144">
        <f t="shared" si="547"/>
        <v>0</v>
      </c>
      <c r="R333" s="144" t="str">
        <f t="shared" si="582"/>
        <v/>
      </c>
      <c r="S333" s="144"/>
      <c r="T333" s="144">
        <f t="shared" si="583"/>
        <v>0</v>
      </c>
      <c r="U333" s="144" t="str">
        <f t="shared" si="584"/>
        <v/>
      </c>
      <c r="V333" s="144"/>
      <c r="W333" s="144">
        <f t="shared" si="585"/>
        <v>0</v>
      </c>
      <c r="X333" s="144" t="str">
        <f t="shared" si="586"/>
        <v/>
      </c>
      <c r="Y333" s="144"/>
      <c r="Z333" s="144">
        <f t="shared" si="587"/>
        <v>0</v>
      </c>
      <c r="AA333" s="37" t="str">
        <f t="shared" si="548"/>
        <v>НЕТ</v>
      </c>
      <c r="AB333" s="37"/>
      <c r="AC333" s="37" t="str">
        <f t="shared" si="538"/>
        <v>НЕТ</v>
      </c>
      <c r="AD333" s="37" t="str">
        <f t="shared" si="539"/>
        <v>Не требуется</v>
      </c>
      <c r="AE333" s="37"/>
      <c r="AF333" s="37" t="str">
        <f t="shared" si="540"/>
        <v>НЕТ</v>
      </c>
      <c r="AG333" s="37" t="str">
        <f t="shared" si="540"/>
        <v>НЕТ</v>
      </c>
      <c r="AH333" s="37" t="str">
        <f t="shared" si="540"/>
        <v>НЕТ</v>
      </c>
      <c r="AI333" s="37" t="str">
        <f t="shared" si="540"/>
        <v>НЕТ</v>
      </c>
      <c r="AJ333" s="37" t="str">
        <f t="shared" si="540"/>
        <v>НЕТ</v>
      </c>
      <c r="AK333" s="37" t="str">
        <f t="shared" si="540"/>
        <v>НЕТ</v>
      </c>
      <c r="AL333" s="37" t="str">
        <f t="shared" si="540"/>
        <v>НЕТ</v>
      </c>
      <c r="AM333" s="123" t="str">
        <f t="shared" si="549"/>
        <v>Не требуется</v>
      </c>
      <c r="AN333" s="37"/>
      <c r="AQ333" s="200"/>
      <c r="AR333" s="230"/>
      <c r="AS333" s="144" t="str">
        <f t="shared" si="550"/>
        <v/>
      </c>
      <c r="AT333" s="144" t="str">
        <f t="shared" si="551"/>
        <v/>
      </c>
      <c r="AU333" s="144" t="str">
        <f t="shared" si="552"/>
        <v/>
      </c>
      <c r="AV333" s="144" t="str">
        <f t="shared" si="553"/>
        <v/>
      </c>
      <c r="AW333" s="144" t="str">
        <f t="shared" si="554"/>
        <v/>
      </c>
      <c r="AX333" s="144">
        <f t="shared" si="555"/>
        <v>2</v>
      </c>
      <c r="AY333" s="144" t="str">
        <f t="shared" si="556"/>
        <v/>
      </c>
      <c r="AZ333" s="201" t="str">
        <f t="shared" si="557"/>
        <v/>
      </c>
      <c r="BA333" s="235"/>
      <c r="BB333" s="144" t="str">
        <f t="shared" si="558"/>
        <v/>
      </c>
      <c r="BC333" s="144" t="str">
        <f t="shared" si="559"/>
        <v/>
      </c>
      <c r="BD333" s="144" t="str">
        <f t="shared" si="560"/>
        <v/>
      </c>
      <c r="BE333" s="144" t="str">
        <f t="shared" si="561"/>
        <v/>
      </c>
      <c r="BF333" s="201" t="str">
        <f t="shared" si="562"/>
        <v/>
      </c>
      <c r="BG333" s="144" t="str">
        <f t="shared" si="563"/>
        <v/>
      </c>
      <c r="BH333" s="144" t="str">
        <f t="shared" si="564"/>
        <v/>
      </c>
      <c r="BI333" s="144" t="str">
        <f t="shared" si="565"/>
        <v/>
      </c>
      <c r="BJ333" s="144" t="str">
        <f t="shared" si="566"/>
        <v/>
      </c>
      <c r="BK333" s="201" t="str">
        <f t="shared" si="567"/>
        <v/>
      </c>
      <c r="BL333" s="144" t="str">
        <f t="shared" si="568"/>
        <v/>
      </c>
      <c r="BM333" s="144" t="str">
        <f t="shared" si="569"/>
        <v/>
      </c>
      <c r="BN333" s="144" t="str">
        <f t="shared" si="570"/>
        <v/>
      </c>
      <c r="BO333" s="144" t="str">
        <f t="shared" si="571"/>
        <v/>
      </c>
      <c r="BP333" s="201" t="str">
        <f t="shared" si="572"/>
        <v/>
      </c>
      <c r="BQ333" s="209"/>
      <c r="BR333" s="388"/>
      <c r="BS333" s="37" t="s">
        <v>255</v>
      </c>
      <c r="BT333" s="37" t="s">
        <v>255</v>
      </c>
      <c r="BU333" s="37" t="s">
        <v>255</v>
      </c>
      <c r="BV333" s="37" t="s">
        <v>255</v>
      </c>
      <c r="BW333" s="37" t="s">
        <v>255</v>
      </c>
      <c r="BX333" s="37" t="s">
        <v>255</v>
      </c>
      <c r="BY333" s="37" t="s">
        <v>246</v>
      </c>
      <c r="BZ333" s="37" t="s">
        <v>255</v>
      </c>
      <c r="CA333" s="123" t="s">
        <v>255</v>
      </c>
      <c r="CB333" s="223"/>
      <c r="CC333" s="37" t="s">
        <v>255</v>
      </c>
      <c r="CD333" s="37" t="s">
        <v>255</v>
      </c>
      <c r="CE333" s="37" t="s">
        <v>255</v>
      </c>
      <c r="CF333" s="37" t="s">
        <v>255</v>
      </c>
      <c r="CG333" s="37" t="s">
        <v>255</v>
      </c>
      <c r="CH333" s="37" t="s">
        <v>255</v>
      </c>
      <c r="CI333" s="37" t="s">
        <v>255</v>
      </c>
      <c r="CJ333" s="37" t="s">
        <v>255</v>
      </c>
      <c r="CK333" s="37" t="s">
        <v>255</v>
      </c>
      <c r="CL333" s="37" t="s">
        <v>255</v>
      </c>
      <c r="CM333" s="37" t="s">
        <v>255</v>
      </c>
      <c r="CN333" s="37" t="s">
        <v>255</v>
      </c>
      <c r="CO333" s="37" t="s">
        <v>255</v>
      </c>
      <c r="CP333" s="37" t="s">
        <v>255</v>
      </c>
      <c r="CQ333" s="37" t="s">
        <v>255</v>
      </c>
      <c r="CR333" s="149" t="s">
        <v>302</v>
      </c>
    </row>
    <row r="334" spans="1:96" ht="94.5" outlineLevel="1" x14ac:dyDescent="0.25">
      <c r="A334" s="145" t="s">
        <v>511</v>
      </c>
      <c r="B334" s="146" t="s">
        <v>1741</v>
      </c>
      <c r="C334" s="146"/>
      <c r="D334" s="146"/>
      <c r="E334" s="146"/>
      <c r="F334" s="147" t="s">
        <v>223</v>
      </c>
      <c r="G334" s="120" t="s">
        <v>579</v>
      </c>
      <c r="H334" s="111" t="s">
        <v>1693</v>
      </c>
      <c r="I334" s="111" t="s">
        <v>1693</v>
      </c>
      <c r="J334" s="111" t="s">
        <v>1693</v>
      </c>
      <c r="K334" s="111" t="s">
        <v>1693</v>
      </c>
      <c r="L334" s="111" t="s">
        <v>1693</v>
      </c>
      <c r="M334" s="147">
        <v>10</v>
      </c>
      <c r="N334" s="144">
        <f t="shared" ref="N334" si="611">SUM(O334,R334,U334,X334)</f>
        <v>0</v>
      </c>
      <c r="O334" s="144" t="str">
        <f t="shared" ref="O334" si="612">IF(AC334="ДА",$M334,"")</f>
        <v/>
      </c>
      <c r="P334" s="144"/>
      <c r="Q334" s="144">
        <f t="shared" ref="Q334" si="613">IF(AC334="ДА",ROUNDUP(O334/5,0),0)</f>
        <v>0</v>
      </c>
      <c r="R334" s="144" t="str">
        <f t="shared" si="582"/>
        <v/>
      </c>
      <c r="S334" s="144"/>
      <c r="T334" s="144">
        <f t="shared" si="583"/>
        <v>0</v>
      </c>
      <c r="U334" s="144" t="str">
        <f t="shared" si="584"/>
        <v/>
      </c>
      <c r="V334" s="144"/>
      <c r="W334" s="144">
        <f t="shared" si="585"/>
        <v>0</v>
      </c>
      <c r="X334" s="144" t="str">
        <f t="shared" si="586"/>
        <v/>
      </c>
      <c r="Y334" s="144"/>
      <c r="Z334" s="144">
        <f t="shared" si="587"/>
        <v>0</v>
      </c>
      <c r="AA334" s="37" t="str">
        <f t="shared" si="548"/>
        <v>НЕТ</v>
      </c>
      <c r="AB334" s="37"/>
      <c r="AC334" s="37" t="str">
        <f t="shared" si="538"/>
        <v>НЕТ</v>
      </c>
      <c r="AD334" s="37" t="str">
        <f t="shared" si="539"/>
        <v>Не требуется</v>
      </c>
      <c r="AE334" s="37"/>
      <c r="AF334" s="37" t="str">
        <f t="shared" si="540"/>
        <v>НЕТ</v>
      </c>
      <c r="AG334" s="37" t="str">
        <f t="shared" si="540"/>
        <v>НЕТ</v>
      </c>
      <c r="AH334" s="37" t="str">
        <f t="shared" si="540"/>
        <v>НЕТ</v>
      </c>
      <c r="AI334" s="37" t="str">
        <f t="shared" si="540"/>
        <v>НЕТ</v>
      </c>
      <c r="AJ334" s="37" t="str">
        <f t="shared" si="540"/>
        <v>НЕТ</v>
      </c>
      <c r="AK334" s="37" t="str">
        <f t="shared" si="540"/>
        <v>НЕТ</v>
      </c>
      <c r="AL334" s="37" t="str">
        <f t="shared" si="540"/>
        <v>НЕТ</v>
      </c>
      <c r="AM334" s="123" t="str">
        <f t="shared" ref="AM334" si="614">IF(AL334="НЕТ","Не требуется",$CR334)</f>
        <v>Не требуется</v>
      </c>
      <c r="AN334" s="37"/>
      <c r="AQ334" s="200"/>
      <c r="AR334" s="230"/>
      <c r="AS334" s="144" t="str">
        <f t="shared" si="550"/>
        <v/>
      </c>
      <c r="AT334" s="144" t="str">
        <f t="shared" si="551"/>
        <v/>
      </c>
      <c r="AU334" s="144" t="str">
        <f t="shared" si="552"/>
        <v/>
      </c>
      <c r="AV334" s="144" t="str">
        <f t="shared" si="553"/>
        <v/>
      </c>
      <c r="AW334" s="144" t="str">
        <f t="shared" ref="AW334" si="615">IF(BX334="ДА",$M334,"")</f>
        <v/>
      </c>
      <c r="AX334" s="144" t="str">
        <f t="shared" ref="AX334" si="616">IF(BY334="ДА",$M334,"")</f>
        <v/>
      </c>
      <c r="AY334" s="144" t="str">
        <f t="shared" ref="AY334" si="617">IF(BZ334="ДА",$M334,"")</f>
        <v/>
      </c>
      <c r="AZ334" s="201" t="str">
        <f t="shared" ref="AZ334" si="618">IF(CA334="ДА",$M334,"")</f>
        <v/>
      </c>
      <c r="BA334" s="235"/>
      <c r="BB334" s="144" t="str">
        <f t="shared" ref="BB334" si="619">IF(CC334="ДА",$M334,"")</f>
        <v/>
      </c>
      <c r="BC334" s="144" t="str">
        <f t="shared" ref="BC334" si="620">IF(CD334="ДА",$M334,"")</f>
        <v/>
      </c>
      <c r="BD334" s="144" t="str">
        <f t="shared" ref="BD334" si="621">IF(CE334="ДА",$M334,"")</f>
        <v/>
      </c>
      <c r="BE334" s="144" t="str">
        <f t="shared" ref="BE334" si="622">IF(CF334="ДА",$M334,"")</f>
        <v/>
      </c>
      <c r="BF334" s="201" t="str">
        <f t="shared" ref="BF334" si="623">IF(CG334="ДА",$M334,"")</f>
        <v/>
      </c>
      <c r="BG334" s="144" t="str">
        <f t="shared" ref="BG334" si="624">IF(CH334="ДА",$M334,"")</f>
        <v/>
      </c>
      <c r="BH334" s="144" t="str">
        <f t="shared" ref="BH334" si="625">IF(CI334="ДА",$M334,"")</f>
        <v/>
      </c>
      <c r="BI334" s="144" t="str">
        <f t="shared" ref="BI334" si="626">IF(CJ334="ДА",$M334,"")</f>
        <v/>
      </c>
      <c r="BJ334" s="144" t="str">
        <f t="shared" ref="BJ334" si="627">IF(CK334="ДА",$M334,"")</f>
        <v/>
      </c>
      <c r="BK334" s="201" t="str">
        <f t="shared" ref="BK334" si="628">IF(CL334="ДА",$M334,"")</f>
        <v/>
      </c>
      <c r="BL334" s="144" t="str">
        <f t="shared" ref="BL334" si="629">IF(CM334="ДА",$M334,"")</f>
        <v/>
      </c>
      <c r="BM334" s="144" t="str">
        <f t="shared" ref="BM334" si="630">IF(CN334="ДА",$M334,"")</f>
        <v/>
      </c>
      <c r="BN334" s="144" t="str">
        <f t="shared" ref="BN334" si="631">IF(CO334="ДА",$M334,"")</f>
        <v/>
      </c>
      <c r="BO334" s="144" t="str">
        <f t="shared" ref="BO334" si="632">IF(CP334="ДА",$M334,"")</f>
        <v/>
      </c>
      <c r="BP334" s="201" t="str">
        <f t="shared" ref="BP334" si="633">IF(CQ334="ДА",$M334,"")</f>
        <v/>
      </c>
      <c r="BQ334" s="209"/>
      <c r="BR334" s="388"/>
      <c r="BS334" s="37" t="s">
        <v>255</v>
      </c>
      <c r="BT334" s="37" t="s">
        <v>255</v>
      </c>
      <c r="BU334" s="37" t="s">
        <v>255</v>
      </c>
      <c r="BV334" s="37" t="s">
        <v>255</v>
      </c>
      <c r="BW334" s="37" t="s">
        <v>255</v>
      </c>
      <c r="BX334" s="37" t="s">
        <v>255</v>
      </c>
      <c r="BY334" s="37" t="s">
        <v>255</v>
      </c>
      <c r="BZ334" s="37" t="s">
        <v>255</v>
      </c>
      <c r="CA334" s="123" t="s">
        <v>255</v>
      </c>
      <c r="CB334" s="223"/>
      <c r="CC334" s="37" t="s">
        <v>255</v>
      </c>
      <c r="CD334" s="37" t="s">
        <v>255</v>
      </c>
      <c r="CE334" s="37" t="s">
        <v>255</v>
      </c>
      <c r="CF334" s="37" t="s">
        <v>255</v>
      </c>
      <c r="CG334" s="37" t="s">
        <v>255</v>
      </c>
      <c r="CH334" s="37" t="s">
        <v>255</v>
      </c>
      <c r="CI334" s="37" t="s">
        <v>255</v>
      </c>
      <c r="CJ334" s="37" t="s">
        <v>255</v>
      </c>
      <c r="CK334" s="37" t="s">
        <v>255</v>
      </c>
      <c r="CL334" s="37" t="s">
        <v>255</v>
      </c>
      <c r="CM334" s="37" t="s">
        <v>255</v>
      </c>
      <c r="CN334" s="37" t="s">
        <v>255</v>
      </c>
      <c r="CO334" s="37" t="s">
        <v>255</v>
      </c>
      <c r="CP334" s="37" t="s">
        <v>255</v>
      </c>
      <c r="CQ334" s="37" t="s">
        <v>255</v>
      </c>
      <c r="CR334" s="149" t="s">
        <v>302</v>
      </c>
    </row>
    <row r="335" spans="1:96" ht="63" outlineLevel="1" x14ac:dyDescent="0.25">
      <c r="A335" s="145" t="s">
        <v>512</v>
      </c>
      <c r="B335" s="146" t="s">
        <v>1742</v>
      </c>
      <c r="C335" s="146"/>
      <c r="D335" s="146"/>
      <c r="E335" s="146"/>
      <c r="F335" s="147" t="s">
        <v>223</v>
      </c>
      <c r="G335" s="120" t="s">
        <v>579</v>
      </c>
      <c r="H335" s="111" t="s">
        <v>243</v>
      </c>
      <c r="I335" s="111" t="s">
        <v>1693</v>
      </c>
      <c r="J335" s="111" t="s">
        <v>243</v>
      </c>
      <c r="K335" s="111" t="s">
        <v>1693</v>
      </c>
      <c r="L335" s="111" t="s">
        <v>243</v>
      </c>
      <c r="M335" s="147">
        <v>8</v>
      </c>
      <c r="N335" s="144">
        <f t="shared" si="545"/>
        <v>0</v>
      </c>
      <c r="O335" s="144" t="str">
        <f t="shared" si="546"/>
        <v/>
      </c>
      <c r="P335" s="144"/>
      <c r="Q335" s="144">
        <f t="shared" si="547"/>
        <v>0</v>
      </c>
      <c r="R335" s="144" t="str">
        <f t="shared" si="582"/>
        <v/>
      </c>
      <c r="S335" s="144"/>
      <c r="T335" s="144">
        <f t="shared" si="583"/>
        <v>0</v>
      </c>
      <c r="U335" s="144" t="str">
        <f t="shared" si="584"/>
        <v/>
      </c>
      <c r="V335" s="144"/>
      <c r="W335" s="144">
        <f t="shared" si="585"/>
        <v>0</v>
      </c>
      <c r="X335" s="144" t="str">
        <f t="shared" si="586"/>
        <v/>
      </c>
      <c r="Y335" s="144"/>
      <c r="Z335" s="144">
        <f t="shared" si="587"/>
        <v>0</v>
      </c>
      <c r="AA335" s="37" t="str">
        <f t="shared" si="548"/>
        <v>НЕТ</v>
      </c>
      <c r="AB335" s="37"/>
      <c r="AC335" s="37" t="str">
        <f t="shared" si="538"/>
        <v>НЕТ</v>
      </c>
      <c r="AD335" s="37" t="str">
        <f t="shared" si="539"/>
        <v>Не требуется</v>
      </c>
      <c r="AE335" s="37"/>
      <c r="AF335" s="37" t="str">
        <f t="shared" si="540"/>
        <v>НЕТ</v>
      </c>
      <c r="AG335" s="37" t="str">
        <f t="shared" si="540"/>
        <v>НЕТ</v>
      </c>
      <c r="AH335" s="37" t="str">
        <f t="shared" si="540"/>
        <v>НЕТ</v>
      </c>
      <c r="AI335" s="37" t="str">
        <f t="shared" si="540"/>
        <v>НЕТ</v>
      </c>
      <c r="AJ335" s="37" t="str">
        <f t="shared" si="540"/>
        <v>НЕТ</v>
      </c>
      <c r="AK335" s="37" t="str">
        <f t="shared" si="540"/>
        <v>НЕТ</v>
      </c>
      <c r="AL335" s="37" t="str">
        <f t="shared" si="540"/>
        <v>НЕТ</v>
      </c>
      <c r="AM335" s="123" t="str">
        <f t="shared" si="549"/>
        <v>Не требуется</v>
      </c>
      <c r="AN335" s="37"/>
      <c r="AQ335" s="200"/>
      <c r="AR335" s="230"/>
      <c r="AS335" s="144" t="str">
        <f t="shared" si="550"/>
        <v/>
      </c>
      <c r="AT335" s="144" t="str">
        <f t="shared" si="551"/>
        <v/>
      </c>
      <c r="AU335" s="144" t="str">
        <f t="shared" si="552"/>
        <v/>
      </c>
      <c r="AV335" s="144" t="str">
        <f t="shared" si="553"/>
        <v/>
      </c>
      <c r="AW335" s="144" t="str">
        <f t="shared" si="554"/>
        <v/>
      </c>
      <c r="AX335" s="144" t="str">
        <f t="shared" si="555"/>
        <v/>
      </c>
      <c r="AY335" s="144" t="str">
        <f t="shared" si="556"/>
        <v/>
      </c>
      <c r="AZ335" s="201" t="str">
        <f t="shared" si="557"/>
        <v/>
      </c>
      <c r="BA335" s="235"/>
      <c r="BB335" s="144" t="str">
        <f t="shared" si="558"/>
        <v/>
      </c>
      <c r="BC335" s="144" t="str">
        <f t="shared" si="559"/>
        <v/>
      </c>
      <c r="BD335" s="144" t="str">
        <f t="shared" si="560"/>
        <v/>
      </c>
      <c r="BE335" s="144" t="str">
        <f t="shared" si="561"/>
        <v/>
      </c>
      <c r="BF335" s="201" t="str">
        <f t="shared" si="562"/>
        <v/>
      </c>
      <c r="BG335" s="144" t="str">
        <f t="shared" si="563"/>
        <v/>
      </c>
      <c r="BH335" s="144" t="str">
        <f t="shared" si="564"/>
        <v/>
      </c>
      <c r="BI335" s="144" t="str">
        <f t="shared" si="565"/>
        <v/>
      </c>
      <c r="BJ335" s="144" t="str">
        <f t="shared" si="566"/>
        <v/>
      </c>
      <c r="BK335" s="201" t="str">
        <f t="shared" si="567"/>
        <v/>
      </c>
      <c r="BL335" s="144" t="str">
        <f t="shared" si="568"/>
        <v/>
      </c>
      <c r="BM335" s="144" t="str">
        <f t="shared" si="569"/>
        <v/>
      </c>
      <c r="BN335" s="144" t="str">
        <f t="shared" si="570"/>
        <v/>
      </c>
      <c r="BO335" s="144" t="str">
        <f t="shared" si="571"/>
        <v/>
      </c>
      <c r="BP335" s="201" t="str">
        <f t="shared" si="572"/>
        <v/>
      </c>
      <c r="BQ335" s="209"/>
      <c r="BR335" s="388"/>
      <c r="BS335" s="37" t="s">
        <v>255</v>
      </c>
      <c r="BT335" s="37" t="s">
        <v>255</v>
      </c>
      <c r="BU335" s="37" t="s">
        <v>255</v>
      </c>
      <c r="BV335" s="37" t="s">
        <v>255</v>
      </c>
      <c r="BW335" s="37" t="s">
        <v>255</v>
      </c>
      <c r="BX335" s="37" t="s">
        <v>255</v>
      </c>
      <c r="BY335" s="37" t="s">
        <v>255</v>
      </c>
      <c r="BZ335" s="37" t="s">
        <v>255</v>
      </c>
      <c r="CA335" s="123" t="s">
        <v>255</v>
      </c>
      <c r="CB335" s="223"/>
      <c r="CC335" s="37" t="s">
        <v>255</v>
      </c>
      <c r="CD335" s="37" t="s">
        <v>255</v>
      </c>
      <c r="CE335" s="37" t="s">
        <v>255</v>
      </c>
      <c r="CF335" s="37" t="s">
        <v>255</v>
      </c>
      <c r="CG335" s="37" t="s">
        <v>255</v>
      </c>
      <c r="CH335" s="37" t="s">
        <v>255</v>
      </c>
      <c r="CI335" s="37" t="s">
        <v>255</v>
      </c>
      <c r="CJ335" s="37" t="s">
        <v>255</v>
      </c>
      <c r="CK335" s="37" t="s">
        <v>255</v>
      </c>
      <c r="CL335" s="37" t="s">
        <v>255</v>
      </c>
      <c r="CM335" s="37" t="s">
        <v>255</v>
      </c>
      <c r="CN335" s="37" t="s">
        <v>255</v>
      </c>
      <c r="CO335" s="37" t="s">
        <v>255</v>
      </c>
      <c r="CP335" s="37" t="s">
        <v>255</v>
      </c>
      <c r="CQ335" s="37" t="s">
        <v>255</v>
      </c>
      <c r="CR335" s="149" t="s">
        <v>302</v>
      </c>
    </row>
    <row r="336" spans="1:96" ht="60" outlineLevel="1" x14ac:dyDescent="0.25">
      <c r="A336" s="159" t="s">
        <v>513</v>
      </c>
      <c r="B336" s="121" t="s">
        <v>1709</v>
      </c>
      <c r="C336" s="121"/>
      <c r="D336" s="121"/>
      <c r="E336" s="121"/>
      <c r="F336" s="34" t="s">
        <v>225</v>
      </c>
      <c r="G336" s="120" t="s">
        <v>579</v>
      </c>
      <c r="H336" s="111" t="s">
        <v>1693</v>
      </c>
      <c r="I336" s="111" t="s">
        <v>1693</v>
      </c>
      <c r="J336" s="111" t="s">
        <v>1693</v>
      </c>
      <c r="K336" s="111" t="s">
        <v>1693</v>
      </c>
      <c r="L336" s="111" t="s">
        <v>1693</v>
      </c>
      <c r="M336" s="34">
        <v>10</v>
      </c>
      <c r="N336" s="144">
        <f t="shared" si="545"/>
        <v>0</v>
      </c>
      <c r="O336" s="144" t="str">
        <f t="shared" ref="O336" si="634">IF(AC336="ДА",$M336,"")</f>
        <v/>
      </c>
      <c r="P336" s="144"/>
      <c r="Q336" s="144">
        <f t="shared" si="547"/>
        <v>0</v>
      </c>
      <c r="R336" s="144" t="str">
        <f t="shared" si="582"/>
        <v/>
      </c>
      <c r="S336" s="144"/>
      <c r="T336" s="144">
        <f t="shared" si="583"/>
        <v>0</v>
      </c>
      <c r="U336" s="144" t="str">
        <f t="shared" si="584"/>
        <v/>
      </c>
      <c r="V336" s="144"/>
      <c r="W336" s="144">
        <f t="shared" si="585"/>
        <v>0</v>
      </c>
      <c r="X336" s="144" t="str">
        <f t="shared" si="586"/>
        <v/>
      </c>
      <c r="Y336" s="144"/>
      <c r="Z336" s="144">
        <f t="shared" si="587"/>
        <v>0</v>
      </c>
      <c r="AA336" s="37" t="str">
        <f t="shared" si="548"/>
        <v>НЕТ</v>
      </c>
      <c r="AB336" s="37"/>
      <c r="AC336" s="37" t="str">
        <f t="shared" si="538"/>
        <v>НЕТ</v>
      </c>
      <c r="AD336" s="37" t="str">
        <f t="shared" si="539"/>
        <v>Не требуется</v>
      </c>
      <c r="AE336" s="37"/>
      <c r="AF336" s="37" t="str">
        <f t="shared" si="540"/>
        <v>НЕТ</v>
      </c>
      <c r="AG336" s="37" t="str">
        <f t="shared" si="540"/>
        <v>НЕТ</v>
      </c>
      <c r="AH336" s="37" t="str">
        <f t="shared" si="540"/>
        <v>НЕТ</v>
      </c>
      <c r="AI336" s="37" t="str">
        <f t="shared" si="540"/>
        <v>НЕТ</v>
      </c>
      <c r="AJ336" s="37" t="str">
        <f t="shared" si="540"/>
        <v>НЕТ</v>
      </c>
      <c r="AK336" s="37" t="str">
        <f t="shared" si="540"/>
        <v>НЕТ</v>
      </c>
      <c r="AL336" s="37" t="str">
        <f t="shared" si="540"/>
        <v>НЕТ</v>
      </c>
      <c r="AM336" s="123" t="str">
        <f t="shared" si="549"/>
        <v>Не требуется</v>
      </c>
      <c r="AN336" s="37"/>
      <c r="AQ336" s="200"/>
      <c r="AR336" s="230"/>
      <c r="AS336" s="144" t="str">
        <f t="shared" si="550"/>
        <v/>
      </c>
      <c r="AT336" s="144" t="str">
        <f t="shared" si="551"/>
        <v/>
      </c>
      <c r="AU336" s="144" t="str">
        <f t="shared" si="552"/>
        <v/>
      </c>
      <c r="AV336" s="144" t="str">
        <f t="shared" si="553"/>
        <v/>
      </c>
      <c r="AW336" s="144" t="str">
        <f t="shared" si="554"/>
        <v/>
      </c>
      <c r="AX336" s="144" t="str">
        <f t="shared" si="555"/>
        <v/>
      </c>
      <c r="AY336" s="144" t="str">
        <f t="shared" si="556"/>
        <v/>
      </c>
      <c r="AZ336" s="201" t="str">
        <f t="shared" si="557"/>
        <v/>
      </c>
      <c r="BA336" s="235"/>
      <c r="BB336" s="144" t="str">
        <f t="shared" si="558"/>
        <v/>
      </c>
      <c r="BC336" s="144" t="str">
        <f t="shared" si="559"/>
        <v/>
      </c>
      <c r="BD336" s="144" t="str">
        <f t="shared" si="560"/>
        <v/>
      </c>
      <c r="BE336" s="144" t="str">
        <f t="shared" si="561"/>
        <v/>
      </c>
      <c r="BF336" s="201" t="str">
        <f t="shared" si="562"/>
        <v/>
      </c>
      <c r="BG336" s="144" t="str">
        <f t="shared" si="563"/>
        <v/>
      </c>
      <c r="BH336" s="144" t="str">
        <f t="shared" si="564"/>
        <v/>
      </c>
      <c r="BI336" s="144" t="str">
        <f t="shared" si="565"/>
        <v/>
      </c>
      <c r="BJ336" s="144" t="str">
        <f t="shared" si="566"/>
        <v/>
      </c>
      <c r="BK336" s="201" t="str">
        <f t="shared" si="567"/>
        <v/>
      </c>
      <c r="BL336" s="144" t="str">
        <f t="shared" si="568"/>
        <v/>
      </c>
      <c r="BM336" s="144" t="str">
        <f t="shared" si="569"/>
        <v/>
      </c>
      <c r="BN336" s="144" t="str">
        <f t="shared" si="570"/>
        <v/>
      </c>
      <c r="BO336" s="144" t="str">
        <f t="shared" si="571"/>
        <v/>
      </c>
      <c r="BP336" s="201" t="str">
        <f t="shared" si="572"/>
        <v/>
      </c>
      <c r="BQ336" s="209"/>
      <c r="BR336" s="388"/>
      <c r="BS336" s="37" t="s">
        <v>255</v>
      </c>
      <c r="BT336" s="37" t="s">
        <v>255</v>
      </c>
      <c r="BU336" s="37" t="s">
        <v>255</v>
      </c>
      <c r="BV336" s="37" t="s">
        <v>255</v>
      </c>
      <c r="BW336" s="37" t="s">
        <v>255</v>
      </c>
      <c r="BX336" s="37" t="s">
        <v>255</v>
      </c>
      <c r="BY336" s="37" t="s">
        <v>255</v>
      </c>
      <c r="BZ336" s="37" t="s">
        <v>255</v>
      </c>
      <c r="CA336" s="123" t="s">
        <v>255</v>
      </c>
      <c r="CB336" s="223"/>
      <c r="CC336" s="37" t="s">
        <v>255</v>
      </c>
      <c r="CD336" s="37" t="s">
        <v>255</v>
      </c>
      <c r="CE336" s="37" t="s">
        <v>255</v>
      </c>
      <c r="CF336" s="37" t="s">
        <v>255</v>
      </c>
      <c r="CG336" s="37" t="s">
        <v>255</v>
      </c>
      <c r="CH336" s="37" t="s">
        <v>255</v>
      </c>
      <c r="CI336" s="37" t="s">
        <v>255</v>
      </c>
      <c r="CJ336" s="37" t="s">
        <v>255</v>
      </c>
      <c r="CK336" s="37" t="s">
        <v>255</v>
      </c>
      <c r="CL336" s="37" t="s">
        <v>255</v>
      </c>
      <c r="CM336" s="37" t="s">
        <v>255</v>
      </c>
      <c r="CN336" s="37" t="s">
        <v>255</v>
      </c>
      <c r="CO336" s="37" t="s">
        <v>255</v>
      </c>
      <c r="CP336" s="37" t="s">
        <v>255</v>
      </c>
      <c r="CQ336" s="37" t="s">
        <v>255</v>
      </c>
      <c r="CR336" s="149" t="s">
        <v>302</v>
      </c>
    </row>
    <row r="337" spans="1:96" ht="30" outlineLevel="1" x14ac:dyDescent="0.25">
      <c r="A337" s="112" t="s">
        <v>514</v>
      </c>
      <c r="B337" s="121" t="s">
        <v>523</v>
      </c>
      <c r="C337" s="121"/>
      <c r="D337" s="121"/>
      <c r="E337" s="121"/>
      <c r="F337" s="34" t="s">
        <v>225</v>
      </c>
      <c r="G337" s="120" t="s">
        <v>579</v>
      </c>
      <c r="H337" s="111" t="s">
        <v>1693</v>
      </c>
      <c r="I337" s="111" t="s">
        <v>1693</v>
      </c>
      <c r="J337" s="111" t="s">
        <v>1693</v>
      </c>
      <c r="K337" s="111" t="s">
        <v>1693</v>
      </c>
      <c r="L337" s="111" t="s">
        <v>1693</v>
      </c>
      <c r="M337" s="34">
        <v>10</v>
      </c>
      <c r="N337" s="144">
        <f t="shared" si="545"/>
        <v>0</v>
      </c>
      <c r="O337" s="144" t="str">
        <f t="shared" si="546"/>
        <v/>
      </c>
      <c r="P337" s="144"/>
      <c r="Q337" s="144">
        <f t="shared" si="547"/>
        <v>0</v>
      </c>
      <c r="R337" s="144" t="str">
        <f t="shared" si="582"/>
        <v/>
      </c>
      <c r="S337" s="144"/>
      <c r="T337" s="144">
        <f t="shared" si="583"/>
        <v>0</v>
      </c>
      <c r="U337" s="144" t="str">
        <f t="shared" si="584"/>
        <v/>
      </c>
      <c r="V337" s="144"/>
      <c r="W337" s="144">
        <f t="shared" si="585"/>
        <v>0</v>
      </c>
      <c r="X337" s="144" t="str">
        <f t="shared" si="586"/>
        <v/>
      </c>
      <c r="Y337" s="144"/>
      <c r="Z337" s="144">
        <f t="shared" si="587"/>
        <v>0</v>
      </c>
      <c r="AA337" s="37" t="str">
        <f t="shared" si="548"/>
        <v>НЕТ</v>
      </c>
      <c r="AB337" s="37"/>
      <c r="AC337" s="37" t="str">
        <f t="shared" si="538"/>
        <v>НЕТ</v>
      </c>
      <c r="AD337" s="37" t="str">
        <f t="shared" si="539"/>
        <v>Не требуется</v>
      </c>
      <c r="AE337" s="37"/>
      <c r="AF337" s="37" t="str">
        <f t="shared" si="540"/>
        <v>НЕТ</v>
      </c>
      <c r="AG337" s="37" t="str">
        <f t="shared" si="540"/>
        <v>НЕТ</v>
      </c>
      <c r="AH337" s="37" t="str">
        <f t="shared" si="540"/>
        <v>НЕТ</v>
      </c>
      <c r="AI337" s="37" t="str">
        <f t="shared" si="540"/>
        <v>НЕТ</v>
      </c>
      <c r="AJ337" s="37" t="str">
        <f t="shared" si="540"/>
        <v>НЕТ</v>
      </c>
      <c r="AK337" s="37" t="str">
        <f t="shared" si="540"/>
        <v>НЕТ</v>
      </c>
      <c r="AL337" s="37" t="str">
        <f t="shared" si="540"/>
        <v>НЕТ</v>
      </c>
      <c r="AM337" s="123" t="str">
        <f t="shared" si="549"/>
        <v>Не требуется</v>
      </c>
      <c r="AN337" s="37"/>
      <c r="AQ337" s="200"/>
      <c r="AR337" s="230"/>
      <c r="AS337" s="144" t="str">
        <f t="shared" si="550"/>
        <v/>
      </c>
      <c r="AT337" s="144" t="str">
        <f t="shared" si="551"/>
        <v/>
      </c>
      <c r="AU337" s="144" t="str">
        <f t="shared" si="552"/>
        <v/>
      </c>
      <c r="AV337" s="144" t="str">
        <f t="shared" si="553"/>
        <v/>
      </c>
      <c r="AW337" s="144" t="str">
        <f t="shared" si="554"/>
        <v/>
      </c>
      <c r="AX337" s="144" t="str">
        <f t="shared" si="555"/>
        <v/>
      </c>
      <c r="AY337" s="144" t="str">
        <f t="shared" si="556"/>
        <v/>
      </c>
      <c r="AZ337" s="201" t="str">
        <f t="shared" si="557"/>
        <v/>
      </c>
      <c r="BA337" s="235"/>
      <c r="BB337" s="144" t="str">
        <f t="shared" si="558"/>
        <v/>
      </c>
      <c r="BC337" s="144" t="str">
        <f t="shared" si="559"/>
        <v/>
      </c>
      <c r="BD337" s="144" t="str">
        <f t="shared" si="560"/>
        <v/>
      </c>
      <c r="BE337" s="144" t="str">
        <f t="shared" si="561"/>
        <v/>
      </c>
      <c r="BF337" s="201" t="str">
        <f t="shared" si="562"/>
        <v/>
      </c>
      <c r="BG337" s="144" t="str">
        <f t="shared" si="563"/>
        <v/>
      </c>
      <c r="BH337" s="144" t="str">
        <f t="shared" si="564"/>
        <v/>
      </c>
      <c r="BI337" s="144" t="str">
        <f t="shared" si="565"/>
        <v/>
      </c>
      <c r="BJ337" s="144" t="str">
        <f t="shared" si="566"/>
        <v/>
      </c>
      <c r="BK337" s="201" t="str">
        <f t="shared" si="567"/>
        <v/>
      </c>
      <c r="BL337" s="144" t="str">
        <f t="shared" si="568"/>
        <v/>
      </c>
      <c r="BM337" s="144" t="str">
        <f t="shared" si="569"/>
        <v/>
      </c>
      <c r="BN337" s="144" t="str">
        <f t="shared" si="570"/>
        <v/>
      </c>
      <c r="BO337" s="144" t="str">
        <f t="shared" si="571"/>
        <v/>
      </c>
      <c r="BP337" s="201" t="str">
        <f t="shared" si="572"/>
        <v/>
      </c>
      <c r="BQ337" s="209"/>
      <c r="BR337" s="388"/>
      <c r="BS337" s="37" t="s">
        <v>255</v>
      </c>
      <c r="BT337" s="37" t="s">
        <v>255</v>
      </c>
      <c r="BU337" s="37" t="s">
        <v>255</v>
      </c>
      <c r="BV337" s="37" t="s">
        <v>255</v>
      </c>
      <c r="BW337" s="37" t="s">
        <v>255</v>
      </c>
      <c r="BX337" s="37" t="s">
        <v>255</v>
      </c>
      <c r="BY337" s="37" t="s">
        <v>255</v>
      </c>
      <c r="BZ337" s="37" t="s">
        <v>255</v>
      </c>
      <c r="CA337" s="123" t="s">
        <v>255</v>
      </c>
      <c r="CB337" s="223"/>
      <c r="CC337" s="37" t="s">
        <v>255</v>
      </c>
      <c r="CD337" s="37" t="s">
        <v>255</v>
      </c>
      <c r="CE337" s="37" t="s">
        <v>255</v>
      </c>
      <c r="CF337" s="37" t="s">
        <v>255</v>
      </c>
      <c r="CG337" s="37" t="s">
        <v>255</v>
      </c>
      <c r="CH337" s="37" t="s">
        <v>255</v>
      </c>
      <c r="CI337" s="37" t="s">
        <v>255</v>
      </c>
      <c r="CJ337" s="37" t="s">
        <v>255</v>
      </c>
      <c r="CK337" s="37" t="s">
        <v>255</v>
      </c>
      <c r="CL337" s="37" t="s">
        <v>255</v>
      </c>
      <c r="CM337" s="37" t="s">
        <v>255</v>
      </c>
      <c r="CN337" s="37" t="s">
        <v>255</v>
      </c>
      <c r="CO337" s="37" t="s">
        <v>255</v>
      </c>
      <c r="CP337" s="37" t="s">
        <v>255</v>
      </c>
      <c r="CQ337" s="37" t="s">
        <v>255</v>
      </c>
      <c r="CR337" s="149" t="s">
        <v>302</v>
      </c>
    </row>
    <row r="338" spans="1:96" ht="30" outlineLevel="1" x14ac:dyDescent="0.25">
      <c r="A338" s="112" t="s">
        <v>515</v>
      </c>
      <c r="B338" s="121" t="s">
        <v>526</v>
      </c>
      <c r="C338" s="121"/>
      <c r="D338" s="121"/>
      <c r="E338" s="121"/>
      <c r="F338" s="34" t="s">
        <v>225</v>
      </c>
      <c r="G338" s="120" t="s">
        <v>579</v>
      </c>
      <c r="H338" s="111" t="s">
        <v>1693</v>
      </c>
      <c r="I338" s="111" t="s">
        <v>1693</v>
      </c>
      <c r="J338" s="111" t="s">
        <v>1693</v>
      </c>
      <c r="K338" s="111" t="s">
        <v>1693</v>
      </c>
      <c r="L338" s="111" t="s">
        <v>1693</v>
      </c>
      <c r="M338" s="34">
        <v>10</v>
      </c>
      <c r="N338" s="144">
        <f t="shared" si="545"/>
        <v>0</v>
      </c>
      <c r="O338" s="144" t="str">
        <f t="shared" si="546"/>
        <v/>
      </c>
      <c r="P338" s="144"/>
      <c r="Q338" s="144">
        <f t="shared" si="547"/>
        <v>0</v>
      </c>
      <c r="R338" s="144" t="str">
        <f t="shared" si="582"/>
        <v/>
      </c>
      <c r="S338" s="144"/>
      <c r="T338" s="144">
        <f t="shared" si="583"/>
        <v>0</v>
      </c>
      <c r="U338" s="144" t="str">
        <f t="shared" si="584"/>
        <v/>
      </c>
      <c r="V338" s="144"/>
      <c r="W338" s="144">
        <f t="shared" si="585"/>
        <v>0</v>
      </c>
      <c r="X338" s="144" t="str">
        <f t="shared" si="586"/>
        <v/>
      </c>
      <c r="Y338" s="144"/>
      <c r="Z338" s="144">
        <f t="shared" si="587"/>
        <v>0</v>
      </c>
      <c r="AA338" s="37" t="str">
        <f t="shared" si="548"/>
        <v>НЕТ</v>
      </c>
      <c r="AB338" s="37"/>
      <c r="AC338" s="37" t="str">
        <f t="shared" si="538"/>
        <v>НЕТ</v>
      </c>
      <c r="AD338" s="37" t="str">
        <f t="shared" si="539"/>
        <v>Не требуется</v>
      </c>
      <c r="AE338" s="37"/>
      <c r="AF338" s="37" t="str">
        <f t="shared" si="540"/>
        <v>НЕТ</v>
      </c>
      <c r="AG338" s="37" t="str">
        <f t="shared" si="540"/>
        <v>НЕТ</v>
      </c>
      <c r="AH338" s="37" t="str">
        <f t="shared" si="540"/>
        <v>НЕТ</v>
      </c>
      <c r="AI338" s="37" t="str">
        <f t="shared" si="540"/>
        <v>НЕТ</v>
      </c>
      <c r="AJ338" s="37" t="str">
        <f t="shared" si="540"/>
        <v>НЕТ</v>
      </c>
      <c r="AK338" s="37" t="str">
        <f t="shared" si="540"/>
        <v>НЕТ</v>
      </c>
      <c r="AL338" s="37" t="str">
        <f t="shared" si="540"/>
        <v>НЕТ</v>
      </c>
      <c r="AM338" s="123" t="str">
        <f t="shared" si="549"/>
        <v>Не требуется</v>
      </c>
      <c r="AN338" s="37"/>
      <c r="AQ338" s="200"/>
      <c r="AR338" s="230"/>
      <c r="AS338" s="144" t="str">
        <f t="shared" si="550"/>
        <v/>
      </c>
      <c r="AT338" s="144" t="str">
        <f t="shared" si="551"/>
        <v/>
      </c>
      <c r="AU338" s="144" t="str">
        <f t="shared" si="552"/>
        <v/>
      </c>
      <c r="AV338" s="144" t="str">
        <f t="shared" si="553"/>
        <v/>
      </c>
      <c r="AW338" s="144" t="str">
        <f t="shared" si="554"/>
        <v/>
      </c>
      <c r="AX338" s="144" t="str">
        <f t="shared" si="555"/>
        <v/>
      </c>
      <c r="AY338" s="144" t="str">
        <f t="shared" si="556"/>
        <v/>
      </c>
      <c r="AZ338" s="201" t="str">
        <f t="shared" si="557"/>
        <v/>
      </c>
      <c r="BA338" s="235"/>
      <c r="BB338" s="144" t="str">
        <f t="shared" si="558"/>
        <v/>
      </c>
      <c r="BC338" s="144" t="str">
        <f t="shared" si="559"/>
        <v/>
      </c>
      <c r="BD338" s="144" t="str">
        <f t="shared" si="560"/>
        <v/>
      </c>
      <c r="BE338" s="144" t="str">
        <f t="shared" si="561"/>
        <v/>
      </c>
      <c r="BF338" s="201" t="str">
        <f t="shared" si="562"/>
        <v/>
      </c>
      <c r="BG338" s="144" t="str">
        <f t="shared" si="563"/>
        <v/>
      </c>
      <c r="BH338" s="144" t="str">
        <f t="shared" si="564"/>
        <v/>
      </c>
      <c r="BI338" s="144" t="str">
        <f t="shared" si="565"/>
        <v/>
      </c>
      <c r="BJ338" s="144" t="str">
        <f t="shared" si="566"/>
        <v/>
      </c>
      <c r="BK338" s="201" t="str">
        <f t="shared" si="567"/>
        <v/>
      </c>
      <c r="BL338" s="144" t="str">
        <f t="shared" si="568"/>
        <v/>
      </c>
      <c r="BM338" s="144" t="str">
        <f t="shared" si="569"/>
        <v/>
      </c>
      <c r="BN338" s="144" t="str">
        <f t="shared" si="570"/>
        <v/>
      </c>
      <c r="BO338" s="144" t="str">
        <f t="shared" si="571"/>
        <v/>
      </c>
      <c r="BP338" s="201" t="str">
        <f t="shared" si="572"/>
        <v/>
      </c>
      <c r="BQ338" s="209"/>
      <c r="BR338" s="388"/>
      <c r="BS338" s="37" t="s">
        <v>255</v>
      </c>
      <c r="BT338" s="37" t="s">
        <v>255</v>
      </c>
      <c r="BU338" s="37" t="s">
        <v>255</v>
      </c>
      <c r="BV338" s="37" t="s">
        <v>255</v>
      </c>
      <c r="BW338" s="37" t="s">
        <v>255</v>
      </c>
      <c r="BX338" s="37" t="s">
        <v>255</v>
      </c>
      <c r="BY338" s="37" t="s">
        <v>255</v>
      </c>
      <c r="BZ338" s="37" t="s">
        <v>255</v>
      </c>
      <c r="CA338" s="123" t="s">
        <v>255</v>
      </c>
      <c r="CB338" s="223"/>
      <c r="CC338" s="37" t="s">
        <v>255</v>
      </c>
      <c r="CD338" s="37" t="s">
        <v>255</v>
      </c>
      <c r="CE338" s="37" t="s">
        <v>255</v>
      </c>
      <c r="CF338" s="37" t="s">
        <v>255</v>
      </c>
      <c r="CG338" s="37" t="s">
        <v>255</v>
      </c>
      <c r="CH338" s="37" t="s">
        <v>255</v>
      </c>
      <c r="CI338" s="37" t="s">
        <v>255</v>
      </c>
      <c r="CJ338" s="37" t="s">
        <v>255</v>
      </c>
      <c r="CK338" s="37" t="s">
        <v>255</v>
      </c>
      <c r="CL338" s="37" t="s">
        <v>255</v>
      </c>
      <c r="CM338" s="37" t="s">
        <v>255</v>
      </c>
      <c r="CN338" s="37" t="s">
        <v>255</v>
      </c>
      <c r="CO338" s="37" t="s">
        <v>255</v>
      </c>
      <c r="CP338" s="37" t="s">
        <v>255</v>
      </c>
      <c r="CQ338" s="37" t="s">
        <v>255</v>
      </c>
      <c r="CR338" s="149" t="s">
        <v>302</v>
      </c>
    </row>
    <row r="339" spans="1:96" ht="30" outlineLevel="1" x14ac:dyDescent="0.25">
      <c r="A339" s="159" t="s">
        <v>518</v>
      </c>
      <c r="B339" s="121" t="s">
        <v>525</v>
      </c>
      <c r="C339" s="121"/>
      <c r="D339" s="121"/>
      <c r="E339" s="121"/>
      <c r="F339" s="34" t="s">
        <v>225</v>
      </c>
      <c r="G339" s="120" t="s">
        <v>579</v>
      </c>
      <c r="H339" s="111" t="s">
        <v>1693</v>
      </c>
      <c r="I339" s="111" t="s">
        <v>1693</v>
      </c>
      <c r="J339" s="111" t="s">
        <v>1693</v>
      </c>
      <c r="K339" s="111" t="s">
        <v>1693</v>
      </c>
      <c r="L339" s="111" t="s">
        <v>1693</v>
      </c>
      <c r="M339" s="34">
        <v>10</v>
      </c>
      <c r="N339" s="144">
        <f t="shared" si="545"/>
        <v>0</v>
      </c>
      <c r="O339" s="144" t="str">
        <f t="shared" si="546"/>
        <v/>
      </c>
      <c r="P339" s="144"/>
      <c r="Q339" s="144">
        <f t="shared" si="547"/>
        <v>0</v>
      </c>
      <c r="R339" s="144" t="str">
        <f t="shared" si="582"/>
        <v/>
      </c>
      <c r="S339" s="144"/>
      <c r="T339" s="144">
        <f t="shared" si="583"/>
        <v>0</v>
      </c>
      <c r="U339" s="144" t="str">
        <f t="shared" si="584"/>
        <v/>
      </c>
      <c r="V339" s="144"/>
      <c r="W339" s="144">
        <f t="shared" si="585"/>
        <v>0</v>
      </c>
      <c r="X339" s="144" t="str">
        <f t="shared" si="586"/>
        <v/>
      </c>
      <c r="Y339" s="144"/>
      <c r="Z339" s="144">
        <f t="shared" si="587"/>
        <v>0</v>
      </c>
      <c r="AA339" s="37" t="str">
        <f t="shared" si="548"/>
        <v>НЕТ</v>
      </c>
      <c r="AB339" s="37"/>
      <c r="AC339" s="37" t="str">
        <f t="shared" si="538"/>
        <v>НЕТ</v>
      </c>
      <c r="AD339" s="37" t="str">
        <f t="shared" si="539"/>
        <v>Не требуется</v>
      </c>
      <c r="AE339" s="37"/>
      <c r="AF339" s="37" t="str">
        <f t="shared" si="540"/>
        <v>НЕТ</v>
      </c>
      <c r="AG339" s="37" t="str">
        <f t="shared" si="540"/>
        <v>НЕТ</v>
      </c>
      <c r="AH339" s="37" t="str">
        <f t="shared" si="540"/>
        <v>НЕТ</v>
      </c>
      <c r="AI339" s="37" t="str">
        <f t="shared" si="540"/>
        <v>НЕТ</v>
      </c>
      <c r="AJ339" s="37" t="str">
        <f t="shared" si="540"/>
        <v>НЕТ</v>
      </c>
      <c r="AK339" s="37" t="str">
        <f t="shared" si="540"/>
        <v>НЕТ</v>
      </c>
      <c r="AL339" s="37" t="str">
        <f t="shared" si="540"/>
        <v>НЕТ</v>
      </c>
      <c r="AM339" s="123" t="str">
        <f t="shared" si="549"/>
        <v>Не требуется</v>
      </c>
      <c r="AN339" s="37"/>
      <c r="AQ339" s="200"/>
      <c r="AR339" s="230"/>
      <c r="AS339" s="144" t="str">
        <f t="shared" si="550"/>
        <v/>
      </c>
      <c r="AT339" s="144" t="str">
        <f t="shared" si="551"/>
        <v/>
      </c>
      <c r="AU339" s="144" t="str">
        <f t="shared" si="552"/>
        <v/>
      </c>
      <c r="AV339" s="144" t="str">
        <f t="shared" si="553"/>
        <v/>
      </c>
      <c r="AW339" s="144" t="str">
        <f t="shared" si="554"/>
        <v/>
      </c>
      <c r="AX339" s="144" t="str">
        <f t="shared" si="555"/>
        <v/>
      </c>
      <c r="AY339" s="144" t="str">
        <f t="shared" si="556"/>
        <v/>
      </c>
      <c r="AZ339" s="201" t="str">
        <f t="shared" si="557"/>
        <v/>
      </c>
      <c r="BA339" s="235"/>
      <c r="BB339" s="144" t="str">
        <f t="shared" si="558"/>
        <v/>
      </c>
      <c r="BC339" s="144" t="str">
        <f t="shared" si="559"/>
        <v/>
      </c>
      <c r="BD339" s="144" t="str">
        <f t="shared" si="560"/>
        <v/>
      </c>
      <c r="BE339" s="144" t="str">
        <f t="shared" si="561"/>
        <v/>
      </c>
      <c r="BF339" s="201" t="str">
        <f t="shared" si="562"/>
        <v/>
      </c>
      <c r="BG339" s="144" t="str">
        <f t="shared" si="563"/>
        <v/>
      </c>
      <c r="BH339" s="144" t="str">
        <f t="shared" si="564"/>
        <v/>
      </c>
      <c r="BI339" s="144" t="str">
        <f t="shared" si="565"/>
        <v/>
      </c>
      <c r="BJ339" s="144" t="str">
        <f t="shared" si="566"/>
        <v/>
      </c>
      <c r="BK339" s="201" t="str">
        <f t="shared" si="567"/>
        <v/>
      </c>
      <c r="BL339" s="144" t="str">
        <f t="shared" si="568"/>
        <v/>
      </c>
      <c r="BM339" s="144" t="str">
        <f t="shared" si="569"/>
        <v/>
      </c>
      <c r="BN339" s="144" t="str">
        <f t="shared" si="570"/>
        <v/>
      </c>
      <c r="BO339" s="144" t="str">
        <f t="shared" si="571"/>
        <v/>
      </c>
      <c r="BP339" s="201" t="str">
        <f t="shared" si="572"/>
        <v/>
      </c>
      <c r="BQ339" s="209"/>
      <c r="BR339" s="388"/>
      <c r="BS339" s="37" t="s">
        <v>255</v>
      </c>
      <c r="BT339" s="37" t="s">
        <v>255</v>
      </c>
      <c r="BU339" s="37" t="s">
        <v>255</v>
      </c>
      <c r="BV339" s="37" t="s">
        <v>255</v>
      </c>
      <c r="BW339" s="37" t="s">
        <v>255</v>
      </c>
      <c r="BX339" s="37" t="s">
        <v>255</v>
      </c>
      <c r="BY339" s="37" t="s">
        <v>255</v>
      </c>
      <c r="BZ339" s="37" t="s">
        <v>255</v>
      </c>
      <c r="CA339" s="123" t="s">
        <v>255</v>
      </c>
      <c r="CB339" s="223"/>
      <c r="CC339" s="37" t="s">
        <v>255</v>
      </c>
      <c r="CD339" s="37" t="s">
        <v>255</v>
      </c>
      <c r="CE339" s="37" t="s">
        <v>255</v>
      </c>
      <c r="CF339" s="37" t="s">
        <v>255</v>
      </c>
      <c r="CG339" s="37" t="s">
        <v>255</v>
      </c>
      <c r="CH339" s="37" t="s">
        <v>255</v>
      </c>
      <c r="CI339" s="37" t="s">
        <v>255</v>
      </c>
      <c r="CJ339" s="37" t="s">
        <v>255</v>
      </c>
      <c r="CK339" s="37" t="s">
        <v>255</v>
      </c>
      <c r="CL339" s="37" t="s">
        <v>255</v>
      </c>
      <c r="CM339" s="37" t="s">
        <v>255</v>
      </c>
      <c r="CN339" s="37" t="s">
        <v>255</v>
      </c>
      <c r="CO339" s="37" t="s">
        <v>255</v>
      </c>
      <c r="CP339" s="37" t="s">
        <v>255</v>
      </c>
      <c r="CQ339" s="37" t="s">
        <v>255</v>
      </c>
      <c r="CR339" s="149" t="s">
        <v>302</v>
      </c>
    </row>
    <row r="340" spans="1:96" ht="45" outlineLevel="1" x14ac:dyDescent="0.25">
      <c r="A340" s="112" t="s">
        <v>516</v>
      </c>
      <c r="B340" s="121" t="s">
        <v>1756</v>
      </c>
      <c r="C340" s="121"/>
      <c r="D340" s="121"/>
      <c r="E340" s="121"/>
      <c r="F340" s="808" t="s">
        <v>326</v>
      </c>
      <c r="G340" s="808" t="s">
        <v>1754</v>
      </c>
      <c r="H340" s="111" t="s">
        <v>1693</v>
      </c>
      <c r="I340" s="111" t="s">
        <v>1693</v>
      </c>
      <c r="J340" s="111" t="s">
        <v>1693</v>
      </c>
      <c r="K340" s="111" t="s">
        <v>1693</v>
      </c>
      <c r="L340" s="111" t="s">
        <v>1693</v>
      </c>
      <c r="M340" s="34">
        <v>5</v>
      </c>
      <c r="N340" s="144">
        <f t="shared" si="545"/>
        <v>0</v>
      </c>
      <c r="O340" s="144" t="str">
        <f t="shared" si="546"/>
        <v/>
      </c>
      <c r="P340" s="144"/>
      <c r="Q340" s="144">
        <f t="shared" si="547"/>
        <v>0</v>
      </c>
      <c r="R340" s="144" t="str">
        <f t="shared" si="582"/>
        <v/>
      </c>
      <c r="S340" s="144"/>
      <c r="T340" s="144">
        <f t="shared" si="583"/>
        <v>0</v>
      </c>
      <c r="U340" s="144" t="str">
        <f t="shared" si="584"/>
        <v/>
      </c>
      <c r="V340" s="144"/>
      <c r="W340" s="144">
        <f t="shared" si="585"/>
        <v>0</v>
      </c>
      <c r="X340" s="144" t="str">
        <f t="shared" si="586"/>
        <v/>
      </c>
      <c r="Y340" s="144"/>
      <c r="Z340" s="144">
        <f t="shared" si="587"/>
        <v>0</v>
      </c>
      <c r="AA340" s="37" t="str">
        <f t="shared" si="548"/>
        <v>НЕТ</v>
      </c>
      <c r="AB340" s="37"/>
      <c r="AC340" s="37" t="str">
        <f t="shared" si="538"/>
        <v>НЕТ</v>
      </c>
      <c r="AD340" s="37" t="str">
        <f t="shared" si="539"/>
        <v>Не требуется</v>
      </c>
      <c r="AE340" s="37"/>
      <c r="AF340" s="37" t="str">
        <f t="shared" si="540"/>
        <v>НЕТ</v>
      </c>
      <c r="AG340" s="37" t="str">
        <f t="shared" si="540"/>
        <v>НЕТ</v>
      </c>
      <c r="AH340" s="37" t="str">
        <f t="shared" si="540"/>
        <v>НЕТ</v>
      </c>
      <c r="AI340" s="37" t="str">
        <f t="shared" si="540"/>
        <v>НЕТ</v>
      </c>
      <c r="AJ340" s="37" t="str">
        <f t="shared" si="540"/>
        <v>НЕТ</v>
      </c>
      <c r="AK340" s="37" t="str">
        <f t="shared" si="540"/>
        <v>НЕТ</v>
      </c>
      <c r="AL340" s="37" t="str">
        <f t="shared" si="540"/>
        <v>НЕТ</v>
      </c>
      <c r="AM340" s="123" t="str">
        <f t="shared" si="549"/>
        <v>Не требуется</v>
      </c>
      <c r="AN340" s="37"/>
      <c r="AQ340" s="200"/>
      <c r="AR340" s="230"/>
      <c r="AS340" s="144" t="str">
        <f t="shared" si="550"/>
        <v/>
      </c>
      <c r="AT340" s="144" t="str">
        <f t="shared" si="551"/>
        <v/>
      </c>
      <c r="AU340" s="144" t="str">
        <f t="shared" si="552"/>
        <v/>
      </c>
      <c r="AV340" s="144" t="str">
        <f t="shared" si="553"/>
        <v/>
      </c>
      <c r="AW340" s="144" t="str">
        <f t="shared" si="554"/>
        <v/>
      </c>
      <c r="AX340" s="144" t="str">
        <f t="shared" si="555"/>
        <v/>
      </c>
      <c r="AY340" s="144" t="str">
        <f t="shared" si="556"/>
        <v/>
      </c>
      <c r="AZ340" s="201" t="str">
        <f t="shared" si="557"/>
        <v/>
      </c>
      <c r="BA340" s="235"/>
      <c r="BB340" s="144" t="str">
        <f t="shared" si="558"/>
        <v/>
      </c>
      <c r="BC340" s="144" t="str">
        <f t="shared" si="559"/>
        <v/>
      </c>
      <c r="BD340" s="144" t="str">
        <f t="shared" si="560"/>
        <v/>
      </c>
      <c r="BE340" s="144" t="str">
        <f t="shared" si="561"/>
        <v/>
      </c>
      <c r="BF340" s="201" t="str">
        <f t="shared" si="562"/>
        <v/>
      </c>
      <c r="BG340" s="144" t="str">
        <f t="shared" si="563"/>
        <v/>
      </c>
      <c r="BH340" s="144" t="str">
        <f t="shared" si="564"/>
        <v/>
      </c>
      <c r="BI340" s="144" t="str">
        <f t="shared" si="565"/>
        <v/>
      </c>
      <c r="BJ340" s="144" t="str">
        <f t="shared" si="566"/>
        <v/>
      </c>
      <c r="BK340" s="201" t="str">
        <f t="shared" si="567"/>
        <v/>
      </c>
      <c r="BL340" s="144" t="str">
        <f t="shared" si="568"/>
        <v/>
      </c>
      <c r="BM340" s="144" t="str">
        <f t="shared" si="569"/>
        <v/>
      </c>
      <c r="BN340" s="144" t="str">
        <f t="shared" si="570"/>
        <v/>
      </c>
      <c r="BO340" s="144" t="str">
        <f t="shared" si="571"/>
        <v/>
      </c>
      <c r="BP340" s="201" t="str">
        <f t="shared" si="572"/>
        <v/>
      </c>
      <c r="BQ340" s="209"/>
      <c r="BR340" s="388"/>
      <c r="BS340" s="37" t="s">
        <v>255</v>
      </c>
      <c r="BT340" s="37" t="s">
        <v>255</v>
      </c>
      <c r="BU340" s="37" t="s">
        <v>255</v>
      </c>
      <c r="BV340" s="37" t="s">
        <v>255</v>
      </c>
      <c r="BW340" s="37" t="s">
        <v>255</v>
      </c>
      <c r="BX340" s="37" t="s">
        <v>255</v>
      </c>
      <c r="BY340" s="37" t="s">
        <v>255</v>
      </c>
      <c r="BZ340" s="37" t="s">
        <v>255</v>
      </c>
      <c r="CA340" s="123" t="s">
        <v>255</v>
      </c>
      <c r="CB340" s="223"/>
      <c r="CC340" s="37" t="s">
        <v>255</v>
      </c>
      <c r="CD340" s="37" t="s">
        <v>255</v>
      </c>
      <c r="CE340" s="37" t="s">
        <v>255</v>
      </c>
      <c r="CF340" s="37" t="s">
        <v>255</v>
      </c>
      <c r="CG340" s="37" t="s">
        <v>255</v>
      </c>
      <c r="CH340" s="37" t="s">
        <v>255</v>
      </c>
      <c r="CI340" s="37" t="s">
        <v>255</v>
      </c>
      <c r="CJ340" s="37" t="s">
        <v>255</v>
      </c>
      <c r="CK340" s="37" t="s">
        <v>255</v>
      </c>
      <c r="CL340" s="37" t="s">
        <v>255</v>
      </c>
      <c r="CM340" s="37" t="s">
        <v>255</v>
      </c>
      <c r="CN340" s="37" t="s">
        <v>255</v>
      </c>
      <c r="CO340" s="37" t="s">
        <v>255</v>
      </c>
      <c r="CP340" s="37" t="s">
        <v>255</v>
      </c>
      <c r="CQ340" s="37" t="s">
        <v>255</v>
      </c>
      <c r="CR340" s="149" t="s">
        <v>302</v>
      </c>
    </row>
    <row r="341" spans="1:96" ht="30" outlineLevel="1" x14ac:dyDescent="0.25">
      <c r="A341" s="145" t="s">
        <v>517</v>
      </c>
      <c r="B341" s="146" t="s">
        <v>524</v>
      </c>
      <c r="C341" s="146"/>
      <c r="D341" s="146"/>
      <c r="E341" s="146"/>
      <c r="F341" s="147" t="s">
        <v>223</v>
      </c>
      <c r="G341" s="109" t="s">
        <v>953</v>
      </c>
      <c r="H341" s="111" t="s">
        <v>1693</v>
      </c>
      <c r="I341" s="111" t="s">
        <v>1693</v>
      </c>
      <c r="J341" s="111" t="s">
        <v>1693</v>
      </c>
      <c r="K341" s="111" t="s">
        <v>1693</v>
      </c>
      <c r="L341" s="111" t="s">
        <v>1693</v>
      </c>
      <c r="M341" s="147">
        <v>5</v>
      </c>
      <c r="N341" s="144">
        <f t="shared" ref="N341:N343" si="635">SUM(O341,R341,U341,X341)</f>
        <v>0</v>
      </c>
      <c r="O341" s="144" t="str">
        <f t="shared" si="546"/>
        <v/>
      </c>
      <c r="P341" s="144"/>
      <c r="Q341" s="144">
        <f t="shared" ref="Q341:Q343" si="636">IF(AC341="ДА",ROUNDUP(O341/5,0),0)</f>
        <v>0</v>
      </c>
      <c r="R341" s="144" t="str">
        <f t="shared" ref="R341:R343" si="637">IF(AF341="ДА",$M341,"")</f>
        <v/>
      </c>
      <c r="S341" s="144"/>
      <c r="T341" s="144">
        <f t="shared" ref="T341:T343" si="638">IF(AF341="ДА",ROUNDUP(R341/5,0),0)</f>
        <v>0</v>
      </c>
      <c r="U341" s="144" t="str">
        <f t="shared" ref="U341:U343" si="639">IF(AI341="ДА",$M341,"")</f>
        <v/>
      </c>
      <c r="V341" s="144"/>
      <c r="W341" s="144">
        <f t="shared" ref="W341:W343" si="640">IF(AI341="ДА",ROUNDUP(U341/5,0),0)</f>
        <v>0</v>
      </c>
      <c r="X341" s="144" t="str">
        <f t="shared" ref="X341:X343" si="641">IF(AL341="ДА",$M341,"")</f>
        <v/>
      </c>
      <c r="Y341" s="144"/>
      <c r="Z341" s="144">
        <f t="shared" ref="Z341:Z343" si="642">IF(AL341="ДА",ROUNDUP(X341/5,0),0)</f>
        <v>0</v>
      </c>
      <c r="AA341" s="37" t="str">
        <f t="shared" ref="AA341:AA343" si="643">IF(OR(AC341="ДА",AF341="ДА",AI341="ДА",AL341="ДА"),"ДА","НЕТ")</f>
        <v>НЕТ</v>
      </c>
      <c r="AB341" s="37"/>
      <c r="AC341" s="37" t="str">
        <f t="shared" si="538"/>
        <v>НЕТ</v>
      </c>
      <c r="AD341" s="37" t="str">
        <f t="shared" si="539"/>
        <v>Не требуется</v>
      </c>
      <c r="AE341" s="37"/>
      <c r="AF341" s="37" t="str">
        <f t="shared" si="540"/>
        <v>НЕТ</v>
      </c>
      <c r="AG341" s="37" t="str">
        <f t="shared" si="540"/>
        <v>НЕТ</v>
      </c>
      <c r="AH341" s="37" t="str">
        <f t="shared" si="540"/>
        <v>НЕТ</v>
      </c>
      <c r="AI341" s="37" t="str">
        <f t="shared" si="540"/>
        <v>НЕТ</v>
      </c>
      <c r="AJ341" s="37" t="str">
        <f t="shared" si="540"/>
        <v>НЕТ</v>
      </c>
      <c r="AK341" s="37" t="str">
        <f t="shared" si="540"/>
        <v>НЕТ</v>
      </c>
      <c r="AL341" s="37" t="str">
        <f t="shared" si="540"/>
        <v>НЕТ</v>
      </c>
      <c r="AM341" s="123" t="str">
        <f t="shared" ref="AM341:AM343" si="644">IF(AL341="НЕТ","Не требуется",$CR341)</f>
        <v>Не требуется</v>
      </c>
      <c r="AN341" s="37"/>
      <c r="AQ341" s="200"/>
      <c r="AR341" s="230"/>
      <c r="AS341" s="144" t="str">
        <f t="shared" si="550"/>
        <v/>
      </c>
      <c r="AT341" s="144" t="str">
        <f t="shared" si="551"/>
        <v/>
      </c>
      <c r="AU341" s="144" t="str">
        <f t="shared" si="552"/>
        <v/>
      </c>
      <c r="AV341" s="144" t="str">
        <f t="shared" si="553"/>
        <v/>
      </c>
      <c r="AW341" s="144" t="str">
        <f t="shared" ref="AW341:AW343" si="645">IF(BX341="ДА",$M341,"")</f>
        <v/>
      </c>
      <c r="AX341" s="144" t="str">
        <f t="shared" ref="AX341:AX343" si="646">IF(BY341="ДА",$M341,"")</f>
        <v/>
      </c>
      <c r="AY341" s="144" t="str">
        <f t="shared" ref="AY341:AY343" si="647">IF(BZ341="ДА",$M341,"")</f>
        <v/>
      </c>
      <c r="AZ341" s="201" t="str">
        <f t="shared" ref="AZ341:AZ343" si="648">IF(CA341="ДА",$M341,"")</f>
        <v/>
      </c>
      <c r="BA341" s="235"/>
      <c r="BB341" s="144" t="str">
        <f t="shared" ref="BB341:BB343" si="649">IF(CC341="ДА",$M341,"")</f>
        <v/>
      </c>
      <c r="BC341" s="144" t="str">
        <f t="shared" ref="BC341:BC343" si="650">IF(CD341="ДА",$M341,"")</f>
        <v/>
      </c>
      <c r="BD341" s="144" t="str">
        <f t="shared" ref="BD341:BD343" si="651">IF(CE341="ДА",$M341,"")</f>
        <v/>
      </c>
      <c r="BE341" s="144" t="str">
        <f t="shared" ref="BE341:BE343" si="652">IF(CF341="ДА",$M341,"")</f>
        <v/>
      </c>
      <c r="BF341" s="201" t="str">
        <f t="shared" ref="BF341:BF343" si="653">IF(CG341="ДА",$M341,"")</f>
        <v/>
      </c>
      <c r="BG341" s="144" t="str">
        <f t="shared" ref="BG341:BG343" si="654">IF(CH341="ДА",$M341,"")</f>
        <v/>
      </c>
      <c r="BH341" s="144" t="str">
        <f t="shared" ref="BH341:BH343" si="655">IF(CI341="ДА",$M341,"")</f>
        <v/>
      </c>
      <c r="BI341" s="144" t="str">
        <f t="shared" ref="BI341:BI343" si="656">IF(CJ341="ДА",$M341,"")</f>
        <v/>
      </c>
      <c r="BJ341" s="144" t="str">
        <f t="shared" ref="BJ341:BJ343" si="657">IF(CK341="ДА",$M341,"")</f>
        <v/>
      </c>
      <c r="BK341" s="201" t="str">
        <f t="shared" ref="BK341:BK343" si="658">IF(CL341="ДА",$M341,"")</f>
        <v/>
      </c>
      <c r="BL341" s="144" t="str">
        <f t="shared" ref="BL341:BL343" si="659">IF(CM341="ДА",$M341,"")</f>
        <v/>
      </c>
      <c r="BM341" s="144" t="str">
        <f t="shared" ref="BM341:BM343" si="660">IF(CN341="ДА",$M341,"")</f>
        <v/>
      </c>
      <c r="BN341" s="144" t="str">
        <f t="shared" ref="BN341:BN343" si="661">IF(CO341="ДА",$M341,"")</f>
        <v/>
      </c>
      <c r="BO341" s="144" t="str">
        <f t="shared" ref="BO341:BO343" si="662">IF(CP341="ДА",$M341,"")</f>
        <v/>
      </c>
      <c r="BP341" s="201" t="str">
        <f t="shared" ref="BP341:BP343" si="663">IF(CQ341="ДА",$M341,"")</f>
        <v/>
      </c>
      <c r="BQ341" s="209"/>
      <c r="BR341" s="388"/>
      <c r="BS341" s="37" t="s">
        <v>255</v>
      </c>
      <c r="BT341" s="37" t="s">
        <v>255</v>
      </c>
      <c r="BU341" s="37" t="s">
        <v>255</v>
      </c>
      <c r="BV341" s="37" t="s">
        <v>255</v>
      </c>
      <c r="BW341" s="37" t="s">
        <v>255</v>
      </c>
      <c r="BX341" s="37" t="s">
        <v>255</v>
      </c>
      <c r="BY341" s="37" t="s">
        <v>255</v>
      </c>
      <c r="BZ341" s="37" t="s">
        <v>255</v>
      </c>
      <c r="CA341" s="123" t="s">
        <v>255</v>
      </c>
      <c r="CB341" s="223"/>
      <c r="CC341" s="37" t="s">
        <v>255</v>
      </c>
      <c r="CD341" s="37" t="s">
        <v>255</v>
      </c>
      <c r="CE341" s="37" t="s">
        <v>255</v>
      </c>
      <c r="CF341" s="37" t="s">
        <v>255</v>
      </c>
      <c r="CG341" s="37" t="s">
        <v>255</v>
      </c>
      <c r="CH341" s="37" t="s">
        <v>255</v>
      </c>
      <c r="CI341" s="37" t="s">
        <v>255</v>
      </c>
      <c r="CJ341" s="37" t="s">
        <v>255</v>
      </c>
      <c r="CK341" s="37" t="s">
        <v>255</v>
      </c>
      <c r="CL341" s="37" t="s">
        <v>255</v>
      </c>
      <c r="CM341" s="37" t="s">
        <v>255</v>
      </c>
      <c r="CN341" s="37" t="s">
        <v>255</v>
      </c>
      <c r="CO341" s="37" t="s">
        <v>255</v>
      </c>
      <c r="CP341" s="37" t="s">
        <v>255</v>
      </c>
      <c r="CQ341" s="37" t="s">
        <v>255</v>
      </c>
      <c r="CR341" s="149" t="s">
        <v>302</v>
      </c>
    </row>
    <row r="342" spans="1:96" ht="30" outlineLevel="1" x14ac:dyDescent="0.25">
      <c r="A342" s="145" t="s">
        <v>519</v>
      </c>
      <c r="B342" s="146" t="s">
        <v>524</v>
      </c>
      <c r="C342" s="146"/>
      <c r="D342" s="146"/>
      <c r="E342" s="146"/>
      <c r="F342" s="147" t="s">
        <v>223</v>
      </c>
      <c r="G342" s="109" t="s">
        <v>953</v>
      </c>
      <c r="H342" s="111" t="s">
        <v>1693</v>
      </c>
      <c r="I342" s="111" t="s">
        <v>1693</v>
      </c>
      <c r="J342" s="111" t="s">
        <v>1693</v>
      </c>
      <c r="K342" s="111" t="s">
        <v>1693</v>
      </c>
      <c r="L342" s="111" t="s">
        <v>1693</v>
      </c>
      <c r="M342" s="147">
        <v>5</v>
      </c>
      <c r="N342" s="144">
        <f t="shared" si="635"/>
        <v>0</v>
      </c>
      <c r="O342" s="144" t="str">
        <f t="shared" si="546"/>
        <v/>
      </c>
      <c r="P342" s="144"/>
      <c r="Q342" s="144">
        <f t="shared" si="636"/>
        <v>0</v>
      </c>
      <c r="R342" s="144" t="str">
        <f t="shared" si="637"/>
        <v/>
      </c>
      <c r="S342" s="144"/>
      <c r="T342" s="144">
        <f t="shared" si="638"/>
        <v>0</v>
      </c>
      <c r="U342" s="144" t="str">
        <f t="shared" si="639"/>
        <v/>
      </c>
      <c r="V342" s="144"/>
      <c r="W342" s="144">
        <f t="shared" si="640"/>
        <v>0</v>
      </c>
      <c r="X342" s="144" t="str">
        <f t="shared" si="641"/>
        <v/>
      </c>
      <c r="Y342" s="144"/>
      <c r="Z342" s="144">
        <f t="shared" si="642"/>
        <v>0</v>
      </c>
      <c r="AA342" s="37" t="str">
        <f t="shared" si="643"/>
        <v>НЕТ</v>
      </c>
      <c r="AB342" s="37"/>
      <c r="AC342" s="37" t="str">
        <f t="shared" si="538"/>
        <v>НЕТ</v>
      </c>
      <c r="AD342" s="37" t="str">
        <f t="shared" si="539"/>
        <v>Не требуется</v>
      </c>
      <c r="AE342" s="37"/>
      <c r="AF342" s="37" t="str">
        <f t="shared" si="540"/>
        <v>НЕТ</v>
      </c>
      <c r="AG342" s="37" t="str">
        <f t="shared" si="540"/>
        <v>НЕТ</v>
      </c>
      <c r="AH342" s="37" t="str">
        <f t="shared" si="540"/>
        <v>НЕТ</v>
      </c>
      <c r="AI342" s="37" t="str">
        <f t="shared" si="540"/>
        <v>НЕТ</v>
      </c>
      <c r="AJ342" s="37" t="str">
        <f t="shared" si="540"/>
        <v>НЕТ</v>
      </c>
      <c r="AK342" s="37" t="str">
        <f t="shared" si="540"/>
        <v>НЕТ</v>
      </c>
      <c r="AL342" s="37" t="str">
        <f t="shared" si="540"/>
        <v>НЕТ</v>
      </c>
      <c r="AM342" s="123" t="str">
        <f t="shared" si="644"/>
        <v>Не требуется</v>
      </c>
      <c r="AN342" s="37"/>
      <c r="AQ342" s="200"/>
      <c r="AR342" s="230"/>
      <c r="AS342" s="144" t="str">
        <f t="shared" si="550"/>
        <v/>
      </c>
      <c r="AT342" s="144" t="str">
        <f t="shared" si="551"/>
        <v/>
      </c>
      <c r="AU342" s="144" t="str">
        <f t="shared" si="552"/>
        <v/>
      </c>
      <c r="AV342" s="144" t="str">
        <f t="shared" si="553"/>
        <v/>
      </c>
      <c r="AW342" s="144" t="str">
        <f t="shared" si="645"/>
        <v/>
      </c>
      <c r="AX342" s="144" t="str">
        <f t="shared" si="646"/>
        <v/>
      </c>
      <c r="AY342" s="144" t="str">
        <f t="shared" si="647"/>
        <v/>
      </c>
      <c r="AZ342" s="201" t="str">
        <f t="shared" si="648"/>
        <v/>
      </c>
      <c r="BA342" s="235"/>
      <c r="BB342" s="144" t="str">
        <f t="shared" si="649"/>
        <v/>
      </c>
      <c r="BC342" s="144" t="str">
        <f t="shared" si="650"/>
        <v/>
      </c>
      <c r="BD342" s="144" t="str">
        <f t="shared" si="651"/>
        <v/>
      </c>
      <c r="BE342" s="144" t="str">
        <f t="shared" si="652"/>
        <v/>
      </c>
      <c r="BF342" s="201" t="str">
        <f t="shared" si="653"/>
        <v/>
      </c>
      <c r="BG342" s="144" t="str">
        <f t="shared" si="654"/>
        <v/>
      </c>
      <c r="BH342" s="144" t="str">
        <f t="shared" si="655"/>
        <v/>
      </c>
      <c r="BI342" s="144" t="str">
        <f t="shared" si="656"/>
        <v/>
      </c>
      <c r="BJ342" s="144" t="str">
        <f t="shared" si="657"/>
        <v/>
      </c>
      <c r="BK342" s="201" t="str">
        <f t="shared" si="658"/>
        <v/>
      </c>
      <c r="BL342" s="144" t="str">
        <f t="shared" si="659"/>
        <v/>
      </c>
      <c r="BM342" s="144" t="str">
        <f t="shared" si="660"/>
        <v/>
      </c>
      <c r="BN342" s="144" t="str">
        <f t="shared" si="661"/>
        <v/>
      </c>
      <c r="BO342" s="144" t="str">
        <f t="shared" si="662"/>
        <v/>
      </c>
      <c r="BP342" s="201" t="str">
        <f t="shared" si="663"/>
        <v/>
      </c>
      <c r="BQ342" s="209"/>
      <c r="BR342" s="388"/>
      <c r="BS342" s="37" t="s">
        <v>255</v>
      </c>
      <c r="BT342" s="37" t="s">
        <v>255</v>
      </c>
      <c r="BU342" s="37" t="s">
        <v>255</v>
      </c>
      <c r="BV342" s="37" t="s">
        <v>255</v>
      </c>
      <c r="BW342" s="37" t="s">
        <v>255</v>
      </c>
      <c r="BX342" s="37" t="s">
        <v>255</v>
      </c>
      <c r="BY342" s="37" t="s">
        <v>255</v>
      </c>
      <c r="BZ342" s="37" t="s">
        <v>255</v>
      </c>
      <c r="CA342" s="123" t="s">
        <v>255</v>
      </c>
      <c r="CB342" s="223"/>
      <c r="CC342" s="37" t="s">
        <v>255</v>
      </c>
      <c r="CD342" s="37" t="s">
        <v>255</v>
      </c>
      <c r="CE342" s="37" t="s">
        <v>255</v>
      </c>
      <c r="CF342" s="37" t="s">
        <v>255</v>
      </c>
      <c r="CG342" s="37" t="s">
        <v>255</v>
      </c>
      <c r="CH342" s="37" t="s">
        <v>255</v>
      </c>
      <c r="CI342" s="37" t="s">
        <v>255</v>
      </c>
      <c r="CJ342" s="37" t="s">
        <v>255</v>
      </c>
      <c r="CK342" s="37" t="s">
        <v>255</v>
      </c>
      <c r="CL342" s="37" t="s">
        <v>255</v>
      </c>
      <c r="CM342" s="37" t="s">
        <v>255</v>
      </c>
      <c r="CN342" s="37" t="s">
        <v>255</v>
      </c>
      <c r="CO342" s="37" t="s">
        <v>255</v>
      </c>
      <c r="CP342" s="37" t="s">
        <v>255</v>
      </c>
      <c r="CQ342" s="37" t="s">
        <v>255</v>
      </c>
      <c r="CR342" s="149" t="s">
        <v>302</v>
      </c>
    </row>
    <row r="343" spans="1:96" ht="30" outlineLevel="1" x14ac:dyDescent="0.25">
      <c r="A343" s="145" t="s">
        <v>1695</v>
      </c>
      <c r="B343" s="146" t="s">
        <v>524</v>
      </c>
      <c r="C343" s="146"/>
      <c r="D343" s="146"/>
      <c r="E343" s="146"/>
      <c r="F343" s="147" t="s">
        <v>223</v>
      </c>
      <c r="G343" s="109" t="s">
        <v>953</v>
      </c>
      <c r="H343" s="111" t="s">
        <v>1693</v>
      </c>
      <c r="I343" s="111" t="s">
        <v>1693</v>
      </c>
      <c r="J343" s="111" t="s">
        <v>1693</v>
      </c>
      <c r="K343" s="111" t="s">
        <v>1693</v>
      </c>
      <c r="L343" s="111" t="s">
        <v>1693</v>
      </c>
      <c r="M343" s="147">
        <v>5</v>
      </c>
      <c r="N343" s="144">
        <f t="shared" si="635"/>
        <v>0</v>
      </c>
      <c r="O343" s="144" t="str">
        <f t="shared" si="546"/>
        <v/>
      </c>
      <c r="P343" s="144"/>
      <c r="Q343" s="144">
        <f t="shared" si="636"/>
        <v>0</v>
      </c>
      <c r="R343" s="144" t="str">
        <f t="shared" si="637"/>
        <v/>
      </c>
      <c r="S343" s="144"/>
      <c r="T343" s="144">
        <f t="shared" si="638"/>
        <v>0</v>
      </c>
      <c r="U343" s="144" t="str">
        <f t="shared" si="639"/>
        <v/>
      </c>
      <c r="V343" s="144"/>
      <c r="W343" s="144">
        <f t="shared" si="640"/>
        <v>0</v>
      </c>
      <c r="X343" s="144" t="str">
        <f t="shared" si="641"/>
        <v/>
      </c>
      <c r="Y343" s="144"/>
      <c r="Z343" s="144">
        <f t="shared" si="642"/>
        <v>0</v>
      </c>
      <c r="AA343" s="37" t="str">
        <f t="shared" si="643"/>
        <v>НЕТ</v>
      </c>
      <c r="AB343" s="37"/>
      <c r="AC343" s="37" t="str">
        <f t="shared" si="538"/>
        <v>НЕТ</v>
      </c>
      <c r="AD343" s="37" t="str">
        <f t="shared" si="539"/>
        <v>Не требуется</v>
      </c>
      <c r="AE343" s="37"/>
      <c r="AF343" s="37" t="str">
        <f t="shared" si="540"/>
        <v>НЕТ</v>
      </c>
      <c r="AG343" s="37" t="str">
        <f t="shared" si="540"/>
        <v>НЕТ</v>
      </c>
      <c r="AH343" s="37" t="str">
        <f t="shared" si="540"/>
        <v>НЕТ</v>
      </c>
      <c r="AI343" s="37" t="str">
        <f t="shared" si="540"/>
        <v>НЕТ</v>
      </c>
      <c r="AJ343" s="37" t="str">
        <f t="shared" si="540"/>
        <v>НЕТ</v>
      </c>
      <c r="AK343" s="37" t="str">
        <f t="shared" si="540"/>
        <v>НЕТ</v>
      </c>
      <c r="AL343" s="37" t="str">
        <f t="shared" si="540"/>
        <v>НЕТ</v>
      </c>
      <c r="AM343" s="123" t="str">
        <f t="shared" si="644"/>
        <v>Не требуется</v>
      </c>
      <c r="AN343" s="37"/>
      <c r="AQ343" s="200"/>
      <c r="AR343" s="230"/>
      <c r="AS343" s="144" t="str">
        <f t="shared" si="550"/>
        <v/>
      </c>
      <c r="AT343" s="144" t="str">
        <f t="shared" si="551"/>
        <v/>
      </c>
      <c r="AU343" s="144" t="str">
        <f t="shared" si="552"/>
        <v/>
      </c>
      <c r="AV343" s="144" t="str">
        <f t="shared" si="553"/>
        <v/>
      </c>
      <c r="AW343" s="144" t="str">
        <f t="shared" si="645"/>
        <v/>
      </c>
      <c r="AX343" s="144" t="str">
        <f t="shared" si="646"/>
        <v/>
      </c>
      <c r="AY343" s="144" t="str">
        <f t="shared" si="647"/>
        <v/>
      </c>
      <c r="AZ343" s="201" t="str">
        <f t="shared" si="648"/>
        <v/>
      </c>
      <c r="BA343" s="235"/>
      <c r="BB343" s="144" t="str">
        <f t="shared" si="649"/>
        <v/>
      </c>
      <c r="BC343" s="144" t="str">
        <f t="shared" si="650"/>
        <v/>
      </c>
      <c r="BD343" s="144" t="str">
        <f t="shared" si="651"/>
        <v/>
      </c>
      <c r="BE343" s="144" t="str">
        <f t="shared" si="652"/>
        <v/>
      </c>
      <c r="BF343" s="201" t="str">
        <f t="shared" si="653"/>
        <v/>
      </c>
      <c r="BG343" s="144" t="str">
        <f t="shared" si="654"/>
        <v/>
      </c>
      <c r="BH343" s="144" t="str">
        <f t="shared" si="655"/>
        <v/>
      </c>
      <c r="BI343" s="144" t="str">
        <f t="shared" si="656"/>
        <v/>
      </c>
      <c r="BJ343" s="144" t="str">
        <f t="shared" si="657"/>
        <v/>
      </c>
      <c r="BK343" s="201" t="str">
        <f t="shared" si="658"/>
        <v/>
      </c>
      <c r="BL343" s="144" t="str">
        <f t="shared" si="659"/>
        <v/>
      </c>
      <c r="BM343" s="144" t="str">
        <f t="shared" si="660"/>
        <v/>
      </c>
      <c r="BN343" s="144" t="str">
        <f t="shared" si="661"/>
        <v/>
      </c>
      <c r="BO343" s="144" t="str">
        <f t="shared" si="662"/>
        <v/>
      </c>
      <c r="BP343" s="201" t="str">
        <f t="shared" si="663"/>
        <v/>
      </c>
      <c r="BQ343" s="209"/>
      <c r="BR343" s="388"/>
      <c r="BS343" s="37" t="s">
        <v>255</v>
      </c>
      <c r="BT343" s="37" t="s">
        <v>255</v>
      </c>
      <c r="BU343" s="37" t="s">
        <v>255</v>
      </c>
      <c r="BV343" s="37" t="s">
        <v>255</v>
      </c>
      <c r="BW343" s="37" t="s">
        <v>255</v>
      </c>
      <c r="BX343" s="37" t="s">
        <v>255</v>
      </c>
      <c r="BY343" s="37" t="s">
        <v>255</v>
      </c>
      <c r="BZ343" s="37" t="s">
        <v>255</v>
      </c>
      <c r="CA343" s="123" t="s">
        <v>255</v>
      </c>
      <c r="CB343" s="223"/>
      <c r="CC343" s="37" t="s">
        <v>255</v>
      </c>
      <c r="CD343" s="37" t="s">
        <v>255</v>
      </c>
      <c r="CE343" s="37" t="s">
        <v>255</v>
      </c>
      <c r="CF343" s="37" t="s">
        <v>255</v>
      </c>
      <c r="CG343" s="37" t="s">
        <v>255</v>
      </c>
      <c r="CH343" s="37" t="s">
        <v>255</v>
      </c>
      <c r="CI343" s="37" t="s">
        <v>255</v>
      </c>
      <c r="CJ343" s="37" t="s">
        <v>255</v>
      </c>
      <c r="CK343" s="37" t="s">
        <v>255</v>
      </c>
      <c r="CL343" s="37" t="s">
        <v>255</v>
      </c>
      <c r="CM343" s="37" t="s">
        <v>255</v>
      </c>
      <c r="CN343" s="37" t="s">
        <v>255</v>
      </c>
      <c r="CO343" s="37" t="s">
        <v>255</v>
      </c>
      <c r="CP343" s="37" t="s">
        <v>255</v>
      </c>
      <c r="CQ343" s="37" t="s">
        <v>255</v>
      </c>
      <c r="CR343" s="149" t="s">
        <v>302</v>
      </c>
    </row>
    <row r="344" spans="1:96" ht="30" outlineLevel="1" x14ac:dyDescent="0.25">
      <c r="A344" s="145" t="s">
        <v>1708</v>
      </c>
      <c r="B344" s="146" t="s">
        <v>524</v>
      </c>
      <c r="C344" s="146"/>
      <c r="D344" s="146"/>
      <c r="E344" s="146"/>
      <c r="F344" s="147" t="s">
        <v>223</v>
      </c>
      <c r="G344" s="109" t="s">
        <v>953</v>
      </c>
      <c r="H344" s="111" t="s">
        <v>1693</v>
      </c>
      <c r="I344" s="111" t="s">
        <v>1693</v>
      </c>
      <c r="J344" s="111" t="s">
        <v>1693</v>
      </c>
      <c r="K344" s="111" t="s">
        <v>1693</v>
      </c>
      <c r="L344" s="111" t="s">
        <v>1693</v>
      </c>
      <c r="M344" s="147">
        <v>5</v>
      </c>
      <c r="N344" s="144">
        <f t="shared" ref="N344:N354" si="664">SUM(O344,R344,U344,X344)</f>
        <v>0</v>
      </c>
      <c r="O344" s="144" t="str">
        <f t="shared" ref="O344:O354" si="665">IF(AC344="ДА",$M344,"")</f>
        <v/>
      </c>
      <c r="P344" s="144"/>
      <c r="Q344" s="144">
        <f t="shared" ref="Q344:Q354" si="666">IF(AC344="ДА",ROUNDUP(O344/5,0),0)</f>
        <v>0</v>
      </c>
      <c r="R344" s="144" t="str">
        <f t="shared" ref="R344:R354" si="667">IF(AF344="ДА",$M344,"")</f>
        <v/>
      </c>
      <c r="S344" s="144"/>
      <c r="T344" s="144">
        <f t="shared" ref="T344:T354" si="668">IF(AF344="ДА",ROUNDUP(R344/5,0),0)</f>
        <v>0</v>
      </c>
      <c r="U344" s="144" t="str">
        <f t="shared" ref="U344:U354" si="669">IF(AI344="ДА",$M344,"")</f>
        <v/>
      </c>
      <c r="V344" s="144"/>
      <c r="W344" s="144">
        <f t="shared" ref="W344:W354" si="670">IF(AI344="ДА",ROUNDUP(U344/5,0),0)</f>
        <v>0</v>
      </c>
      <c r="X344" s="144" t="str">
        <f t="shared" ref="X344:X354" si="671">IF(AL344="ДА",$M344,"")</f>
        <v/>
      </c>
      <c r="Y344" s="144"/>
      <c r="Z344" s="144">
        <f t="shared" ref="Z344:Z354" si="672">IF(AL344="ДА",ROUNDUP(X344/5,0),0)</f>
        <v>0</v>
      </c>
      <c r="AA344" s="37" t="str">
        <f t="shared" ref="AA344:AA354" si="673">IF(OR(AC344="ДА",AF344="ДА",AI344="ДА",AL344="ДА"),"ДА","НЕТ")</f>
        <v>НЕТ</v>
      </c>
      <c r="AB344" s="37"/>
      <c r="AC344" s="37" t="str">
        <f t="shared" si="538"/>
        <v>НЕТ</v>
      </c>
      <c r="AD344" s="37" t="str">
        <f t="shared" si="539"/>
        <v>Не требуется</v>
      </c>
      <c r="AE344" s="37"/>
      <c r="AF344" s="37" t="str">
        <f t="shared" si="540"/>
        <v>НЕТ</v>
      </c>
      <c r="AG344" s="37" t="str">
        <f t="shared" si="540"/>
        <v>НЕТ</v>
      </c>
      <c r="AH344" s="37" t="str">
        <f t="shared" si="540"/>
        <v>НЕТ</v>
      </c>
      <c r="AI344" s="37" t="str">
        <f t="shared" si="540"/>
        <v>НЕТ</v>
      </c>
      <c r="AJ344" s="37" t="str">
        <f t="shared" si="540"/>
        <v>НЕТ</v>
      </c>
      <c r="AK344" s="37" t="str">
        <f t="shared" si="540"/>
        <v>НЕТ</v>
      </c>
      <c r="AL344" s="37" t="str">
        <f t="shared" si="540"/>
        <v>НЕТ</v>
      </c>
      <c r="AM344" s="123" t="str">
        <f t="shared" ref="AM344:AM354" si="674">IF(AL344="НЕТ","Не требуется",$CR344)</f>
        <v>Не требуется</v>
      </c>
      <c r="AN344" s="37"/>
      <c r="AQ344" s="200"/>
      <c r="AR344" s="230"/>
      <c r="AS344" s="144" t="str">
        <f t="shared" si="550"/>
        <v/>
      </c>
      <c r="AT344" s="144" t="str">
        <f t="shared" si="551"/>
        <v/>
      </c>
      <c r="AU344" s="144" t="str">
        <f t="shared" si="552"/>
        <v/>
      </c>
      <c r="AV344" s="144" t="str">
        <f t="shared" si="553"/>
        <v/>
      </c>
      <c r="AW344" s="144" t="str">
        <f t="shared" ref="AW344:AW354" si="675">IF(BX344="ДА",$M344,"")</f>
        <v/>
      </c>
      <c r="AX344" s="144" t="str">
        <f t="shared" ref="AX344:AX354" si="676">IF(BY344="ДА",$M344,"")</f>
        <v/>
      </c>
      <c r="AY344" s="144" t="str">
        <f t="shared" ref="AY344:AY354" si="677">IF(BZ344="ДА",$M344,"")</f>
        <v/>
      </c>
      <c r="AZ344" s="201" t="str">
        <f t="shared" ref="AZ344:AZ354" si="678">IF(CA344="ДА",$M344,"")</f>
        <v/>
      </c>
      <c r="BA344" s="235"/>
      <c r="BB344" s="144" t="str">
        <f t="shared" ref="BB344:BB354" si="679">IF(CC344="ДА",$M344,"")</f>
        <v/>
      </c>
      <c r="BC344" s="144" t="str">
        <f t="shared" ref="BC344:BC354" si="680">IF(CD344="ДА",$M344,"")</f>
        <v/>
      </c>
      <c r="BD344" s="144" t="str">
        <f t="shared" ref="BD344:BD354" si="681">IF(CE344="ДА",$M344,"")</f>
        <v/>
      </c>
      <c r="BE344" s="144" t="str">
        <f t="shared" ref="BE344:BE354" si="682">IF(CF344="ДА",$M344,"")</f>
        <v/>
      </c>
      <c r="BF344" s="201" t="str">
        <f t="shared" ref="BF344:BF354" si="683">IF(CG344="ДА",$M344,"")</f>
        <v/>
      </c>
      <c r="BG344" s="144" t="str">
        <f t="shared" ref="BG344:BG354" si="684">IF(CH344="ДА",$M344,"")</f>
        <v/>
      </c>
      <c r="BH344" s="144" t="str">
        <f t="shared" ref="BH344:BH354" si="685">IF(CI344="ДА",$M344,"")</f>
        <v/>
      </c>
      <c r="BI344" s="144" t="str">
        <f t="shared" ref="BI344:BI354" si="686">IF(CJ344="ДА",$M344,"")</f>
        <v/>
      </c>
      <c r="BJ344" s="144" t="str">
        <f t="shared" ref="BJ344:BJ354" si="687">IF(CK344="ДА",$M344,"")</f>
        <v/>
      </c>
      <c r="BK344" s="201" t="str">
        <f t="shared" ref="BK344:BK354" si="688">IF(CL344="ДА",$M344,"")</f>
        <v/>
      </c>
      <c r="BL344" s="144" t="str">
        <f t="shared" ref="BL344:BL354" si="689">IF(CM344="ДА",$M344,"")</f>
        <v/>
      </c>
      <c r="BM344" s="144" t="str">
        <f t="shared" ref="BM344:BM354" si="690">IF(CN344="ДА",$M344,"")</f>
        <v/>
      </c>
      <c r="BN344" s="144" t="str">
        <f t="shared" ref="BN344:BN354" si="691">IF(CO344="ДА",$M344,"")</f>
        <v/>
      </c>
      <c r="BO344" s="144" t="str">
        <f t="shared" ref="BO344:BO354" si="692">IF(CP344="ДА",$M344,"")</f>
        <v/>
      </c>
      <c r="BP344" s="201" t="str">
        <f t="shared" ref="BP344:BP354" si="693">IF(CQ344="ДА",$M344,"")</f>
        <v/>
      </c>
      <c r="BQ344" s="209"/>
      <c r="BR344" s="388"/>
      <c r="BS344" s="37" t="s">
        <v>255</v>
      </c>
      <c r="BT344" s="37" t="s">
        <v>255</v>
      </c>
      <c r="BU344" s="37" t="s">
        <v>255</v>
      </c>
      <c r="BV344" s="37" t="s">
        <v>255</v>
      </c>
      <c r="BW344" s="37" t="s">
        <v>255</v>
      </c>
      <c r="BX344" s="37" t="s">
        <v>255</v>
      </c>
      <c r="BY344" s="37" t="s">
        <v>255</v>
      </c>
      <c r="BZ344" s="37" t="s">
        <v>255</v>
      </c>
      <c r="CA344" s="123" t="s">
        <v>255</v>
      </c>
      <c r="CB344" s="223"/>
      <c r="CC344" s="37" t="s">
        <v>255</v>
      </c>
      <c r="CD344" s="37" t="s">
        <v>255</v>
      </c>
      <c r="CE344" s="37" t="s">
        <v>255</v>
      </c>
      <c r="CF344" s="37" t="s">
        <v>255</v>
      </c>
      <c r="CG344" s="37" t="s">
        <v>255</v>
      </c>
      <c r="CH344" s="37" t="s">
        <v>255</v>
      </c>
      <c r="CI344" s="37" t="s">
        <v>255</v>
      </c>
      <c r="CJ344" s="37" t="s">
        <v>255</v>
      </c>
      <c r="CK344" s="37" t="s">
        <v>255</v>
      </c>
      <c r="CL344" s="37" t="s">
        <v>255</v>
      </c>
      <c r="CM344" s="37" t="s">
        <v>255</v>
      </c>
      <c r="CN344" s="37" t="s">
        <v>255</v>
      </c>
      <c r="CO344" s="37" t="s">
        <v>255</v>
      </c>
      <c r="CP344" s="37" t="s">
        <v>255</v>
      </c>
      <c r="CQ344" s="37" t="s">
        <v>255</v>
      </c>
      <c r="CR344" s="149" t="s">
        <v>302</v>
      </c>
    </row>
    <row r="345" spans="1:96" ht="30" outlineLevel="1" x14ac:dyDescent="0.25">
      <c r="A345" s="145" t="s">
        <v>1710</v>
      </c>
      <c r="B345" s="146" t="s">
        <v>524</v>
      </c>
      <c r="C345" s="146"/>
      <c r="D345" s="146"/>
      <c r="E345" s="146"/>
      <c r="F345" s="147" t="s">
        <v>223</v>
      </c>
      <c r="G345" s="109" t="s">
        <v>953</v>
      </c>
      <c r="H345" s="111" t="s">
        <v>1693</v>
      </c>
      <c r="I345" s="111" t="s">
        <v>1693</v>
      </c>
      <c r="J345" s="111" t="s">
        <v>1693</v>
      </c>
      <c r="K345" s="111" t="s">
        <v>1693</v>
      </c>
      <c r="L345" s="111" t="s">
        <v>1693</v>
      </c>
      <c r="M345" s="147">
        <v>5</v>
      </c>
      <c r="N345" s="144">
        <f t="shared" si="664"/>
        <v>0</v>
      </c>
      <c r="O345" s="144" t="str">
        <f t="shared" si="665"/>
        <v/>
      </c>
      <c r="P345" s="144"/>
      <c r="Q345" s="144">
        <f t="shared" si="666"/>
        <v>0</v>
      </c>
      <c r="R345" s="144" t="str">
        <f t="shared" si="667"/>
        <v/>
      </c>
      <c r="S345" s="144"/>
      <c r="T345" s="144">
        <f t="shared" si="668"/>
        <v>0</v>
      </c>
      <c r="U345" s="144" t="str">
        <f t="shared" si="669"/>
        <v/>
      </c>
      <c r="V345" s="144"/>
      <c r="W345" s="144">
        <f t="shared" si="670"/>
        <v>0</v>
      </c>
      <c r="X345" s="144" t="str">
        <f t="shared" si="671"/>
        <v/>
      </c>
      <c r="Y345" s="144"/>
      <c r="Z345" s="144">
        <f t="shared" si="672"/>
        <v>0</v>
      </c>
      <c r="AA345" s="37" t="str">
        <f t="shared" si="673"/>
        <v>НЕТ</v>
      </c>
      <c r="AB345" s="37"/>
      <c r="AC345" s="37" t="str">
        <f t="shared" si="538"/>
        <v>НЕТ</v>
      </c>
      <c r="AD345" s="37" t="str">
        <f t="shared" si="539"/>
        <v>Не требуется</v>
      </c>
      <c r="AE345" s="37"/>
      <c r="AF345" s="37" t="str">
        <f t="shared" si="540"/>
        <v>НЕТ</v>
      </c>
      <c r="AG345" s="37" t="str">
        <f t="shared" si="540"/>
        <v>НЕТ</v>
      </c>
      <c r="AH345" s="37" t="str">
        <f t="shared" si="540"/>
        <v>НЕТ</v>
      </c>
      <c r="AI345" s="37" t="str">
        <f t="shared" si="540"/>
        <v>НЕТ</v>
      </c>
      <c r="AJ345" s="37" t="str">
        <f t="shared" si="540"/>
        <v>НЕТ</v>
      </c>
      <c r="AK345" s="37" t="str">
        <f t="shared" si="540"/>
        <v>НЕТ</v>
      </c>
      <c r="AL345" s="37" t="str">
        <f t="shared" si="540"/>
        <v>НЕТ</v>
      </c>
      <c r="AM345" s="123" t="str">
        <f t="shared" si="674"/>
        <v>Не требуется</v>
      </c>
      <c r="AN345" s="37"/>
      <c r="AQ345" s="200"/>
      <c r="AR345" s="230"/>
      <c r="AS345" s="144" t="str">
        <f t="shared" si="550"/>
        <v/>
      </c>
      <c r="AT345" s="144" t="str">
        <f t="shared" si="551"/>
        <v/>
      </c>
      <c r="AU345" s="144" t="str">
        <f t="shared" si="552"/>
        <v/>
      </c>
      <c r="AV345" s="144" t="str">
        <f t="shared" si="553"/>
        <v/>
      </c>
      <c r="AW345" s="144" t="str">
        <f t="shared" si="675"/>
        <v/>
      </c>
      <c r="AX345" s="144" t="str">
        <f t="shared" si="676"/>
        <v/>
      </c>
      <c r="AY345" s="144" t="str">
        <f t="shared" si="677"/>
        <v/>
      </c>
      <c r="AZ345" s="201" t="str">
        <f t="shared" si="678"/>
        <v/>
      </c>
      <c r="BA345" s="235"/>
      <c r="BB345" s="144" t="str">
        <f t="shared" si="679"/>
        <v/>
      </c>
      <c r="BC345" s="144" t="str">
        <f t="shared" si="680"/>
        <v/>
      </c>
      <c r="BD345" s="144" t="str">
        <f t="shared" si="681"/>
        <v/>
      </c>
      <c r="BE345" s="144" t="str">
        <f t="shared" si="682"/>
        <v/>
      </c>
      <c r="BF345" s="201" t="str">
        <f t="shared" si="683"/>
        <v/>
      </c>
      <c r="BG345" s="144" t="str">
        <f t="shared" si="684"/>
        <v/>
      </c>
      <c r="BH345" s="144" t="str">
        <f t="shared" si="685"/>
        <v/>
      </c>
      <c r="BI345" s="144" t="str">
        <f t="shared" si="686"/>
        <v/>
      </c>
      <c r="BJ345" s="144" t="str">
        <f t="shared" si="687"/>
        <v/>
      </c>
      <c r="BK345" s="201" t="str">
        <f t="shared" si="688"/>
        <v/>
      </c>
      <c r="BL345" s="144" t="str">
        <f t="shared" si="689"/>
        <v/>
      </c>
      <c r="BM345" s="144" t="str">
        <f t="shared" si="690"/>
        <v/>
      </c>
      <c r="BN345" s="144" t="str">
        <f t="shared" si="691"/>
        <v/>
      </c>
      <c r="BO345" s="144" t="str">
        <f t="shared" si="692"/>
        <v/>
      </c>
      <c r="BP345" s="201" t="str">
        <f t="shared" si="693"/>
        <v/>
      </c>
      <c r="BQ345" s="209"/>
      <c r="BR345" s="388"/>
      <c r="BS345" s="37" t="s">
        <v>255</v>
      </c>
      <c r="BT345" s="37" t="s">
        <v>255</v>
      </c>
      <c r="BU345" s="37" t="s">
        <v>255</v>
      </c>
      <c r="BV345" s="37" t="s">
        <v>255</v>
      </c>
      <c r="BW345" s="37" t="s">
        <v>255</v>
      </c>
      <c r="BX345" s="37" t="s">
        <v>255</v>
      </c>
      <c r="BY345" s="37" t="s">
        <v>255</v>
      </c>
      <c r="BZ345" s="37" t="s">
        <v>255</v>
      </c>
      <c r="CA345" s="123" t="s">
        <v>255</v>
      </c>
      <c r="CB345" s="223"/>
      <c r="CC345" s="37" t="s">
        <v>255</v>
      </c>
      <c r="CD345" s="37" t="s">
        <v>255</v>
      </c>
      <c r="CE345" s="37" t="s">
        <v>255</v>
      </c>
      <c r="CF345" s="37" t="s">
        <v>255</v>
      </c>
      <c r="CG345" s="37" t="s">
        <v>255</v>
      </c>
      <c r="CH345" s="37" t="s">
        <v>255</v>
      </c>
      <c r="CI345" s="37" t="s">
        <v>255</v>
      </c>
      <c r="CJ345" s="37" t="s">
        <v>255</v>
      </c>
      <c r="CK345" s="37" t="s">
        <v>255</v>
      </c>
      <c r="CL345" s="37" t="s">
        <v>255</v>
      </c>
      <c r="CM345" s="37" t="s">
        <v>255</v>
      </c>
      <c r="CN345" s="37" t="s">
        <v>255</v>
      </c>
      <c r="CO345" s="37" t="s">
        <v>255</v>
      </c>
      <c r="CP345" s="37" t="s">
        <v>255</v>
      </c>
      <c r="CQ345" s="37" t="s">
        <v>255</v>
      </c>
      <c r="CR345" s="149" t="s">
        <v>302</v>
      </c>
    </row>
    <row r="346" spans="1:96" ht="30" outlineLevel="1" x14ac:dyDescent="0.25">
      <c r="A346" s="145" t="s">
        <v>2137</v>
      </c>
      <c r="B346" s="146" t="s">
        <v>524</v>
      </c>
      <c r="C346" s="146"/>
      <c r="D346" s="146"/>
      <c r="E346" s="146"/>
      <c r="F346" s="147" t="s">
        <v>223</v>
      </c>
      <c r="G346" s="109" t="s">
        <v>953</v>
      </c>
      <c r="H346" s="111" t="s">
        <v>1693</v>
      </c>
      <c r="I346" s="111" t="s">
        <v>1693</v>
      </c>
      <c r="J346" s="111" t="s">
        <v>1693</v>
      </c>
      <c r="K346" s="111" t="s">
        <v>1693</v>
      </c>
      <c r="L346" s="111" t="s">
        <v>1693</v>
      </c>
      <c r="M346" s="147">
        <v>5</v>
      </c>
      <c r="N346" s="144">
        <f t="shared" si="664"/>
        <v>0</v>
      </c>
      <c r="O346" s="144" t="str">
        <f t="shared" si="665"/>
        <v/>
      </c>
      <c r="P346" s="144"/>
      <c r="Q346" s="144">
        <f t="shared" si="666"/>
        <v>0</v>
      </c>
      <c r="R346" s="144" t="str">
        <f t="shared" si="667"/>
        <v/>
      </c>
      <c r="S346" s="144"/>
      <c r="T346" s="144">
        <f t="shared" si="668"/>
        <v>0</v>
      </c>
      <c r="U346" s="144" t="str">
        <f t="shared" si="669"/>
        <v/>
      </c>
      <c r="V346" s="144"/>
      <c r="W346" s="144">
        <f t="shared" si="670"/>
        <v>0</v>
      </c>
      <c r="X346" s="144" t="str">
        <f t="shared" si="671"/>
        <v/>
      </c>
      <c r="Y346" s="144"/>
      <c r="Z346" s="144">
        <f t="shared" si="672"/>
        <v>0</v>
      </c>
      <c r="AA346" s="37" t="str">
        <f t="shared" si="673"/>
        <v>НЕТ</v>
      </c>
      <c r="AB346" s="37"/>
      <c r="AC346" s="37" t="str">
        <f t="shared" si="538"/>
        <v>НЕТ</v>
      </c>
      <c r="AD346" s="37" t="str">
        <f t="shared" si="539"/>
        <v>Не требуется</v>
      </c>
      <c r="AE346" s="37"/>
      <c r="AF346" s="37" t="str">
        <f t="shared" si="540"/>
        <v>НЕТ</v>
      </c>
      <c r="AG346" s="37" t="str">
        <f t="shared" si="540"/>
        <v>НЕТ</v>
      </c>
      <c r="AH346" s="37" t="str">
        <f t="shared" si="540"/>
        <v>НЕТ</v>
      </c>
      <c r="AI346" s="37" t="str">
        <f t="shared" si="540"/>
        <v>НЕТ</v>
      </c>
      <c r="AJ346" s="37" t="str">
        <f t="shared" si="540"/>
        <v>НЕТ</v>
      </c>
      <c r="AK346" s="37" t="str">
        <f t="shared" si="540"/>
        <v>НЕТ</v>
      </c>
      <c r="AL346" s="37" t="str">
        <f t="shared" si="540"/>
        <v>НЕТ</v>
      </c>
      <c r="AM346" s="123" t="str">
        <f t="shared" si="674"/>
        <v>Не требуется</v>
      </c>
      <c r="AN346" s="37"/>
      <c r="AQ346" s="200"/>
      <c r="AR346" s="230"/>
      <c r="AS346" s="144" t="str">
        <f t="shared" si="550"/>
        <v/>
      </c>
      <c r="AT346" s="144" t="str">
        <f t="shared" si="551"/>
        <v/>
      </c>
      <c r="AU346" s="144" t="str">
        <f t="shared" si="552"/>
        <v/>
      </c>
      <c r="AV346" s="144" t="str">
        <f t="shared" si="553"/>
        <v/>
      </c>
      <c r="AW346" s="144" t="str">
        <f t="shared" si="675"/>
        <v/>
      </c>
      <c r="AX346" s="144" t="str">
        <f t="shared" si="676"/>
        <v/>
      </c>
      <c r="AY346" s="144" t="str">
        <f t="shared" si="677"/>
        <v/>
      </c>
      <c r="AZ346" s="201" t="str">
        <f t="shared" si="678"/>
        <v/>
      </c>
      <c r="BA346" s="235"/>
      <c r="BB346" s="144" t="str">
        <f t="shared" si="679"/>
        <v/>
      </c>
      <c r="BC346" s="144" t="str">
        <f t="shared" si="680"/>
        <v/>
      </c>
      <c r="BD346" s="144" t="str">
        <f t="shared" si="681"/>
        <v/>
      </c>
      <c r="BE346" s="144" t="str">
        <f t="shared" si="682"/>
        <v/>
      </c>
      <c r="BF346" s="201" t="str">
        <f t="shared" si="683"/>
        <v/>
      </c>
      <c r="BG346" s="144" t="str">
        <f t="shared" si="684"/>
        <v/>
      </c>
      <c r="BH346" s="144" t="str">
        <f t="shared" si="685"/>
        <v/>
      </c>
      <c r="BI346" s="144" t="str">
        <f t="shared" si="686"/>
        <v/>
      </c>
      <c r="BJ346" s="144" t="str">
        <f t="shared" si="687"/>
        <v/>
      </c>
      <c r="BK346" s="201" t="str">
        <f t="shared" si="688"/>
        <v/>
      </c>
      <c r="BL346" s="144" t="str">
        <f t="shared" si="689"/>
        <v/>
      </c>
      <c r="BM346" s="144" t="str">
        <f t="shared" si="690"/>
        <v/>
      </c>
      <c r="BN346" s="144" t="str">
        <f t="shared" si="691"/>
        <v/>
      </c>
      <c r="BO346" s="144" t="str">
        <f t="shared" si="692"/>
        <v/>
      </c>
      <c r="BP346" s="201" t="str">
        <f t="shared" si="693"/>
        <v/>
      </c>
      <c r="BQ346" s="209"/>
      <c r="BR346" s="388"/>
      <c r="BS346" s="37" t="s">
        <v>255</v>
      </c>
      <c r="BT346" s="37" t="s">
        <v>255</v>
      </c>
      <c r="BU346" s="37" t="s">
        <v>255</v>
      </c>
      <c r="BV346" s="37" t="s">
        <v>255</v>
      </c>
      <c r="BW346" s="37" t="s">
        <v>255</v>
      </c>
      <c r="BX346" s="37" t="s">
        <v>255</v>
      </c>
      <c r="BY346" s="37" t="s">
        <v>255</v>
      </c>
      <c r="BZ346" s="37" t="s">
        <v>255</v>
      </c>
      <c r="CA346" s="123" t="s">
        <v>255</v>
      </c>
      <c r="CB346" s="223"/>
      <c r="CC346" s="37" t="s">
        <v>255</v>
      </c>
      <c r="CD346" s="37" t="s">
        <v>255</v>
      </c>
      <c r="CE346" s="37" t="s">
        <v>255</v>
      </c>
      <c r="CF346" s="37" t="s">
        <v>255</v>
      </c>
      <c r="CG346" s="37" t="s">
        <v>255</v>
      </c>
      <c r="CH346" s="37" t="s">
        <v>255</v>
      </c>
      <c r="CI346" s="37" t="s">
        <v>255</v>
      </c>
      <c r="CJ346" s="37" t="s">
        <v>255</v>
      </c>
      <c r="CK346" s="37" t="s">
        <v>255</v>
      </c>
      <c r="CL346" s="37" t="s">
        <v>255</v>
      </c>
      <c r="CM346" s="37" t="s">
        <v>255</v>
      </c>
      <c r="CN346" s="37" t="s">
        <v>255</v>
      </c>
      <c r="CO346" s="37" t="s">
        <v>255</v>
      </c>
      <c r="CP346" s="37" t="s">
        <v>255</v>
      </c>
      <c r="CQ346" s="37" t="s">
        <v>255</v>
      </c>
      <c r="CR346" s="149" t="s">
        <v>302</v>
      </c>
    </row>
    <row r="347" spans="1:96" ht="30" outlineLevel="1" x14ac:dyDescent="0.25">
      <c r="A347" s="145" t="s">
        <v>2138</v>
      </c>
      <c r="B347" s="146" t="s">
        <v>524</v>
      </c>
      <c r="C347" s="146"/>
      <c r="D347" s="146"/>
      <c r="E347" s="146"/>
      <c r="F347" s="147" t="s">
        <v>223</v>
      </c>
      <c r="G347" s="109" t="s">
        <v>953</v>
      </c>
      <c r="H347" s="111" t="s">
        <v>1693</v>
      </c>
      <c r="I347" s="111" t="s">
        <v>1693</v>
      </c>
      <c r="J347" s="111" t="s">
        <v>1693</v>
      </c>
      <c r="K347" s="111" t="s">
        <v>1693</v>
      </c>
      <c r="L347" s="111" t="s">
        <v>1693</v>
      </c>
      <c r="M347" s="147">
        <v>5</v>
      </c>
      <c r="N347" s="144">
        <f t="shared" si="664"/>
        <v>0</v>
      </c>
      <c r="O347" s="144" t="str">
        <f t="shared" si="665"/>
        <v/>
      </c>
      <c r="P347" s="144"/>
      <c r="Q347" s="144">
        <f t="shared" si="666"/>
        <v>0</v>
      </c>
      <c r="R347" s="144" t="str">
        <f t="shared" si="667"/>
        <v/>
      </c>
      <c r="S347" s="144"/>
      <c r="T347" s="144">
        <f t="shared" si="668"/>
        <v>0</v>
      </c>
      <c r="U347" s="144" t="str">
        <f t="shared" si="669"/>
        <v/>
      </c>
      <c r="V347" s="144"/>
      <c r="W347" s="144">
        <f t="shared" si="670"/>
        <v>0</v>
      </c>
      <c r="X347" s="144" t="str">
        <f t="shared" si="671"/>
        <v/>
      </c>
      <c r="Y347" s="144"/>
      <c r="Z347" s="144">
        <f t="shared" si="672"/>
        <v>0</v>
      </c>
      <c r="AA347" s="37" t="str">
        <f t="shared" si="673"/>
        <v>НЕТ</v>
      </c>
      <c r="AB347" s="37"/>
      <c r="AC347" s="37" t="str">
        <f t="shared" si="538"/>
        <v>НЕТ</v>
      </c>
      <c r="AD347" s="37" t="str">
        <f t="shared" si="539"/>
        <v>Не требуется</v>
      </c>
      <c r="AE347" s="37"/>
      <c r="AF347" s="37" t="str">
        <f t="shared" si="540"/>
        <v>НЕТ</v>
      </c>
      <c r="AG347" s="37" t="str">
        <f t="shared" si="540"/>
        <v>НЕТ</v>
      </c>
      <c r="AH347" s="37" t="str">
        <f t="shared" si="540"/>
        <v>НЕТ</v>
      </c>
      <c r="AI347" s="37" t="str">
        <f t="shared" si="540"/>
        <v>НЕТ</v>
      </c>
      <c r="AJ347" s="37" t="str">
        <f t="shared" si="540"/>
        <v>НЕТ</v>
      </c>
      <c r="AK347" s="37" t="str">
        <f t="shared" si="540"/>
        <v>НЕТ</v>
      </c>
      <c r="AL347" s="37" t="str">
        <f t="shared" si="540"/>
        <v>НЕТ</v>
      </c>
      <c r="AM347" s="123" t="str">
        <f t="shared" si="674"/>
        <v>Не требуется</v>
      </c>
      <c r="AN347" s="37"/>
      <c r="AQ347" s="200"/>
      <c r="AR347" s="230"/>
      <c r="AS347" s="144" t="str">
        <f t="shared" si="550"/>
        <v/>
      </c>
      <c r="AT347" s="144" t="str">
        <f t="shared" si="551"/>
        <v/>
      </c>
      <c r="AU347" s="144" t="str">
        <f t="shared" si="552"/>
        <v/>
      </c>
      <c r="AV347" s="144" t="str">
        <f t="shared" si="553"/>
        <v/>
      </c>
      <c r="AW347" s="144" t="str">
        <f t="shared" si="675"/>
        <v/>
      </c>
      <c r="AX347" s="144" t="str">
        <f t="shared" si="676"/>
        <v/>
      </c>
      <c r="AY347" s="144" t="str">
        <f t="shared" si="677"/>
        <v/>
      </c>
      <c r="AZ347" s="201" t="str">
        <f t="shared" si="678"/>
        <v/>
      </c>
      <c r="BA347" s="235"/>
      <c r="BB347" s="144" t="str">
        <f t="shared" si="679"/>
        <v/>
      </c>
      <c r="BC347" s="144" t="str">
        <f t="shared" si="680"/>
        <v/>
      </c>
      <c r="BD347" s="144" t="str">
        <f t="shared" si="681"/>
        <v/>
      </c>
      <c r="BE347" s="144" t="str">
        <f t="shared" si="682"/>
        <v/>
      </c>
      <c r="BF347" s="201" t="str">
        <f t="shared" si="683"/>
        <v/>
      </c>
      <c r="BG347" s="144" t="str">
        <f t="shared" si="684"/>
        <v/>
      </c>
      <c r="BH347" s="144" t="str">
        <f t="shared" si="685"/>
        <v/>
      </c>
      <c r="BI347" s="144" t="str">
        <f t="shared" si="686"/>
        <v/>
      </c>
      <c r="BJ347" s="144" t="str">
        <f t="shared" si="687"/>
        <v/>
      </c>
      <c r="BK347" s="201" t="str">
        <f t="shared" si="688"/>
        <v/>
      </c>
      <c r="BL347" s="144" t="str">
        <f t="shared" si="689"/>
        <v/>
      </c>
      <c r="BM347" s="144" t="str">
        <f t="shared" si="690"/>
        <v/>
      </c>
      <c r="BN347" s="144" t="str">
        <f t="shared" si="691"/>
        <v/>
      </c>
      <c r="BO347" s="144" t="str">
        <f t="shared" si="692"/>
        <v/>
      </c>
      <c r="BP347" s="201" t="str">
        <f t="shared" si="693"/>
        <v/>
      </c>
      <c r="BQ347" s="209"/>
      <c r="BR347" s="388"/>
      <c r="BS347" s="37" t="s">
        <v>255</v>
      </c>
      <c r="BT347" s="37" t="s">
        <v>255</v>
      </c>
      <c r="BU347" s="37" t="s">
        <v>255</v>
      </c>
      <c r="BV347" s="37" t="s">
        <v>255</v>
      </c>
      <c r="BW347" s="37" t="s">
        <v>255</v>
      </c>
      <c r="BX347" s="37" t="s">
        <v>255</v>
      </c>
      <c r="BY347" s="37" t="s">
        <v>255</v>
      </c>
      <c r="BZ347" s="37" t="s">
        <v>255</v>
      </c>
      <c r="CA347" s="123" t="s">
        <v>255</v>
      </c>
      <c r="CB347" s="223"/>
      <c r="CC347" s="37" t="s">
        <v>255</v>
      </c>
      <c r="CD347" s="37" t="s">
        <v>255</v>
      </c>
      <c r="CE347" s="37" t="s">
        <v>255</v>
      </c>
      <c r="CF347" s="37" t="s">
        <v>255</v>
      </c>
      <c r="CG347" s="37" t="s">
        <v>255</v>
      </c>
      <c r="CH347" s="37" t="s">
        <v>255</v>
      </c>
      <c r="CI347" s="37" t="s">
        <v>255</v>
      </c>
      <c r="CJ347" s="37" t="s">
        <v>255</v>
      </c>
      <c r="CK347" s="37" t="s">
        <v>255</v>
      </c>
      <c r="CL347" s="37" t="s">
        <v>255</v>
      </c>
      <c r="CM347" s="37" t="s">
        <v>255</v>
      </c>
      <c r="CN347" s="37" t="s">
        <v>255</v>
      </c>
      <c r="CO347" s="37" t="s">
        <v>255</v>
      </c>
      <c r="CP347" s="37" t="s">
        <v>255</v>
      </c>
      <c r="CQ347" s="37" t="s">
        <v>255</v>
      </c>
      <c r="CR347" s="149" t="s">
        <v>302</v>
      </c>
    </row>
    <row r="348" spans="1:96" ht="30" outlineLevel="1" x14ac:dyDescent="0.25">
      <c r="A348" s="112" t="s">
        <v>2139</v>
      </c>
      <c r="B348" s="121" t="s">
        <v>521</v>
      </c>
      <c r="C348" s="121"/>
      <c r="D348" s="121"/>
      <c r="E348" s="121"/>
      <c r="F348" s="34" t="s">
        <v>225</v>
      </c>
      <c r="G348" s="120" t="s">
        <v>579</v>
      </c>
      <c r="H348" s="111" t="s">
        <v>1693</v>
      </c>
      <c r="I348" s="111" t="s">
        <v>1693</v>
      </c>
      <c r="J348" s="111" t="s">
        <v>1693</v>
      </c>
      <c r="K348" s="111" t="s">
        <v>1693</v>
      </c>
      <c r="L348" s="111" t="s">
        <v>1693</v>
      </c>
      <c r="M348" s="34">
        <v>10</v>
      </c>
      <c r="N348" s="144">
        <f t="shared" si="664"/>
        <v>0</v>
      </c>
      <c r="O348" s="144" t="str">
        <f t="shared" si="665"/>
        <v/>
      </c>
      <c r="P348" s="144"/>
      <c r="Q348" s="144">
        <f t="shared" si="666"/>
        <v>0</v>
      </c>
      <c r="R348" s="144" t="str">
        <f t="shared" si="667"/>
        <v/>
      </c>
      <c r="S348" s="144"/>
      <c r="T348" s="144">
        <f t="shared" si="668"/>
        <v>0</v>
      </c>
      <c r="U348" s="144" t="str">
        <f t="shared" si="669"/>
        <v/>
      </c>
      <c r="V348" s="144"/>
      <c r="W348" s="144">
        <f t="shared" si="670"/>
        <v>0</v>
      </c>
      <c r="X348" s="144" t="str">
        <f t="shared" si="671"/>
        <v/>
      </c>
      <c r="Y348" s="144"/>
      <c r="Z348" s="144">
        <f t="shared" si="672"/>
        <v>0</v>
      </c>
      <c r="AA348" s="37" t="str">
        <f t="shared" si="673"/>
        <v>НЕТ</v>
      </c>
      <c r="AB348" s="37"/>
      <c r="AC348" s="37" t="str">
        <f t="shared" si="538"/>
        <v>НЕТ</v>
      </c>
      <c r="AD348" s="37" t="str">
        <f t="shared" si="539"/>
        <v>Не требуется</v>
      </c>
      <c r="AE348" s="37"/>
      <c r="AF348" s="37" t="str">
        <f t="shared" si="540"/>
        <v>НЕТ</v>
      </c>
      <c r="AG348" s="37" t="str">
        <f t="shared" si="540"/>
        <v>НЕТ</v>
      </c>
      <c r="AH348" s="37" t="str">
        <f t="shared" si="540"/>
        <v>НЕТ</v>
      </c>
      <c r="AI348" s="37" t="str">
        <f t="shared" si="540"/>
        <v>НЕТ</v>
      </c>
      <c r="AJ348" s="37" t="str">
        <f t="shared" si="540"/>
        <v>НЕТ</v>
      </c>
      <c r="AK348" s="37" t="str">
        <f t="shared" si="540"/>
        <v>НЕТ</v>
      </c>
      <c r="AL348" s="37" t="str">
        <f t="shared" si="540"/>
        <v>НЕТ</v>
      </c>
      <c r="AM348" s="123" t="str">
        <f t="shared" si="674"/>
        <v>Не требуется</v>
      </c>
      <c r="AN348" s="37"/>
      <c r="AQ348" s="200"/>
      <c r="AR348" s="230"/>
      <c r="AS348" s="144" t="str">
        <f t="shared" si="550"/>
        <v/>
      </c>
      <c r="AT348" s="144" t="str">
        <f t="shared" si="551"/>
        <v/>
      </c>
      <c r="AU348" s="144" t="str">
        <f t="shared" si="552"/>
        <v/>
      </c>
      <c r="AV348" s="144" t="str">
        <f t="shared" si="553"/>
        <v/>
      </c>
      <c r="AW348" s="144" t="str">
        <f t="shared" si="675"/>
        <v/>
      </c>
      <c r="AX348" s="144" t="str">
        <f t="shared" si="676"/>
        <v/>
      </c>
      <c r="AY348" s="144" t="str">
        <f t="shared" si="677"/>
        <v/>
      </c>
      <c r="AZ348" s="201" t="str">
        <f t="shared" si="678"/>
        <v/>
      </c>
      <c r="BA348" s="235"/>
      <c r="BB348" s="144" t="str">
        <f t="shared" si="679"/>
        <v/>
      </c>
      <c r="BC348" s="144" t="str">
        <f t="shared" si="680"/>
        <v/>
      </c>
      <c r="BD348" s="144" t="str">
        <f t="shared" si="681"/>
        <v/>
      </c>
      <c r="BE348" s="144" t="str">
        <f t="shared" si="682"/>
        <v/>
      </c>
      <c r="BF348" s="201" t="str">
        <f t="shared" si="683"/>
        <v/>
      </c>
      <c r="BG348" s="144" t="str">
        <f t="shared" si="684"/>
        <v/>
      </c>
      <c r="BH348" s="144" t="str">
        <f t="shared" si="685"/>
        <v/>
      </c>
      <c r="BI348" s="144" t="str">
        <f t="shared" si="686"/>
        <v/>
      </c>
      <c r="BJ348" s="144" t="str">
        <f t="shared" si="687"/>
        <v/>
      </c>
      <c r="BK348" s="201" t="str">
        <f t="shared" si="688"/>
        <v/>
      </c>
      <c r="BL348" s="144" t="str">
        <f t="shared" si="689"/>
        <v/>
      </c>
      <c r="BM348" s="144" t="str">
        <f t="shared" si="690"/>
        <v/>
      </c>
      <c r="BN348" s="144" t="str">
        <f t="shared" si="691"/>
        <v/>
      </c>
      <c r="BO348" s="144" t="str">
        <f t="shared" si="692"/>
        <v/>
      </c>
      <c r="BP348" s="201" t="str">
        <f t="shared" si="693"/>
        <v/>
      </c>
      <c r="BQ348" s="209"/>
      <c r="BR348" s="388"/>
      <c r="BS348" s="37" t="s">
        <v>255</v>
      </c>
      <c r="BT348" s="37" t="s">
        <v>255</v>
      </c>
      <c r="BU348" s="37" t="s">
        <v>255</v>
      </c>
      <c r="BV348" s="37" t="s">
        <v>255</v>
      </c>
      <c r="BW348" s="37" t="s">
        <v>255</v>
      </c>
      <c r="BX348" s="37" t="s">
        <v>255</v>
      </c>
      <c r="BY348" s="37" t="s">
        <v>255</v>
      </c>
      <c r="BZ348" s="37" t="s">
        <v>255</v>
      </c>
      <c r="CA348" s="123" t="s">
        <v>255</v>
      </c>
      <c r="CB348" s="223"/>
      <c r="CC348" s="37" t="s">
        <v>255</v>
      </c>
      <c r="CD348" s="37" t="s">
        <v>255</v>
      </c>
      <c r="CE348" s="37" t="s">
        <v>255</v>
      </c>
      <c r="CF348" s="37" t="s">
        <v>255</v>
      </c>
      <c r="CG348" s="37" t="s">
        <v>255</v>
      </c>
      <c r="CH348" s="37" t="s">
        <v>255</v>
      </c>
      <c r="CI348" s="37" t="s">
        <v>255</v>
      </c>
      <c r="CJ348" s="37" t="s">
        <v>255</v>
      </c>
      <c r="CK348" s="37" t="s">
        <v>255</v>
      </c>
      <c r="CL348" s="37" t="s">
        <v>255</v>
      </c>
      <c r="CM348" s="37" t="s">
        <v>255</v>
      </c>
      <c r="CN348" s="37" t="s">
        <v>255</v>
      </c>
      <c r="CO348" s="37" t="s">
        <v>255</v>
      </c>
      <c r="CP348" s="37" t="s">
        <v>255</v>
      </c>
      <c r="CQ348" s="37" t="s">
        <v>255</v>
      </c>
      <c r="CR348" s="149" t="s">
        <v>302</v>
      </c>
    </row>
    <row r="349" spans="1:96" ht="30" outlineLevel="1" x14ac:dyDescent="0.25">
      <c r="A349" s="112" t="s">
        <v>2140</v>
      </c>
      <c r="B349" s="121" t="s">
        <v>521</v>
      </c>
      <c r="C349" s="121"/>
      <c r="D349" s="121"/>
      <c r="E349" s="121"/>
      <c r="F349" s="34" t="s">
        <v>225</v>
      </c>
      <c r="G349" s="120" t="s">
        <v>579</v>
      </c>
      <c r="H349" s="111" t="s">
        <v>1693</v>
      </c>
      <c r="I349" s="111" t="s">
        <v>1693</v>
      </c>
      <c r="J349" s="111" t="s">
        <v>1693</v>
      </c>
      <c r="K349" s="111" t="s">
        <v>1693</v>
      </c>
      <c r="L349" s="111" t="s">
        <v>1693</v>
      </c>
      <c r="M349" s="34">
        <v>10</v>
      </c>
      <c r="N349" s="144">
        <f t="shared" si="664"/>
        <v>0</v>
      </c>
      <c r="O349" s="144" t="str">
        <f t="shared" si="665"/>
        <v/>
      </c>
      <c r="P349" s="144"/>
      <c r="Q349" s="144">
        <f t="shared" si="666"/>
        <v>0</v>
      </c>
      <c r="R349" s="144" t="str">
        <f t="shared" si="667"/>
        <v/>
      </c>
      <c r="S349" s="144"/>
      <c r="T349" s="144">
        <f t="shared" si="668"/>
        <v>0</v>
      </c>
      <c r="U349" s="144" t="str">
        <f t="shared" si="669"/>
        <v/>
      </c>
      <c r="V349" s="144"/>
      <c r="W349" s="144">
        <f t="shared" si="670"/>
        <v>0</v>
      </c>
      <c r="X349" s="144" t="str">
        <f t="shared" si="671"/>
        <v/>
      </c>
      <c r="Y349" s="144"/>
      <c r="Z349" s="144">
        <f t="shared" si="672"/>
        <v>0</v>
      </c>
      <c r="AA349" s="37" t="str">
        <f t="shared" si="673"/>
        <v>НЕТ</v>
      </c>
      <c r="AB349" s="37"/>
      <c r="AC349" s="37" t="str">
        <f t="shared" si="538"/>
        <v>НЕТ</v>
      </c>
      <c r="AD349" s="37" t="str">
        <f t="shared" si="539"/>
        <v>Не требуется</v>
      </c>
      <c r="AE349" s="37"/>
      <c r="AF349" s="37" t="str">
        <f t="shared" si="540"/>
        <v>НЕТ</v>
      </c>
      <c r="AG349" s="37" t="str">
        <f t="shared" si="540"/>
        <v>НЕТ</v>
      </c>
      <c r="AH349" s="37" t="str">
        <f t="shared" si="540"/>
        <v>НЕТ</v>
      </c>
      <c r="AI349" s="37" t="str">
        <f t="shared" si="540"/>
        <v>НЕТ</v>
      </c>
      <c r="AJ349" s="37" t="str">
        <f t="shared" si="540"/>
        <v>НЕТ</v>
      </c>
      <c r="AK349" s="37" t="str">
        <f t="shared" si="540"/>
        <v>НЕТ</v>
      </c>
      <c r="AL349" s="37" t="str">
        <f t="shared" si="540"/>
        <v>НЕТ</v>
      </c>
      <c r="AM349" s="123" t="str">
        <f t="shared" si="674"/>
        <v>Не требуется</v>
      </c>
      <c r="AN349" s="37"/>
      <c r="AQ349" s="200"/>
      <c r="AR349" s="230"/>
      <c r="AS349" s="144" t="str">
        <f t="shared" si="550"/>
        <v/>
      </c>
      <c r="AT349" s="144" t="str">
        <f t="shared" si="551"/>
        <v/>
      </c>
      <c r="AU349" s="144" t="str">
        <f t="shared" si="552"/>
        <v/>
      </c>
      <c r="AV349" s="144" t="str">
        <f t="shared" si="553"/>
        <v/>
      </c>
      <c r="AW349" s="144" t="str">
        <f t="shared" si="675"/>
        <v/>
      </c>
      <c r="AX349" s="144" t="str">
        <f t="shared" si="676"/>
        <v/>
      </c>
      <c r="AY349" s="144" t="str">
        <f t="shared" si="677"/>
        <v/>
      </c>
      <c r="AZ349" s="201" t="str">
        <f t="shared" si="678"/>
        <v/>
      </c>
      <c r="BA349" s="235"/>
      <c r="BB349" s="144" t="str">
        <f t="shared" si="679"/>
        <v/>
      </c>
      <c r="BC349" s="144" t="str">
        <f t="shared" si="680"/>
        <v/>
      </c>
      <c r="BD349" s="144" t="str">
        <f t="shared" si="681"/>
        <v/>
      </c>
      <c r="BE349" s="144" t="str">
        <f t="shared" si="682"/>
        <v/>
      </c>
      <c r="BF349" s="201" t="str">
        <f t="shared" si="683"/>
        <v/>
      </c>
      <c r="BG349" s="144" t="str">
        <f t="shared" si="684"/>
        <v/>
      </c>
      <c r="BH349" s="144" t="str">
        <f t="shared" si="685"/>
        <v/>
      </c>
      <c r="BI349" s="144" t="str">
        <f t="shared" si="686"/>
        <v/>
      </c>
      <c r="BJ349" s="144" t="str">
        <f t="shared" si="687"/>
        <v/>
      </c>
      <c r="BK349" s="201" t="str">
        <f t="shared" si="688"/>
        <v/>
      </c>
      <c r="BL349" s="144" t="str">
        <f t="shared" si="689"/>
        <v/>
      </c>
      <c r="BM349" s="144" t="str">
        <f t="shared" si="690"/>
        <v/>
      </c>
      <c r="BN349" s="144" t="str">
        <f t="shared" si="691"/>
        <v/>
      </c>
      <c r="BO349" s="144" t="str">
        <f t="shared" si="692"/>
        <v/>
      </c>
      <c r="BP349" s="201" t="str">
        <f t="shared" si="693"/>
        <v/>
      </c>
      <c r="BQ349" s="209"/>
      <c r="BR349" s="388"/>
      <c r="BS349" s="37" t="s">
        <v>255</v>
      </c>
      <c r="BT349" s="37" t="s">
        <v>255</v>
      </c>
      <c r="BU349" s="37" t="s">
        <v>255</v>
      </c>
      <c r="BV349" s="37" t="s">
        <v>255</v>
      </c>
      <c r="BW349" s="37" t="s">
        <v>255</v>
      </c>
      <c r="BX349" s="37" t="s">
        <v>255</v>
      </c>
      <c r="BY349" s="37" t="s">
        <v>255</v>
      </c>
      <c r="BZ349" s="37" t="s">
        <v>255</v>
      </c>
      <c r="CA349" s="123" t="s">
        <v>255</v>
      </c>
      <c r="CB349" s="223"/>
      <c r="CC349" s="37" t="s">
        <v>255</v>
      </c>
      <c r="CD349" s="37" t="s">
        <v>255</v>
      </c>
      <c r="CE349" s="37" t="s">
        <v>255</v>
      </c>
      <c r="CF349" s="37" t="s">
        <v>255</v>
      </c>
      <c r="CG349" s="37" t="s">
        <v>255</v>
      </c>
      <c r="CH349" s="37" t="s">
        <v>255</v>
      </c>
      <c r="CI349" s="37" t="s">
        <v>255</v>
      </c>
      <c r="CJ349" s="37" t="s">
        <v>255</v>
      </c>
      <c r="CK349" s="37" t="s">
        <v>255</v>
      </c>
      <c r="CL349" s="37" t="s">
        <v>255</v>
      </c>
      <c r="CM349" s="37" t="s">
        <v>255</v>
      </c>
      <c r="CN349" s="37" t="s">
        <v>255</v>
      </c>
      <c r="CO349" s="37" t="s">
        <v>255</v>
      </c>
      <c r="CP349" s="37" t="s">
        <v>255</v>
      </c>
      <c r="CQ349" s="37" t="s">
        <v>255</v>
      </c>
      <c r="CR349" s="149" t="s">
        <v>302</v>
      </c>
    </row>
    <row r="350" spans="1:96" ht="30" outlineLevel="1" x14ac:dyDescent="0.25">
      <c r="A350" s="112" t="s">
        <v>2141</v>
      </c>
      <c r="B350" s="121" t="s">
        <v>521</v>
      </c>
      <c r="C350" s="121"/>
      <c r="D350" s="121"/>
      <c r="E350" s="121"/>
      <c r="F350" s="34" t="s">
        <v>225</v>
      </c>
      <c r="G350" s="120" t="s">
        <v>579</v>
      </c>
      <c r="H350" s="111" t="s">
        <v>1693</v>
      </c>
      <c r="I350" s="111" t="s">
        <v>1693</v>
      </c>
      <c r="J350" s="111" t="s">
        <v>1693</v>
      </c>
      <c r="K350" s="111" t="s">
        <v>1693</v>
      </c>
      <c r="L350" s="111" t="s">
        <v>1693</v>
      </c>
      <c r="M350" s="34">
        <v>10</v>
      </c>
      <c r="N350" s="144">
        <f t="shared" si="664"/>
        <v>0</v>
      </c>
      <c r="O350" s="144" t="str">
        <f t="shared" si="665"/>
        <v/>
      </c>
      <c r="P350" s="144"/>
      <c r="Q350" s="144">
        <f t="shared" si="666"/>
        <v>0</v>
      </c>
      <c r="R350" s="144" t="str">
        <f t="shared" si="667"/>
        <v/>
      </c>
      <c r="S350" s="144"/>
      <c r="T350" s="144">
        <f t="shared" si="668"/>
        <v>0</v>
      </c>
      <c r="U350" s="144" t="str">
        <f t="shared" si="669"/>
        <v/>
      </c>
      <c r="V350" s="144"/>
      <c r="W350" s="144">
        <f t="shared" si="670"/>
        <v>0</v>
      </c>
      <c r="X350" s="144" t="str">
        <f t="shared" si="671"/>
        <v/>
      </c>
      <c r="Y350" s="144"/>
      <c r="Z350" s="144">
        <f t="shared" si="672"/>
        <v>0</v>
      </c>
      <c r="AA350" s="37" t="str">
        <f t="shared" si="673"/>
        <v>НЕТ</v>
      </c>
      <c r="AB350" s="37"/>
      <c r="AC350" s="37" t="str">
        <f t="shared" si="538"/>
        <v>НЕТ</v>
      </c>
      <c r="AD350" s="37" t="str">
        <f t="shared" si="539"/>
        <v>Не требуется</v>
      </c>
      <c r="AE350" s="37"/>
      <c r="AF350" s="37" t="str">
        <f t="shared" si="540"/>
        <v>НЕТ</v>
      </c>
      <c r="AG350" s="37" t="str">
        <f t="shared" si="540"/>
        <v>НЕТ</v>
      </c>
      <c r="AH350" s="37" t="str">
        <f t="shared" si="540"/>
        <v>НЕТ</v>
      </c>
      <c r="AI350" s="37" t="str">
        <f t="shared" si="540"/>
        <v>НЕТ</v>
      </c>
      <c r="AJ350" s="37" t="str">
        <f t="shared" si="540"/>
        <v>НЕТ</v>
      </c>
      <c r="AK350" s="37" t="str">
        <f t="shared" si="540"/>
        <v>НЕТ</v>
      </c>
      <c r="AL350" s="37" t="str">
        <f t="shared" si="540"/>
        <v>НЕТ</v>
      </c>
      <c r="AM350" s="123" t="str">
        <f t="shared" si="674"/>
        <v>Не требуется</v>
      </c>
      <c r="AN350" s="37"/>
      <c r="AQ350" s="200"/>
      <c r="AR350" s="230"/>
      <c r="AS350" s="144" t="str">
        <f t="shared" si="550"/>
        <v/>
      </c>
      <c r="AT350" s="144" t="str">
        <f t="shared" si="551"/>
        <v/>
      </c>
      <c r="AU350" s="144" t="str">
        <f t="shared" si="552"/>
        <v/>
      </c>
      <c r="AV350" s="144" t="str">
        <f t="shared" si="553"/>
        <v/>
      </c>
      <c r="AW350" s="144" t="str">
        <f t="shared" si="675"/>
        <v/>
      </c>
      <c r="AX350" s="144" t="str">
        <f t="shared" si="676"/>
        <v/>
      </c>
      <c r="AY350" s="144" t="str">
        <f t="shared" si="677"/>
        <v/>
      </c>
      <c r="AZ350" s="201" t="str">
        <f t="shared" si="678"/>
        <v/>
      </c>
      <c r="BA350" s="235"/>
      <c r="BB350" s="144" t="str">
        <f t="shared" si="679"/>
        <v/>
      </c>
      <c r="BC350" s="144" t="str">
        <f t="shared" si="680"/>
        <v/>
      </c>
      <c r="BD350" s="144" t="str">
        <f t="shared" si="681"/>
        <v/>
      </c>
      <c r="BE350" s="144" t="str">
        <f t="shared" si="682"/>
        <v/>
      </c>
      <c r="BF350" s="201" t="str">
        <f t="shared" si="683"/>
        <v/>
      </c>
      <c r="BG350" s="144" t="str">
        <f t="shared" si="684"/>
        <v/>
      </c>
      <c r="BH350" s="144" t="str">
        <f t="shared" si="685"/>
        <v/>
      </c>
      <c r="BI350" s="144" t="str">
        <f t="shared" si="686"/>
        <v/>
      </c>
      <c r="BJ350" s="144" t="str">
        <f t="shared" si="687"/>
        <v/>
      </c>
      <c r="BK350" s="201" t="str">
        <f t="shared" si="688"/>
        <v/>
      </c>
      <c r="BL350" s="144" t="str">
        <f t="shared" si="689"/>
        <v/>
      </c>
      <c r="BM350" s="144" t="str">
        <f t="shared" si="690"/>
        <v/>
      </c>
      <c r="BN350" s="144" t="str">
        <f t="shared" si="691"/>
        <v/>
      </c>
      <c r="BO350" s="144" t="str">
        <f t="shared" si="692"/>
        <v/>
      </c>
      <c r="BP350" s="201" t="str">
        <f t="shared" si="693"/>
        <v/>
      </c>
      <c r="BQ350" s="209"/>
      <c r="BR350" s="388"/>
      <c r="BS350" s="37" t="s">
        <v>255</v>
      </c>
      <c r="BT350" s="37" t="s">
        <v>255</v>
      </c>
      <c r="BU350" s="37" t="s">
        <v>255</v>
      </c>
      <c r="BV350" s="37" t="s">
        <v>255</v>
      </c>
      <c r="BW350" s="37" t="s">
        <v>255</v>
      </c>
      <c r="BX350" s="37" t="s">
        <v>255</v>
      </c>
      <c r="BY350" s="37" t="s">
        <v>255</v>
      </c>
      <c r="BZ350" s="37" t="s">
        <v>255</v>
      </c>
      <c r="CA350" s="123" t="s">
        <v>255</v>
      </c>
      <c r="CB350" s="223"/>
      <c r="CC350" s="37" t="s">
        <v>255</v>
      </c>
      <c r="CD350" s="37" t="s">
        <v>255</v>
      </c>
      <c r="CE350" s="37" t="s">
        <v>255</v>
      </c>
      <c r="CF350" s="37" t="s">
        <v>255</v>
      </c>
      <c r="CG350" s="37" t="s">
        <v>255</v>
      </c>
      <c r="CH350" s="37" t="s">
        <v>255</v>
      </c>
      <c r="CI350" s="37" t="s">
        <v>255</v>
      </c>
      <c r="CJ350" s="37" t="s">
        <v>255</v>
      </c>
      <c r="CK350" s="37" t="s">
        <v>255</v>
      </c>
      <c r="CL350" s="37" t="s">
        <v>255</v>
      </c>
      <c r="CM350" s="37" t="s">
        <v>255</v>
      </c>
      <c r="CN350" s="37" t="s">
        <v>255</v>
      </c>
      <c r="CO350" s="37" t="s">
        <v>255</v>
      </c>
      <c r="CP350" s="37" t="s">
        <v>255</v>
      </c>
      <c r="CQ350" s="37" t="s">
        <v>255</v>
      </c>
      <c r="CR350" s="149" t="s">
        <v>302</v>
      </c>
    </row>
    <row r="351" spans="1:96" ht="30" outlineLevel="1" x14ac:dyDescent="0.25">
      <c r="A351" s="112" t="s">
        <v>2142</v>
      </c>
      <c r="B351" s="121" t="s">
        <v>521</v>
      </c>
      <c r="C351" s="121"/>
      <c r="D351" s="121"/>
      <c r="E351" s="121"/>
      <c r="F351" s="34" t="s">
        <v>225</v>
      </c>
      <c r="G351" s="120" t="s">
        <v>579</v>
      </c>
      <c r="H351" s="111" t="s">
        <v>1693</v>
      </c>
      <c r="I351" s="111" t="s">
        <v>1693</v>
      </c>
      <c r="J351" s="111" t="s">
        <v>1693</v>
      </c>
      <c r="K351" s="111" t="s">
        <v>1693</v>
      </c>
      <c r="L351" s="111" t="s">
        <v>1693</v>
      </c>
      <c r="M351" s="34">
        <v>10</v>
      </c>
      <c r="N351" s="144">
        <f t="shared" si="664"/>
        <v>0</v>
      </c>
      <c r="O351" s="144" t="str">
        <f t="shared" si="665"/>
        <v/>
      </c>
      <c r="P351" s="144"/>
      <c r="Q351" s="144">
        <f t="shared" si="666"/>
        <v>0</v>
      </c>
      <c r="R351" s="144" t="str">
        <f t="shared" si="667"/>
        <v/>
      </c>
      <c r="S351" s="144"/>
      <c r="T351" s="144">
        <f t="shared" si="668"/>
        <v>0</v>
      </c>
      <c r="U351" s="144" t="str">
        <f t="shared" si="669"/>
        <v/>
      </c>
      <c r="V351" s="144"/>
      <c r="W351" s="144">
        <f t="shared" si="670"/>
        <v>0</v>
      </c>
      <c r="X351" s="144" t="str">
        <f t="shared" si="671"/>
        <v/>
      </c>
      <c r="Y351" s="144"/>
      <c r="Z351" s="144">
        <f t="shared" si="672"/>
        <v>0</v>
      </c>
      <c r="AA351" s="37" t="str">
        <f t="shared" si="673"/>
        <v>НЕТ</v>
      </c>
      <c r="AB351" s="37"/>
      <c r="AC351" s="37" t="str">
        <f t="shared" si="538"/>
        <v>НЕТ</v>
      </c>
      <c r="AD351" s="37" t="str">
        <f t="shared" si="539"/>
        <v>Не требуется</v>
      </c>
      <c r="AE351" s="37"/>
      <c r="AF351" s="37" t="str">
        <f t="shared" si="540"/>
        <v>НЕТ</v>
      </c>
      <c r="AG351" s="37" t="str">
        <f t="shared" si="540"/>
        <v>НЕТ</v>
      </c>
      <c r="AH351" s="37" t="str">
        <f t="shared" si="540"/>
        <v>НЕТ</v>
      </c>
      <c r="AI351" s="37" t="str">
        <f t="shared" si="540"/>
        <v>НЕТ</v>
      </c>
      <c r="AJ351" s="37" t="str">
        <f t="shared" si="540"/>
        <v>НЕТ</v>
      </c>
      <c r="AK351" s="37" t="str">
        <f t="shared" si="540"/>
        <v>НЕТ</v>
      </c>
      <c r="AL351" s="37" t="str">
        <f t="shared" si="540"/>
        <v>НЕТ</v>
      </c>
      <c r="AM351" s="123" t="str">
        <f t="shared" si="674"/>
        <v>Не требуется</v>
      </c>
      <c r="AN351" s="37"/>
      <c r="AQ351" s="200"/>
      <c r="AR351" s="230"/>
      <c r="AS351" s="144" t="str">
        <f t="shared" si="550"/>
        <v/>
      </c>
      <c r="AT351" s="144" t="str">
        <f t="shared" si="551"/>
        <v/>
      </c>
      <c r="AU351" s="144" t="str">
        <f t="shared" si="552"/>
        <v/>
      </c>
      <c r="AV351" s="144" t="str">
        <f t="shared" si="553"/>
        <v/>
      </c>
      <c r="AW351" s="144" t="str">
        <f t="shared" si="675"/>
        <v/>
      </c>
      <c r="AX351" s="144" t="str">
        <f t="shared" si="676"/>
        <v/>
      </c>
      <c r="AY351" s="144" t="str">
        <f t="shared" si="677"/>
        <v/>
      </c>
      <c r="AZ351" s="201" t="str">
        <f t="shared" si="678"/>
        <v/>
      </c>
      <c r="BA351" s="235"/>
      <c r="BB351" s="144" t="str">
        <f t="shared" si="679"/>
        <v/>
      </c>
      <c r="BC351" s="144" t="str">
        <f t="shared" si="680"/>
        <v/>
      </c>
      <c r="BD351" s="144" t="str">
        <f t="shared" si="681"/>
        <v/>
      </c>
      <c r="BE351" s="144" t="str">
        <f t="shared" si="682"/>
        <v/>
      </c>
      <c r="BF351" s="201" t="str">
        <f t="shared" si="683"/>
        <v/>
      </c>
      <c r="BG351" s="144" t="str">
        <f t="shared" si="684"/>
        <v/>
      </c>
      <c r="BH351" s="144" t="str">
        <f t="shared" si="685"/>
        <v/>
      </c>
      <c r="BI351" s="144" t="str">
        <f t="shared" si="686"/>
        <v/>
      </c>
      <c r="BJ351" s="144" t="str">
        <f t="shared" si="687"/>
        <v/>
      </c>
      <c r="BK351" s="201" t="str">
        <f t="shared" si="688"/>
        <v/>
      </c>
      <c r="BL351" s="144" t="str">
        <f t="shared" si="689"/>
        <v/>
      </c>
      <c r="BM351" s="144" t="str">
        <f t="shared" si="690"/>
        <v/>
      </c>
      <c r="BN351" s="144" t="str">
        <f t="shared" si="691"/>
        <v/>
      </c>
      <c r="BO351" s="144" t="str">
        <f t="shared" si="692"/>
        <v/>
      </c>
      <c r="BP351" s="201" t="str">
        <f t="shared" si="693"/>
        <v/>
      </c>
      <c r="BQ351" s="209"/>
      <c r="BR351" s="388"/>
      <c r="BS351" s="37" t="s">
        <v>255</v>
      </c>
      <c r="BT351" s="37" t="s">
        <v>255</v>
      </c>
      <c r="BU351" s="37" t="s">
        <v>255</v>
      </c>
      <c r="BV351" s="37" t="s">
        <v>255</v>
      </c>
      <c r="BW351" s="37" t="s">
        <v>255</v>
      </c>
      <c r="BX351" s="37" t="s">
        <v>255</v>
      </c>
      <c r="BY351" s="37" t="s">
        <v>255</v>
      </c>
      <c r="BZ351" s="37" t="s">
        <v>255</v>
      </c>
      <c r="CA351" s="123" t="s">
        <v>255</v>
      </c>
      <c r="CB351" s="223"/>
      <c r="CC351" s="37" t="s">
        <v>255</v>
      </c>
      <c r="CD351" s="37" t="s">
        <v>255</v>
      </c>
      <c r="CE351" s="37" t="s">
        <v>255</v>
      </c>
      <c r="CF351" s="37" t="s">
        <v>255</v>
      </c>
      <c r="CG351" s="37" t="s">
        <v>255</v>
      </c>
      <c r="CH351" s="37" t="s">
        <v>255</v>
      </c>
      <c r="CI351" s="37" t="s">
        <v>255</v>
      </c>
      <c r="CJ351" s="37" t="s">
        <v>255</v>
      </c>
      <c r="CK351" s="37" t="s">
        <v>255</v>
      </c>
      <c r="CL351" s="37" t="s">
        <v>255</v>
      </c>
      <c r="CM351" s="37" t="s">
        <v>255</v>
      </c>
      <c r="CN351" s="37" t="s">
        <v>255</v>
      </c>
      <c r="CO351" s="37" t="s">
        <v>255</v>
      </c>
      <c r="CP351" s="37" t="s">
        <v>255</v>
      </c>
      <c r="CQ351" s="37" t="s">
        <v>255</v>
      </c>
      <c r="CR351" s="149" t="s">
        <v>302</v>
      </c>
    </row>
    <row r="352" spans="1:96" ht="30" outlineLevel="1" x14ac:dyDescent="0.25">
      <c r="A352" s="112" t="s">
        <v>2143</v>
      </c>
      <c r="B352" s="121" t="s">
        <v>521</v>
      </c>
      <c r="C352" s="121"/>
      <c r="D352" s="121"/>
      <c r="E352" s="121"/>
      <c r="F352" s="34" t="s">
        <v>225</v>
      </c>
      <c r="G352" s="120" t="s">
        <v>579</v>
      </c>
      <c r="H352" s="111" t="s">
        <v>1693</v>
      </c>
      <c r="I352" s="111" t="s">
        <v>1693</v>
      </c>
      <c r="J352" s="111" t="s">
        <v>1693</v>
      </c>
      <c r="K352" s="111" t="s">
        <v>1693</v>
      </c>
      <c r="L352" s="111" t="s">
        <v>1693</v>
      </c>
      <c r="M352" s="34">
        <v>10</v>
      </c>
      <c r="N352" s="144">
        <f t="shared" si="664"/>
        <v>0</v>
      </c>
      <c r="O352" s="144" t="str">
        <f t="shared" si="665"/>
        <v/>
      </c>
      <c r="P352" s="144"/>
      <c r="Q352" s="144">
        <f t="shared" si="666"/>
        <v>0</v>
      </c>
      <c r="R352" s="144" t="str">
        <f t="shared" si="667"/>
        <v/>
      </c>
      <c r="S352" s="144"/>
      <c r="T352" s="144">
        <f t="shared" si="668"/>
        <v>0</v>
      </c>
      <c r="U352" s="144" t="str">
        <f t="shared" si="669"/>
        <v/>
      </c>
      <c r="V352" s="144"/>
      <c r="W352" s="144">
        <f t="shared" si="670"/>
        <v>0</v>
      </c>
      <c r="X352" s="144" t="str">
        <f t="shared" si="671"/>
        <v/>
      </c>
      <c r="Y352" s="144"/>
      <c r="Z352" s="144">
        <f t="shared" si="672"/>
        <v>0</v>
      </c>
      <c r="AA352" s="37" t="str">
        <f t="shared" si="673"/>
        <v>НЕТ</v>
      </c>
      <c r="AB352" s="37"/>
      <c r="AC352" s="37" t="str">
        <f t="shared" si="538"/>
        <v>НЕТ</v>
      </c>
      <c r="AD352" s="37" t="str">
        <f t="shared" si="539"/>
        <v>Не требуется</v>
      </c>
      <c r="AE352" s="37"/>
      <c r="AF352" s="37" t="str">
        <f t="shared" si="540"/>
        <v>НЕТ</v>
      </c>
      <c r="AG352" s="37" t="str">
        <f t="shared" si="540"/>
        <v>НЕТ</v>
      </c>
      <c r="AH352" s="37" t="str">
        <f t="shared" si="540"/>
        <v>НЕТ</v>
      </c>
      <c r="AI352" s="37" t="str">
        <f t="shared" si="540"/>
        <v>НЕТ</v>
      </c>
      <c r="AJ352" s="37" t="str">
        <f t="shared" si="540"/>
        <v>НЕТ</v>
      </c>
      <c r="AK352" s="37" t="str">
        <f t="shared" si="540"/>
        <v>НЕТ</v>
      </c>
      <c r="AL352" s="37" t="str">
        <f t="shared" si="540"/>
        <v>НЕТ</v>
      </c>
      <c r="AM352" s="123" t="str">
        <f t="shared" si="674"/>
        <v>Не требуется</v>
      </c>
      <c r="AN352" s="37"/>
      <c r="AQ352" s="200"/>
      <c r="AR352" s="230"/>
      <c r="AS352" s="144" t="str">
        <f t="shared" si="550"/>
        <v/>
      </c>
      <c r="AT352" s="144" t="str">
        <f t="shared" si="551"/>
        <v/>
      </c>
      <c r="AU352" s="144" t="str">
        <f t="shared" si="552"/>
        <v/>
      </c>
      <c r="AV352" s="144" t="str">
        <f t="shared" si="553"/>
        <v/>
      </c>
      <c r="AW352" s="144" t="str">
        <f t="shared" si="675"/>
        <v/>
      </c>
      <c r="AX352" s="144" t="str">
        <f t="shared" si="676"/>
        <v/>
      </c>
      <c r="AY352" s="144" t="str">
        <f t="shared" si="677"/>
        <v/>
      </c>
      <c r="AZ352" s="201" t="str">
        <f t="shared" si="678"/>
        <v/>
      </c>
      <c r="BA352" s="235"/>
      <c r="BB352" s="144" t="str">
        <f t="shared" si="679"/>
        <v/>
      </c>
      <c r="BC352" s="144" t="str">
        <f t="shared" si="680"/>
        <v/>
      </c>
      <c r="BD352" s="144" t="str">
        <f t="shared" si="681"/>
        <v/>
      </c>
      <c r="BE352" s="144" t="str">
        <f t="shared" si="682"/>
        <v/>
      </c>
      <c r="BF352" s="201" t="str">
        <f t="shared" si="683"/>
        <v/>
      </c>
      <c r="BG352" s="144" t="str">
        <f t="shared" si="684"/>
        <v/>
      </c>
      <c r="BH352" s="144" t="str">
        <f t="shared" si="685"/>
        <v/>
      </c>
      <c r="BI352" s="144" t="str">
        <f t="shared" si="686"/>
        <v/>
      </c>
      <c r="BJ352" s="144" t="str">
        <f t="shared" si="687"/>
        <v/>
      </c>
      <c r="BK352" s="201" t="str">
        <f t="shared" si="688"/>
        <v/>
      </c>
      <c r="BL352" s="144" t="str">
        <f t="shared" si="689"/>
        <v/>
      </c>
      <c r="BM352" s="144" t="str">
        <f t="shared" si="690"/>
        <v/>
      </c>
      <c r="BN352" s="144" t="str">
        <f t="shared" si="691"/>
        <v/>
      </c>
      <c r="BO352" s="144" t="str">
        <f t="shared" si="692"/>
        <v/>
      </c>
      <c r="BP352" s="201" t="str">
        <f t="shared" si="693"/>
        <v/>
      </c>
      <c r="BQ352" s="209"/>
      <c r="BR352" s="388"/>
      <c r="BS352" s="37" t="s">
        <v>255</v>
      </c>
      <c r="BT352" s="37" t="s">
        <v>255</v>
      </c>
      <c r="BU352" s="37" t="s">
        <v>255</v>
      </c>
      <c r="BV352" s="37" t="s">
        <v>255</v>
      </c>
      <c r="BW352" s="37" t="s">
        <v>255</v>
      </c>
      <c r="BX352" s="37" t="s">
        <v>255</v>
      </c>
      <c r="BY352" s="37" t="s">
        <v>255</v>
      </c>
      <c r="BZ352" s="37" t="s">
        <v>255</v>
      </c>
      <c r="CA352" s="123" t="s">
        <v>255</v>
      </c>
      <c r="CB352" s="223"/>
      <c r="CC352" s="37" t="s">
        <v>255</v>
      </c>
      <c r="CD352" s="37" t="s">
        <v>255</v>
      </c>
      <c r="CE352" s="37" t="s">
        <v>255</v>
      </c>
      <c r="CF352" s="37" t="s">
        <v>255</v>
      </c>
      <c r="CG352" s="37" t="s">
        <v>255</v>
      </c>
      <c r="CH352" s="37" t="s">
        <v>255</v>
      </c>
      <c r="CI352" s="37" t="s">
        <v>255</v>
      </c>
      <c r="CJ352" s="37" t="s">
        <v>255</v>
      </c>
      <c r="CK352" s="37" t="s">
        <v>255</v>
      </c>
      <c r="CL352" s="37" t="s">
        <v>255</v>
      </c>
      <c r="CM352" s="37" t="s">
        <v>255</v>
      </c>
      <c r="CN352" s="37" t="s">
        <v>255</v>
      </c>
      <c r="CO352" s="37" t="s">
        <v>255</v>
      </c>
      <c r="CP352" s="37" t="s">
        <v>255</v>
      </c>
      <c r="CQ352" s="37" t="s">
        <v>255</v>
      </c>
      <c r="CR352" s="149" t="s">
        <v>302</v>
      </c>
    </row>
    <row r="353" spans="1:96" ht="30" outlineLevel="1" x14ac:dyDescent="0.25">
      <c r="A353" s="112" t="s">
        <v>2144</v>
      </c>
      <c r="B353" s="121" t="s">
        <v>521</v>
      </c>
      <c r="C353" s="121"/>
      <c r="D353" s="121"/>
      <c r="E353" s="121"/>
      <c r="F353" s="34" t="s">
        <v>225</v>
      </c>
      <c r="G353" s="120" t="s">
        <v>579</v>
      </c>
      <c r="H353" s="111" t="s">
        <v>1693</v>
      </c>
      <c r="I353" s="111" t="s">
        <v>1693</v>
      </c>
      <c r="J353" s="111" t="s">
        <v>1693</v>
      </c>
      <c r="K353" s="111" t="s">
        <v>1693</v>
      </c>
      <c r="L353" s="111" t="s">
        <v>1693</v>
      </c>
      <c r="M353" s="34">
        <v>10</v>
      </c>
      <c r="N353" s="144">
        <f t="shared" si="664"/>
        <v>0</v>
      </c>
      <c r="O353" s="144" t="str">
        <f t="shared" si="665"/>
        <v/>
      </c>
      <c r="P353" s="144"/>
      <c r="Q353" s="144">
        <f t="shared" si="666"/>
        <v>0</v>
      </c>
      <c r="R353" s="144" t="str">
        <f t="shared" si="667"/>
        <v/>
      </c>
      <c r="S353" s="144"/>
      <c r="T353" s="144">
        <f t="shared" si="668"/>
        <v>0</v>
      </c>
      <c r="U353" s="144" t="str">
        <f t="shared" si="669"/>
        <v/>
      </c>
      <c r="V353" s="144"/>
      <c r="W353" s="144">
        <f t="shared" si="670"/>
        <v>0</v>
      </c>
      <c r="X353" s="144" t="str">
        <f t="shared" si="671"/>
        <v/>
      </c>
      <c r="Y353" s="144"/>
      <c r="Z353" s="144">
        <f t="shared" si="672"/>
        <v>0</v>
      </c>
      <c r="AA353" s="37" t="str">
        <f t="shared" si="673"/>
        <v>НЕТ</v>
      </c>
      <c r="AB353" s="37"/>
      <c r="AC353" s="37" t="str">
        <f t="shared" si="538"/>
        <v>НЕТ</v>
      </c>
      <c r="AD353" s="37" t="str">
        <f t="shared" si="539"/>
        <v>Не требуется</v>
      </c>
      <c r="AE353" s="37"/>
      <c r="AF353" s="37" t="str">
        <f t="shared" si="540"/>
        <v>НЕТ</v>
      </c>
      <c r="AG353" s="37" t="str">
        <f t="shared" si="540"/>
        <v>НЕТ</v>
      </c>
      <c r="AH353" s="37" t="str">
        <f t="shared" si="540"/>
        <v>НЕТ</v>
      </c>
      <c r="AI353" s="37" t="str">
        <f t="shared" si="540"/>
        <v>НЕТ</v>
      </c>
      <c r="AJ353" s="37" t="str">
        <f t="shared" si="540"/>
        <v>НЕТ</v>
      </c>
      <c r="AK353" s="37" t="str">
        <f t="shared" si="540"/>
        <v>НЕТ</v>
      </c>
      <c r="AL353" s="37" t="str">
        <f t="shared" si="540"/>
        <v>НЕТ</v>
      </c>
      <c r="AM353" s="123" t="str">
        <f t="shared" si="674"/>
        <v>Не требуется</v>
      </c>
      <c r="AN353" s="37"/>
      <c r="AQ353" s="200"/>
      <c r="AR353" s="230"/>
      <c r="AS353" s="144" t="str">
        <f t="shared" si="550"/>
        <v/>
      </c>
      <c r="AT353" s="144" t="str">
        <f t="shared" si="551"/>
        <v/>
      </c>
      <c r="AU353" s="144" t="str">
        <f t="shared" si="552"/>
        <v/>
      </c>
      <c r="AV353" s="144" t="str">
        <f t="shared" si="553"/>
        <v/>
      </c>
      <c r="AW353" s="144" t="str">
        <f t="shared" si="675"/>
        <v/>
      </c>
      <c r="AX353" s="144" t="str">
        <f t="shared" si="676"/>
        <v/>
      </c>
      <c r="AY353" s="144" t="str">
        <f t="shared" si="677"/>
        <v/>
      </c>
      <c r="AZ353" s="201" t="str">
        <f t="shared" si="678"/>
        <v/>
      </c>
      <c r="BA353" s="235"/>
      <c r="BB353" s="144" t="str">
        <f t="shared" si="679"/>
        <v/>
      </c>
      <c r="BC353" s="144" t="str">
        <f t="shared" si="680"/>
        <v/>
      </c>
      <c r="BD353" s="144" t="str">
        <f t="shared" si="681"/>
        <v/>
      </c>
      <c r="BE353" s="144" t="str">
        <f t="shared" si="682"/>
        <v/>
      </c>
      <c r="BF353" s="201" t="str">
        <f t="shared" si="683"/>
        <v/>
      </c>
      <c r="BG353" s="144" t="str">
        <f t="shared" si="684"/>
        <v/>
      </c>
      <c r="BH353" s="144" t="str">
        <f t="shared" si="685"/>
        <v/>
      </c>
      <c r="BI353" s="144" t="str">
        <f t="shared" si="686"/>
        <v/>
      </c>
      <c r="BJ353" s="144" t="str">
        <f t="shared" si="687"/>
        <v/>
      </c>
      <c r="BK353" s="201" t="str">
        <f t="shared" si="688"/>
        <v/>
      </c>
      <c r="BL353" s="144" t="str">
        <f t="shared" si="689"/>
        <v/>
      </c>
      <c r="BM353" s="144" t="str">
        <f t="shared" si="690"/>
        <v/>
      </c>
      <c r="BN353" s="144" t="str">
        <f t="shared" si="691"/>
        <v/>
      </c>
      <c r="BO353" s="144" t="str">
        <f t="shared" si="692"/>
        <v/>
      </c>
      <c r="BP353" s="201" t="str">
        <f t="shared" si="693"/>
        <v/>
      </c>
      <c r="BQ353" s="209"/>
      <c r="BR353" s="388"/>
      <c r="BS353" s="37" t="s">
        <v>255</v>
      </c>
      <c r="BT353" s="37" t="s">
        <v>255</v>
      </c>
      <c r="BU353" s="37" t="s">
        <v>255</v>
      </c>
      <c r="BV353" s="37" t="s">
        <v>255</v>
      </c>
      <c r="BW353" s="37" t="s">
        <v>255</v>
      </c>
      <c r="BX353" s="37" t="s">
        <v>255</v>
      </c>
      <c r="BY353" s="37" t="s">
        <v>255</v>
      </c>
      <c r="BZ353" s="37" t="s">
        <v>255</v>
      </c>
      <c r="CA353" s="123" t="s">
        <v>255</v>
      </c>
      <c r="CB353" s="223"/>
      <c r="CC353" s="37" t="s">
        <v>255</v>
      </c>
      <c r="CD353" s="37" t="s">
        <v>255</v>
      </c>
      <c r="CE353" s="37" t="s">
        <v>255</v>
      </c>
      <c r="CF353" s="37" t="s">
        <v>255</v>
      </c>
      <c r="CG353" s="37" t="s">
        <v>255</v>
      </c>
      <c r="CH353" s="37" t="s">
        <v>255</v>
      </c>
      <c r="CI353" s="37" t="s">
        <v>255</v>
      </c>
      <c r="CJ353" s="37" t="s">
        <v>255</v>
      </c>
      <c r="CK353" s="37" t="s">
        <v>255</v>
      </c>
      <c r="CL353" s="37" t="s">
        <v>255</v>
      </c>
      <c r="CM353" s="37" t="s">
        <v>255</v>
      </c>
      <c r="CN353" s="37" t="s">
        <v>255</v>
      </c>
      <c r="CO353" s="37" t="s">
        <v>255</v>
      </c>
      <c r="CP353" s="37" t="s">
        <v>255</v>
      </c>
      <c r="CQ353" s="37" t="s">
        <v>255</v>
      </c>
      <c r="CR353" s="149" t="s">
        <v>302</v>
      </c>
    </row>
    <row r="354" spans="1:96" ht="30" outlineLevel="1" x14ac:dyDescent="0.25">
      <c r="A354" s="112" t="s">
        <v>2145</v>
      </c>
      <c r="B354" s="121" t="s">
        <v>521</v>
      </c>
      <c r="C354" s="121"/>
      <c r="D354" s="121"/>
      <c r="E354" s="121"/>
      <c r="F354" s="34" t="s">
        <v>225</v>
      </c>
      <c r="G354" s="120" t="s">
        <v>579</v>
      </c>
      <c r="H354" s="111" t="s">
        <v>1693</v>
      </c>
      <c r="I354" s="111" t="s">
        <v>1693</v>
      </c>
      <c r="J354" s="111" t="s">
        <v>1693</v>
      </c>
      <c r="K354" s="111" t="s">
        <v>1693</v>
      </c>
      <c r="L354" s="111" t="s">
        <v>1693</v>
      </c>
      <c r="M354" s="34">
        <v>10</v>
      </c>
      <c r="N354" s="144">
        <f t="shared" si="664"/>
        <v>0</v>
      </c>
      <c r="O354" s="144" t="str">
        <f t="shared" si="665"/>
        <v/>
      </c>
      <c r="P354" s="144"/>
      <c r="Q354" s="144">
        <f t="shared" si="666"/>
        <v>0</v>
      </c>
      <c r="R354" s="144" t="str">
        <f t="shared" si="667"/>
        <v/>
      </c>
      <c r="S354" s="144"/>
      <c r="T354" s="144">
        <f t="shared" si="668"/>
        <v>0</v>
      </c>
      <c r="U354" s="144" t="str">
        <f t="shared" si="669"/>
        <v/>
      </c>
      <c r="V354" s="144"/>
      <c r="W354" s="144">
        <f t="shared" si="670"/>
        <v>0</v>
      </c>
      <c r="X354" s="144" t="str">
        <f t="shared" si="671"/>
        <v/>
      </c>
      <c r="Y354" s="144"/>
      <c r="Z354" s="144">
        <f t="shared" si="672"/>
        <v>0</v>
      </c>
      <c r="AA354" s="37" t="str">
        <f t="shared" si="673"/>
        <v>НЕТ</v>
      </c>
      <c r="AB354" s="37"/>
      <c r="AC354" s="37" t="str">
        <f t="shared" si="538"/>
        <v>НЕТ</v>
      </c>
      <c r="AD354" s="37" t="str">
        <f t="shared" si="539"/>
        <v>Не требуется</v>
      </c>
      <c r="AE354" s="37"/>
      <c r="AF354" s="37" t="str">
        <f t="shared" si="540"/>
        <v>НЕТ</v>
      </c>
      <c r="AG354" s="37" t="str">
        <f t="shared" si="540"/>
        <v>НЕТ</v>
      </c>
      <c r="AH354" s="37" t="str">
        <f t="shared" si="540"/>
        <v>НЕТ</v>
      </c>
      <c r="AI354" s="37" t="str">
        <f t="shared" si="540"/>
        <v>НЕТ</v>
      </c>
      <c r="AJ354" s="37" t="str">
        <f t="shared" si="540"/>
        <v>НЕТ</v>
      </c>
      <c r="AK354" s="37" t="str">
        <f t="shared" si="540"/>
        <v>НЕТ</v>
      </c>
      <c r="AL354" s="37" t="str">
        <f t="shared" si="540"/>
        <v>НЕТ</v>
      </c>
      <c r="AM354" s="123" t="str">
        <f t="shared" si="674"/>
        <v>Не требуется</v>
      </c>
      <c r="AN354" s="37"/>
      <c r="AQ354" s="200"/>
      <c r="AR354" s="230"/>
      <c r="AS354" s="144" t="str">
        <f t="shared" si="550"/>
        <v/>
      </c>
      <c r="AT354" s="144" t="str">
        <f t="shared" si="551"/>
        <v/>
      </c>
      <c r="AU354" s="144" t="str">
        <f t="shared" si="552"/>
        <v/>
      </c>
      <c r="AV354" s="144" t="str">
        <f t="shared" si="553"/>
        <v/>
      </c>
      <c r="AW354" s="144" t="str">
        <f t="shared" si="675"/>
        <v/>
      </c>
      <c r="AX354" s="144" t="str">
        <f t="shared" si="676"/>
        <v/>
      </c>
      <c r="AY354" s="144" t="str">
        <f t="shared" si="677"/>
        <v/>
      </c>
      <c r="AZ354" s="201" t="str">
        <f t="shared" si="678"/>
        <v/>
      </c>
      <c r="BA354" s="235"/>
      <c r="BB354" s="144" t="str">
        <f t="shared" si="679"/>
        <v/>
      </c>
      <c r="BC354" s="144" t="str">
        <f t="shared" si="680"/>
        <v/>
      </c>
      <c r="BD354" s="144" t="str">
        <f t="shared" si="681"/>
        <v/>
      </c>
      <c r="BE354" s="144" t="str">
        <f t="shared" si="682"/>
        <v/>
      </c>
      <c r="BF354" s="201" t="str">
        <f t="shared" si="683"/>
        <v/>
      </c>
      <c r="BG354" s="144" t="str">
        <f t="shared" si="684"/>
        <v/>
      </c>
      <c r="BH354" s="144" t="str">
        <f t="shared" si="685"/>
        <v/>
      </c>
      <c r="BI354" s="144" t="str">
        <f t="shared" si="686"/>
        <v/>
      </c>
      <c r="BJ354" s="144" t="str">
        <f t="shared" si="687"/>
        <v/>
      </c>
      <c r="BK354" s="201" t="str">
        <f t="shared" si="688"/>
        <v/>
      </c>
      <c r="BL354" s="144" t="str">
        <f t="shared" si="689"/>
        <v/>
      </c>
      <c r="BM354" s="144" t="str">
        <f t="shared" si="690"/>
        <v/>
      </c>
      <c r="BN354" s="144" t="str">
        <f t="shared" si="691"/>
        <v/>
      </c>
      <c r="BO354" s="144" t="str">
        <f t="shared" si="692"/>
        <v/>
      </c>
      <c r="BP354" s="201" t="str">
        <f t="shared" si="693"/>
        <v/>
      </c>
      <c r="BQ354" s="209"/>
      <c r="BR354" s="388"/>
      <c r="BS354" s="37" t="s">
        <v>255</v>
      </c>
      <c r="BT354" s="37" t="s">
        <v>255</v>
      </c>
      <c r="BU354" s="37" t="s">
        <v>255</v>
      </c>
      <c r="BV354" s="37" t="s">
        <v>255</v>
      </c>
      <c r="BW354" s="37" t="s">
        <v>255</v>
      </c>
      <c r="BX354" s="37" t="s">
        <v>255</v>
      </c>
      <c r="BY354" s="37" t="s">
        <v>255</v>
      </c>
      <c r="BZ354" s="37" t="s">
        <v>255</v>
      </c>
      <c r="CA354" s="123" t="s">
        <v>255</v>
      </c>
      <c r="CB354" s="223"/>
      <c r="CC354" s="37" t="s">
        <v>255</v>
      </c>
      <c r="CD354" s="37" t="s">
        <v>255</v>
      </c>
      <c r="CE354" s="37" t="s">
        <v>255</v>
      </c>
      <c r="CF354" s="37" t="s">
        <v>255</v>
      </c>
      <c r="CG354" s="37" t="s">
        <v>255</v>
      </c>
      <c r="CH354" s="37" t="s">
        <v>255</v>
      </c>
      <c r="CI354" s="37" t="s">
        <v>255</v>
      </c>
      <c r="CJ354" s="37" t="s">
        <v>255</v>
      </c>
      <c r="CK354" s="37" t="s">
        <v>255</v>
      </c>
      <c r="CL354" s="37" t="s">
        <v>255</v>
      </c>
      <c r="CM354" s="37" t="s">
        <v>255</v>
      </c>
      <c r="CN354" s="37" t="s">
        <v>255</v>
      </c>
      <c r="CO354" s="37" t="s">
        <v>255</v>
      </c>
      <c r="CP354" s="37" t="s">
        <v>255</v>
      </c>
      <c r="CQ354" s="37" t="s">
        <v>255</v>
      </c>
      <c r="CR354" s="149" t="s">
        <v>302</v>
      </c>
    </row>
    <row r="355" spans="1:96" ht="30.75" outlineLevel="1" thickBot="1" x14ac:dyDescent="0.3">
      <c r="A355" s="112" t="s">
        <v>2146</v>
      </c>
      <c r="B355" s="155" t="s">
        <v>521</v>
      </c>
      <c r="C355" s="155"/>
      <c r="D355" s="155"/>
      <c r="E355" s="155"/>
      <c r="F355" s="156" t="s">
        <v>225</v>
      </c>
      <c r="G355" s="120" t="s">
        <v>579</v>
      </c>
      <c r="H355" s="111" t="s">
        <v>1693</v>
      </c>
      <c r="I355" s="111" t="s">
        <v>1693</v>
      </c>
      <c r="J355" s="111" t="s">
        <v>1693</v>
      </c>
      <c r="K355" s="111" t="s">
        <v>1693</v>
      </c>
      <c r="L355" s="111" t="s">
        <v>1693</v>
      </c>
      <c r="M355" s="156">
        <v>10</v>
      </c>
      <c r="N355" s="157">
        <f t="shared" si="545"/>
        <v>0</v>
      </c>
      <c r="O355" s="157" t="str">
        <f t="shared" si="546"/>
        <v/>
      </c>
      <c r="P355" s="157"/>
      <c r="Q355" s="144">
        <f t="shared" si="547"/>
        <v>0</v>
      </c>
      <c r="R355" s="157" t="str">
        <f t="shared" si="582"/>
        <v/>
      </c>
      <c r="S355" s="157"/>
      <c r="T355" s="144">
        <f t="shared" si="583"/>
        <v>0</v>
      </c>
      <c r="U355" s="157" t="str">
        <f t="shared" si="584"/>
        <v/>
      </c>
      <c r="V355" s="157"/>
      <c r="W355" s="144">
        <f t="shared" si="585"/>
        <v>0</v>
      </c>
      <c r="X355" s="157" t="str">
        <f t="shared" si="586"/>
        <v/>
      </c>
      <c r="Y355" s="157"/>
      <c r="Z355" s="144">
        <f t="shared" si="587"/>
        <v>0</v>
      </c>
      <c r="AA355" s="158" t="str">
        <f t="shared" si="548"/>
        <v>НЕТ</v>
      </c>
      <c r="AB355" s="158"/>
      <c r="AC355" s="37" t="str">
        <f t="shared" si="538"/>
        <v>НЕТ</v>
      </c>
      <c r="AD355" s="37" t="str">
        <f t="shared" si="539"/>
        <v>Не требуется</v>
      </c>
      <c r="AE355" s="37"/>
      <c r="AF355" s="37" t="str">
        <f t="shared" si="540"/>
        <v>НЕТ</v>
      </c>
      <c r="AG355" s="37" t="str">
        <f t="shared" si="540"/>
        <v>НЕТ</v>
      </c>
      <c r="AH355" s="37" t="str">
        <f t="shared" si="540"/>
        <v>НЕТ</v>
      </c>
      <c r="AI355" s="37" t="str">
        <f t="shared" si="540"/>
        <v>НЕТ</v>
      </c>
      <c r="AJ355" s="37" t="str">
        <f t="shared" si="540"/>
        <v>НЕТ</v>
      </c>
      <c r="AK355" s="37" t="str">
        <f t="shared" si="540"/>
        <v>НЕТ</v>
      </c>
      <c r="AL355" s="37" t="str">
        <f t="shared" si="540"/>
        <v>НЕТ</v>
      </c>
      <c r="AM355" s="124" t="str">
        <f t="shared" si="549"/>
        <v>Не требуется</v>
      </c>
      <c r="AN355" s="158"/>
      <c r="AQ355" s="206"/>
      <c r="AR355" s="234"/>
      <c r="AS355" s="157" t="str">
        <f t="shared" si="550"/>
        <v/>
      </c>
      <c r="AT355" s="157" t="str">
        <f t="shared" si="551"/>
        <v/>
      </c>
      <c r="AU355" s="157" t="str">
        <f t="shared" si="552"/>
        <v/>
      </c>
      <c r="AV355" s="157" t="str">
        <f t="shared" si="553"/>
        <v/>
      </c>
      <c r="AW355" s="157" t="str">
        <f t="shared" si="554"/>
        <v/>
      </c>
      <c r="AX355" s="157" t="str">
        <f t="shared" si="555"/>
        <v/>
      </c>
      <c r="AY355" s="157" t="str">
        <f t="shared" si="556"/>
        <v/>
      </c>
      <c r="AZ355" s="207" t="str">
        <f t="shared" si="557"/>
        <v/>
      </c>
      <c r="BA355" s="238"/>
      <c r="BB355" s="157" t="str">
        <f t="shared" si="558"/>
        <v/>
      </c>
      <c r="BC355" s="157" t="str">
        <f t="shared" si="559"/>
        <v/>
      </c>
      <c r="BD355" s="157" t="str">
        <f t="shared" si="560"/>
        <v/>
      </c>
      <c r="BE355" s="157" t="str">
        <f t="shared" si="561"/>
        <v/>
      </c>
      <c r="BF355" s="207" t="str">
        <f t="shared" si="562"/>
        <v/>
      </c>
      <c r="BG355" s="157" t="str">
        <f t="shared" si="563"/>
        <v/>
      </c>
      <c r="BH355" s="157" t="str">
        <f t="shared" si="564"/>
        <v/>
      </c>
      <c r="BI355" s="157" t="str">
        <f t="shared" si="565"/>
        <v/>
      </c>
      <c r="BJ355" s="157" t="str">
        <f t="shared" si="566"/>
        <v/>
      </c>
      <c r="BK355" s="207" t="str">
        <f t="shared" si="567"/>
        <v/>
      </c>
      <c r="BL355" s="157" t="str">
        <f t="shared" si="568"/>
        <v/>
      </c>
      <c r="BM355" s="157" t="str">
        <f t="shared" si="569"/>
        <v/>
      </c>
      <c r="BN355" s="157" t="str">
        <f t="shared" si="570"/>
        <v/>
      </c>
      <c r="BO355" s="157" t="str">
        <f t="shared" si="571"/>
        <v/>
      </c>
      <c r="BP355" s="207" t="str">
        <f t="shared" si="572"/>
        <v/>
      </c>
      <c r="BQ355" s="209"/>
      <c r="BR355" s="860"/>
      <c r="BS355" s="158" t="s">
        <v>255</v>
      </c>
      <c r="BT355" s="158" t="s">
        <v>255</v>
      </c>
      <c r="BU355" s="158" t="s">
        <v>255</v>
      </c>
      <c r="BV355" s="158" t="s">
        <v>255</v>
      </c>
      <c r="BW355" s="158" t="s">
        <v>255</v>
      </c>
      <c r="BX355" s="158" t="s">
        <v>255</v>
      </c>
      <c r="BY355" s="158" t="s">
        <v>255</v>
      </c>
      <c r="BZ355" s="158" t="s">
        <v>255</v>
      </c>
      <c r="CA355" s="124" t="s">
        <v>255</v>
      </c>
      <c r="CB355" s="227"/>
      <c r="CC355" s="158" t="s">
        <v>255</v>
      </c>
      <c r="CD355" s="158" t="s">
        <v>255</v>
      </c>
      <c r="CE355" s="158" t="s">
        <v>255</v>
      </c>
      <c r="CF355" s="158" t="s">
        <v>255</v>
      </c>
      <c r="CG355" s="158" t="s">
        <v>255</v>
      </c>
      <c r="CH355" s="158" t="s">
        <v>255</v>
      </c>
      <c r="CI355" s="158" t="s">
        <v>255</v>
      </c>
      <c r="CJ355" s="158" t="s">
        <v>255</v>
      </c>
      <c r="CK355" s="158" t="s">
        <v>255</v>
      </c>
      <c r="CL355" s="158" t="s">
        <v>255</v>
      </c>
      <c r="CM355" s="158" t="s">
        <v>255</v>
      </c>
      <c r="CN355" s="158" t="s">
        <v>255</v>
      </c>
      <c r="CO355" s="158" t="s">
        <v>255</v>
      </c>
      <c r="CP355" s="158" t="s">
        <v>255</v>
      </c>
      <c r="CQ355" s="158" t="s">
        <v>255</v>
      </c>
      <c r="CR355" s="149" t="s">
        <v>302</v>
      </c>
    </row>
    <row r="357" spans="1:96" x14ac:dyDescent="0.25">
      <c r="AC357" t="s">
        <v>1749</v>
      </c>
      <c r="AD357" t="s">
        <v>1757</v>
      </c>
      <c r="AE357" t="s">
        <v>1758</v>
      </c>
    </row>
    <row r="358" spans="1:96" x14ac:dyDescent="0.25">
      <c r="B358" s="1" t="s">
        <v>1752</v>
      </c>
      <c r="AC358" t="e" cm="1">
        <f t="array" ref="AC358">IF(AE358&gt;0,Списки!$K7,IF(AD358&gt;0,Списки!$K7,Кейс))</f>
        <v>#NAME?</v>
      </c>
      <c r="AD358">
        <f>SUMIFS(O10:O355,$G10:$G355,Списки!$K6)</f>
        <v>0</v>
      </c>
      <c r="AE358">
        <f>SUMIF($G10:$G355,Списки!$K7,O10:O355)</f>
        <v>0</v>
      </c>
    </row>
    <row r="359" spans="1:96" x14ac:dyDescent="0.25">
      <c r="B359" s="1" t="s">
        <v>1753</v>
      </c>
    </row>
  </sheetData>
  <autoFilter ref="A9:CR9" xr:uid="{00000000-0009-0000-0000-000003000000}"/>
  <dataConsolidate/>
  <customSheetViews>
    <customSheetView guid="{4C101172-6A1B-4680-8EB9-7A8F363D5714}" scale="85" hiddenRows="1" hiddenColumns="1" topLeftCell="A2">
      <pane xSplit="19" ySplit="5" topLeftCell="U7" activePane="bottomRight" state="frozen"/>
      <selection pane="bottomRight" activeCell="K5" sqref="K5:L5"/>
      <pageMargins left="0.7" right="0.7" top="0.75" bottom="0.75" header="0.3" footer="0.3"/>
      <pageSetup paperSize="9" orientation="portrait" r:id="rId1"/>
    </customSheetView>
  </customSheetViews>
  <mergeCells count="9">
    <mergeCell ref="AL8:AN8"/>
    <mergeCell ref="AF8:AH8"/>
    <mergeCell ref="AC8:AE8"/>
    <mergeCell ref="A62:A63"/>
    <mergeCell ref="B2:F2"/>
    <mergeCell ref="B3:F3"/>
    <mergeCell ref="B4:F4"/>
    <mergeCell ref="B5:F5"/>
    <mergeCell ref="AI8:AK8"/>
  </mergeCells>
  <conditionalFormatting sqref="H148:K148 H329:L355">
    <cfRule type="cellIs" dxfId="1236" priority="4403" operator="equal">
      <formula>"Под проект"</formula>
    </cfRule>
    <cfRule type="cellIs" dxfId="1235" priority="4402" operator="equal">
      <formula>"Частично"</formula>
    </cfRule>
    <cfRule type="cellIs" dxfId="1234" priority="4404" operator="equal">
      <formula>"В разработке"</formula>
    </cfRule>
    <cfRule type="cellIs" dxfId="1233" priority="4406" operator="equal">
      <formula>"НЕТ"</formula>
    </cfRule>
    <cfRule type="cellIs" dxfId="1232" priority="4405" operator="equal">
      <formula>"Да"</formula>
    </cfRule>
  </conditionalFormatting>
  <conditionalFormatting sqref="H270:K270">
    <cfRule type="cellIs" dxfId="1231" priority="3862" operator="equal">
      <formula>"Частично"</formula>
    </cfRule>
    <cfRule type="cellIs" dxfId="1230" priority="3863" operator="equal">
      <formula>"Под проект"</formula>
    </cfRule>
    <cfRule type="cellIs" dxfId="1229" priority="3864" operator="equal">
      <formula>"В разработке"</formula>
    </cfRule>
    <cfRule type="cellIs" dxfId="1228" priority="3866" operator="equal">
      <formula>"НЕТ"</formula>
    </cfRule>
    <cfRule type="cellIs" dxfId="1227" priority="3865" operator="equal">
      <formula>"Да"</formula>
    </cfRule>
  </conditionalFormatting>
  <conditionalFormatting sqref="H11:L11">
    <cfRule type="cellIs" dxfId="1226" priority="4803" operator="equal">
      <formula>"НЕТ"</formula>
    </cfRule>
    <cfRule type="cellIs" dxfId="1225" priority="4801" operator="equal">
      <formula>"В разработке"</formula>
    </cfRule>
    <cfRule type="cellIs" dxfId="1224" priority="4802" operator="equal">
      <formula>"Да"</formula>
    </cfRule>
    <cfRule type="cellIs" dxfId="1223" priority="4800" operator="equal">
      <formula>"Под проект"</formula>
    </cfRule>
  </conditionalFormatting>
  <conditionalFormatting sqref="H14:L14">
    <cfRule type="cellIs" dxfId="1222" priority="4799" operator="equal">
      <formula>"НЕТ"</formula>
    </cfRule>
    <cfRule type="cellIs" dxfId="1221" priority="4798" operator="equal">
      <formula>"Да"</formula>
    </cfRule>
    <cfRule type="cellIs" dxfId="1220" priority="4797" operator="equal">
      <formula>"В разработке"</formula>
    </cfRule>
    <cfRule type="cellIs" dxfId="1219" priority="4796" operator="equal">
      <formula>"Под проект"</formula>
    </cfRule>
  </conditionalFormatting>
  <conditionalFormatting sqref="H17:L17">
    <cfRule type="cellIs" dxfId="1218" priority="4789" operator="equal">
      <formula>"В разработке"</formula>
    </cfRule>
    <cfRule type="cellIs" dxfId="1217" priority="4791" operator="equal">
      <formula>"НЕТ"</formula>
    </cfRule>
    <cfRule type="cellIs" dxfId="1216" priority="4790" operator="equal">
      <formula>"Да"</formula>
    </cfRule>
    <cfRule type="cellIs" dxfId="1215" priority="4788" operator="equal">
      <formula>"Под проект"</formula>
    </cfRule>
  </conditionalFormatting>
  <conditionalFormatting sqref="H20:L20">
    <cfRule type="cellIs" dxfId="1214" priority="4785" operator="equal">
      <formula>"В разработке"</formula>
    </cfRule>
    <cfRule type="cellIs" dxfId="1213" priority="4784" operator="equal">
      <formula>"Под проект"</formula>
    </cfRule>
    <cfRule type="cellIs" dxfId="1212" priority="4786" operator="equal">
      <formula>"Да"</formula>
    </cfRule>
    <cfRule type="cellIs" dxfId="1211" priority="4787" operator="equal">
      <formula>"НЕТ"</formula>
    </cfRule>
  </conditionalFormatting>
  <conditionalFormatting sqref="H27:L27">
    <cfRule type="cellIs" dxfId="1210" priority="4783" operator="equal">
      <formula>"НЕТ"</formula>
    </cfRule>
    <cfRule type="cellIs" dxfId="1209" priority="4782" operator="equal">
      <formula>"Да"</formula>
    </cfRule>
    <cfRule type="cellIs" dxfId="1208" priority="4780" operator="equal">
      <formula>"Под проект"</formula>
    </cfRule>
    <cfRule type="cellIs" dxfId="1207" priority="4781" operator="equal">
      <formula>"В разработке"</formula>
    </cfRule>
  </conditionalFormatting>
  <conditionalFormatting sqref="H31:L31">
    <cfRule type="cellIs" dxfId="1206" priority="4776" operator="equal">
      <formula>"Под проект"</formula>
    </cfRule>
    <cfRule type="cellIs" dxfId="1205" priority="4777" operator="equal">
      <formula>"В разработке"</formula>
    </cfRule>
    <cfRule type="cellIs" dxfId="1204" priority="4778" operator="equal">
      <formula>"Да"</formula>
    </cfRule>
    <cfRule type="cellIs" dxfId="1203" priority="4779" operator="equal">
      <formula>"НЕТ"</formula>
    </cfRule>
  </conditionalFormatting>
  <conditionalFormatting sqref="H33:L33">
    <cfRule type="cellIs" dxfId="1202" priority="4775" operator="equal">
      <formula>"НЕТ"</formula>
    </cfRule>
    <cfRule type="cellIs" dxfId="1201" priority="4773" operator="equal">
      <formula>"В разработке"</formula>
    </cfRule>
    <cfRule type="cellIs" dxfId="1200" priority="4772" operator="equal">
      <formula>"Под проект"</formula>
    </cfRule>
    <cfRule type="cellIs" dxfId="1199" priority="4774" operator="equal">
      <formula>"Да"</formula>
    </cfRule>
  </conditionalFormatting>
  <conditionalFormatting sqref="H37:L37">
    <cfRule type="cellIs" dxfId="1198" priority="4769" operator="equal">
      <formula>"В разработке"</formula>
    </cfRule>
    <cfRule type="cellIs" dxfId="1197" priority="4768" operator="equal">
      <formula>"Под проект"</formula>
    </cfRule>
    <cfRule type="cellIs" dxfId="1196" priority="4771" operator="equal">
      <formula>"НЕТ"</formula>
    </cfRule>
    <cfRule type="cellIs" dxfId="1195" priority="4770" operator="equal">
      <formula>"Да"</formula>
    </cfRule>
  </conditionalFormatting>
  <conditionalFormatting sqref="H39:L39">
    <cfRule type="cellIs" dxfId="1194" priority="4765" operator="equal">
      <formula>"В разработке"</formula>
    </cfRule>
    <cfRule type="cellIs" dxfId="1193" priority="4766" operator="equal">
      <formula>"Да"</formula>
    </cfRule>
    <cfRule type="cellIs" dxfId="1192" priority="4767" operator="equal">
      <formula>"НЕТ"</formula>
    </cfRule>
    <cfRule type="cellIs" dxfId="1191" priority="4764" operator="equal">
      <formula>"Под проект"</formula>
    </cfRule>
  </conditionalFormatting>
  <conditionalFormatting sqref="H50:L50">
    <cfRule type="cellIs" dxfId="1190" priority="4762" operator="equal">
      <formula>"Да"</formula>
    </cfRule>
    <cfRule type="cellIs" dxfId="1189" priority="4763" operator="equal">
      <formula>"НЕТ"</formula>
    </cfRule>
    <cfRule type="cellIs" dxfId="1188" priority="4761" operator="equal">
      <formula>"В разработке"</formula>
    </cfRule>
    <cfRule type="cellIs" dxfId="1187" priority="4760" operator="equal">
      <formula>"Под проект"</formula>
    </cfRule>
  </conditionalFormatting>
  <conditionalFormatting sqref="H54:L54">
    <cfRule type="cellIs" dxfId="1186" priority="4757" operator="equal">
      <formula>"В разработке"</formula>
    </cfRule>
    <cfRule type="cellIs" dxfId="1185" priority="4756" operator="equal">
      <formula>"Под проект"</formula>
    </cfRule>
    <cfRule type="cellIs" dxfId="1184" priority="4759" operator="equal">
      <formula>"НЕТ"</formula>
    </cfRule>
    <cfRule type="cellIs" dxfId="1183" priority="4758" operator="equal">
      <formula>"Да"</formula>
    </cfRule>
  </conditionalFormatting>
  <conditionalFormatting sqref="H59:L59">
    <cfRule type="cellIs" dxfId="1182" priority="4755" operator="equal">
      <formula>"НЕТ"</formula>
    </cfRule>
    <cfRule type="cellIs" dxfId="1181" priority="4754" operator="equal">
      <formula>"Да"</formula>
    </cfRule>
    <cfRule type="cellIs" dxfId="1180" priority="4753" operator="equal">
      <formula>"В разработке"</formula>
    </cfRule>
    <cfRule type="cellIs" dxfId="1179" priority="4752" operator="equal">
      <formula>"Под проект"</formula>
    </cfRule>
  </conditionalFormatting>
  <conditionalFormatting sqref="H61:L61">
    <cfRule type="cellIs" dxfId="1178" priority="4751" operator="equal">
      <formula>"НЕТ"</formula>
    </cfRule>
    <cfRule type="cellIs" dxfId="1177" priority="4749" operator="equal">
      <formula>"В разработке"</formula>
    </cfRule>
    <cfRule type="cellIs" dxfId="1176" priority="4748" operator="equal">
      <formula>"Под проект"</formula>
    </cfRule>
    <cfRule type="cellIs" dxfId="1175" priority="4750" operator="equal">
      <formula>"Да"</formula>
    </cfRule>
  </conditionalFormatting>
  <conditionalFormatting sqref="H64:L66">
    <cfRule type="cellIs" dxfId="1174" priority="4735" operator="equal">
      <formula>"НЕТ"</formula>
    </cfRule>
    <cfRule type="cellIs" dxfId="1173" priority="4734" operator="equal">
      <formula>"Да"</formula>
    </cfRule>
    <cfRule type="cellIs" dxfId="1172" priority="4733" operator="equal">
      <formula>"В разработке"</formula>
    </cfRule>
    <cfRule type="cellIs" dxfId="1171" priority="4732" operator="equal">
      <formula>"Под проект"</formula>
    </cfRule>
  </conditionalFormatting>
  <conditionalFormatting sqref="H68:L68">
    <cfRule type="cellIs" dxfId="1170" priority="4725" operator="equal">
      <formula>"В разработке"</formula>
    </cfRule>
    <cfRule type="cellIs" dxfId="1169" priority="4727" operator="equal">
      <formula>"НЕТ"</formula>
    </cfRule>
    <cfRule type="cellIs" dxfId="1168" priority="4726" operator="equal">
      <formula>"Да"</formula>
    </cfRule>
    <cfRule type="cellIs" dxfId="1167" priority="4724" operator="equal">
      <formula>"Под проект"</formula>
    </cfRule>
  </conditionalFormatting>
  <conditionalFormatting sqref="H75:L75">
    <cfRule type="cellIs" dxfId="1166" priority="4723" operator="equal">
      <formula>"НЕТ"</formula>
    </cfRule>
    <cfRule type="cellIs" dxfId="1165" priority="4722" operator="equal">
      <formula>"Да"</formula>
    </cfRule>
    <cfRule type="cellIs" dxfId="1164" priority="4721" operator="equal">
      <formula>"В разработке"</formula>
    </cfRule>
    <cfRule type="cellIs" dxfId="1163" priority="4720" operator="equal">
      <formula>"Под проект"</formula>
    </cfRule>
  </conditionalFormatting>
  <conditionalFormatting sqref="H79:L79">
    <cfRule type="cellIs" dxfId="1162" priority="4719" operator="equal">
      <formula>"НЕТ"</formula>
    </cfRule>
    <cfRule type="cellIs" dxfId="1161" priority="4718" operator="equal">
      <formula>"Да"</formula>
    </cfRule>
    <cfRule type="cellIs" dxfId="1160" priority="4717" operator="equal">
      <formula>"В разработке"</formula>
    </cfRule>
    <cfRule type="cellIs" dxfId="1159" priority="4716" operator="equal">
      <formula>"Под проект"</formula>
    </cfRule>
  </conditionalFormatting>
  <conditionalFormatting sqref="H83:L83">
    <cfRule type="cellIs" dxfId="1158" priority="4715" operator="equal">
      <formula>"НЕТ"</formula>
    </cfRule>
    <cfRule type="cellIs" dxfId="1157" priority="4712" operator="equal">
      <formula>"Под проект"</formula>
    </cfRule>
    <cfRule type="cellIs" dxfId="1156" priority="4714" operator="equal">
      <formula>"Да"</formula>
    </cfRule>
    <cfRule type="cellIs" dxfId="1155" priority="4713" operator="equal">
      <formula>"В разработке"</formula>
    </cfRule>
  </conditionalFormatting>
  <conditionalFormatting sqref="H88:L88">
    <cfRule type="cellIs" dxfId="1154" priority="4709" operator="equal">
      <formula>"В разработке"</formula>
    </cfRule>
    <cfRule type="cellIs" dxfId="1153" priority="4708" operator="equal">
      <formula>"Под проект"</formula>
    </cfRule>
    <cfRule type="cellIs" dxfId="1152" priority="4711" operator="equal">
      <formula>"НЕТ"</formula>
    </cfRule>
    <cfRule type="cellIs" dxfId="1151" priority="4710" operator="equal">
      <formula>"Да"</formula>
    </cfRule>
  </conditionalFormatting>
  <conditionalFormatting sqref="H93:L93">
    <cfRule type="cellIs" dxfId="1150" priority="3655" operator="equal">
      <formula>"НЕТ"</formula>
    </cfRule>
    <cfRule type="cellIs" dxfId="1149" priority="3653" operator="equal">
      <formula>"В разработке"</formula>
    </cfRule>
    <cfRule type="cellIs" dxfId="1148" priority="3654" operator="equal">
      <formula>"Да"</formula>
    </cfRule>
    <cfRule type="cellIs" dxfId="1147" priority="3652" operator="equal">
      <formula>"Под проект"</formula>
    </cfRule>
  </conditionalFormatting>
  <conditionalFormatting sqref="H97:L97">
    <cfRule type="cellIs" dxfId="1146" priority="4700" operator="equal">
      <formula>"Под проект"</formula>
    </cfRule>
    <cfRule type="cellIs" dxfId="1145" priority="4703" operator="equal">
      <formula>"НЕТ"</formula>
    </cfRule>
    <cfRule type="cellIs" dxfId="1144" priority="4702" operator="equal">
      <formula>"Да"</formula>
    </cfRule>
    <cfRule type="cellIs" dxfId="1143" priority="4701" operator="equal">
      <formula>"В разработке"</formula>
    </cfRule>
  </conditionalFormatting>
  <conditionalFormatting sqref="H99:L99">
    <cfRule type="cellIs" dxfId="1142" priority="4699" operator="equal">
      <formula>"НЕТ"</formula>
    </cfRule>
    <cfRule type="cellIs" dxfId="1141" priority="4698" operator="equal">
      <formula>"Да"</formula>
    </cfRule>
    <cfRule type="cellIs" dxfId="1140" priority="4697" operator="equal">
      <formula>"В разработке"</formula>
    </cfRule>
    <cfRule type="cellIs" dxfId="1139" priority="4696" operator="equal">
      <formula>"Под проект"</formula>
    </cfRule>
  </conditionalFormatting>
  <conditionalFormatting sqref="H101:L101">
    <cfRule type="cellIs" dxfId="1138" priority="4694" operator="equal">
      <formula>"Да"</formula>
    </cfRule>
    <cfRule type="cellIs" dxfId="1137" priority="4692" operator="equal">
      <formula>"Под проект"</formula>
    </cfRule>
    <cfRule type="cellIs" dxfId="1136" priority="4693" operator="equal">
      <formula>"В разработке"</formula>
    </cfRule>
    <cfRule type="cellIs" dxfId="1135" priority="4695" operator="equal">
      <formula>"НЕТ"</formula>
    </cfRule>
  </conditionalFormatting>
  <conditionalFormatting sqref="H107:L107">
    <cfRule type="cellIs" dxfId="1134" priority="4684" operator="equal">
      <formula>"Под проект"</formula>
    </cfRule>
    <cfRule type="cellIs" dxfId="1133" priority="4685" operator="equal">
      <formula>"В разработке"</formula>
    </cfRule>
    <cfRule type="cellIs" dxfId="1132" priority="4686" operator="equal">
      <formula>"Да"</formula>
    </cfRule>
    <cfRule type="cellIs" dxfId="1131" priority="4687" operator="equal">
      <formula>"НЕТ"</formula>
    </cfRule>
  </conditionalFormatting>
  <conditionalFormatting sqref="H115:L115">
    <cfRule type="cellIs" dxfId="1130" priority="4679" operator="equal">
      <formula>"НЕТ"</formula>
    </cfRule>
    <cfRule type="cellIs" dxfId="1129" priority="4678" operator="equal">
      <formula>"Да"</formula>
    </cfRule>
    <cfRule type="cellIs" dxfId="1128" priority="4677" operator="equal">
      <formula>"В разработке"</formula>
    </cfRule>
    <cfRule type="cellIs" dxfId="1127" priority="4676" operator="equal">
      <formula>"Под проект"</formula>
    </cfRule>
  </conditionalFormatting>
  <conditionalFormatting sqref="H120:L120">
    <cfRule type="cellIs" dxfId="1126" priority="4668" operator="equal">
      <formula>"Под проект"</formula>
    </cfRule>
    <cfRule type="cellIs" dxfId="1125" priority="4671" operator="equal">
      <formula>"НЕТ"</formula>
    </cfRule>
    <cfRule type="cellIs" dxfId="1124" priority="4670" operator="equal">
      <formula>"Да"</formula>
    </cfRule>
    <cfRule type="cellIs" dxfId="1123" priority="4669" operator="equal">
      <formula>"В разработке"</formula>
    </cfRule>
  </conditionalFormatting>
  <conditionalFormatting sqref="H130:L130">
    <cfRule type="cellIs" dxfId="1122" priority="4659" operator="equal">
      <formula>"Частично"</formula>
    </cfRule>
  </conditionalFormatting>
  <conditionalFormatting sqref="H130:L134">
    <cfRule type="cellIs" dxfId="1121" priority="4577" operator="equal">
      <formula>"Под проект"</formula>
    </cfRule>
    <cfRule type="cellIs" dxfId="1120" priority="4580" operator="equal">
      <formula>"НЕТ"</formula>
    </cfRule>
    <cfRule type="cellIs" dxfId="1119" priority="4579" operator="equal">
      <formula>"Да"</formula>
    </cfRule>
    <cfRule type="cellIs" dxfId="1118" priority="4578" operator="equal">
      <formula>"В разработке"</formula>
    </cfRule>
  </conditionalFormatting>
  <conditionalFormatting sqref="H134:L134">
    <cfRule type="cellIs" dxfId="1117" priority="4576" operator="equal">
      <formula>"Частично"</formula>
    </cfRule>
  </conditionalFormatting>
  <conditionalFormatting sqref="H137:L137">
    <cfRule type="cellIs" dxfId="1116" priority="4551" operator="equal">
      <formula>"Частично"</formula>
    </cfRule>
    <cfRule type="cellIs" dxfId="1115" priority="4553" operator="equal">
      <formula>"В разработке"</formula>
    </cfRule>
    <cfRule type="cellIs" dxfId="1114" priority="4554" operator="equal">
      <formula>"Да"</formula>
    </cfRule>
    <cfRule type="cellIs" dxfId="1113" priority="4555" operator="equal">
      <formula>"НЕТ"</formula>
    </cfRule>
    <cfRule type="cellIs" dxfId="1112" priority="4552" operator="equal">
      <formula>"Под проект"</formula>
    </cfRule>
  </conditionalFormatting>
  <conditionalFormatting sqref="H141:L141">
    <cfRule type="cellIs" dxfId="1111" priority="4529" operator="equal">
      <formula>"Да"</formula>
    </cfRule>
    <cfRule type="cellIs" dxfId="1110" priority="4528" operator="equal">
      <formula>"В разработке"</formula>
    </cfRule>
    <cfRule type="cellIs" dxfId="1109" priority="4527" operator="equal">
      <formula>"Под проект"</formula>
    </cfRule>
    <cfRule type="cellIs" dxfId="1108" priority="4526" operator="equal">
      <formula>"Частично"</formula>
    </cfRule>
    <cfRule type="cellIs" dxfId="1107" priority="4530" operator="equal">
      <formula>"НЕТ"</formula>
    </cfRule>
  </conditionalFormatting>
  <conditionalFormatting sqref="H144:L144">
    <cfRule type="cellIs" dxfId="1106" priority="4519" operator="equal">
      <formula>"Да"</formula>
    </cfRule>
    <cfRule type="cellIs" dxfId="1105" priority="4517" operator="equal">
      <formula>"Под проект"</formula>
    </cfRule>
    <cfRule type="cellIs" dxfId="1104" priority="4516" operator="equal">
      <formula>"Частично"</formula>
    </cfRule>
    <cfRule type="cellIs" dxfId="1103" priority="4520" operator="equal">
      <formula>"НЕТ"</formula>
    </cfRule>
    <cfRule type="cellIs" dxfId="1102" priority="4518" operator="equal">
      <formula>"В разработке"</formula>
    </cfRule>
  </conditionalFormatting>
  <conditionalFormatting sqref="H146:L146">
    <cfRule type="cellIs" dxfId="1101" priority="4491" operator="equal">
      <formula>"Частично"</formula>
    </cfRule>
    <cfRule type="cellIs" dxfId="1100" priority="4495" operator="equal">
      <formula>"НЕТ"</formula>
    </cfRule>
    <cfRule type="cellIs" dxfId="1099" priority="4493" operator="equal">
      <formula>"В разработке"</formula>
    </cfRule>
    <cfRule type="cellIs" dxfId="1098" priority="4492" operator="equal">
      <formula>"Под проект"</formula>
    </cfRule>
    <cfRule type="cellIs" dxfId="1097" priority="4494" operator="equal">
      <formula>"Да"</formula>
    </cfRule>
  </conditionalFormatting>
  <conditionalFormatting sqref="H153:L153">
    <cfRule type="cellIs" dxfId="1096" priority="4444" operator="equal">
      <formula>"В разработке"</formula>
    </cfRule>
    <cfRule type="cellIs" dxfId="1095" priority="4443" operator="equal">
      <formula>"Под проект"</formula>
    </cfRule>
    <cfRule type="cellIs" dxfId="1094" priority="4442" operator="equal">
      <formula>"Частично"</formula>
    </cfRule>
    <cfRule type="cellIs" dxfId="1093" priority="4445" operator="equal">
      <formula>"Да"</formula>
    </cfRule>
    <cfRule type="cellIs" dxfId="1092" priority="4446" operator="equal">
      <formula>"НЕТ"</formula>
    </cfRule>
  </conditionalFormatting>
  <conditionalFormatting sqref="H161:L161">
    <cfRule type="cellIs" dxfId="1091" priority="4397" operator="equal">
      <formula>"Частично"</formula>
    </cfRule>
    <cfRule type="cellIs" dxfId="1090" priority="4399" operator="equal">
      <formula>"В разработке"</formula>
    </cfRule>
    <cfRule type="cellIs" dxfId="1089" priority="4398" operator="equal">
      <formula>"Под проект"</formula>
    </cfRule>
    <cfRule type="cellIs" dxfId="1088" priority="4400" operator="equal">
      <formula>"Да"</formula>
    </cfRule>
    <cfRule type="cellIs" dxfId="1087" priority="4401" operator="equal">
      <formula>"НЕТ"</formula>
    </cfRule>
  </conditionalFormatting>
  <conditionalFormatting sqref="H165:L165">
    <cfRule type="cellIs" dxfId="1086" priority="4374" operator="equal">
      <formula>"В разработке"</formula>
    </cfRule>
    <cfRule type="cellIs" dxfId="1085" priority="4375" operator="equal">
      <formula>"Да"</formula>
    </cfRule>
    <cfRule type="cellIs" dxfId="1084" priority="4373" operator="equal">
      <formula>"Под проект"</formula>
    </cfRule>
    <cfRule type="cellIs" dxfId="1083" priority="4376" operator="equal">
      <formula>"НЕТ"</formula>
    </cfRule>
    <cfRule type="cellIs" dxfId="1082" priority="4372" operator="equal">
      <formula>"Частично"</formula>
    </cfRule>
  </conditionalFormatting>
  <conditionalFormatting sqref="H170:L170">
    <cfRule type="cellIs" dxfId="1081" priority="4349" operator="equal">
      <formula>"В разработке"</formula>
    </cfRule>
    <cfRule type="cellIs" dxfId="1080" priority="4347" operator="equal">
      <formula>"Частично"</formula>
    </cfRule>
    <cfRule type="cellIs" dxfId="1079" priority="4348" operator="equal">
      <formula>"Под проект"</formula>
    </cfRule>
    <cfRule type="cellIs" dxfId="1078" priority="4351" operator="equal">
      <formula>"НЕТ"</formula>
    </cfRule>
    <cfRule type="cellIs" dxfId="1077" priority="4350" operator="equal">
      <formula>"Да"</formula>
    </cfRule>
  </conditionalFormatting>
  <conditionalFormatting sqref="H175:L176">
    <cfRule type="cellIs" dxfId="1076" priority="4297" operator="equal">
      <formula>"Частично"</formula>
    </cfRule>
    <cfRule type="cellIs" dxfId="1075" priority="4298" operator="equal">
      <formula>"Под проект"</formula>
    </cfRule>
    <cfRule type="cellIs" dxfId="1074" priority="4301" operator="equal">
      <formula>"НЕТ"</formula>
    </cfRule>
    <cfRule type="cellIs" dxfId="1073" priority="4300" operator="equal">
      <formula>"Да"</formula>
    </cfRule>
    <cfRule type="cellIs" dxfId="1072" priority="4299" operator="equal">
      <formula>"В разработке"</formula>
    </cfRule>
  </conditionalFormatting>
  <conditionalFormatting sqref="H178:L178">
    <cfRule type="cellIs" dxfId="1071" priority="4192" operator="equal">
      <formula>"Частично"</formula>
    </cfRule>
    <cfRule type="cellIs" dxfId="1070" priority="4193" operator="equal">
      <formula>"Под проект"</formula>
    </cfRule>
    <cfRule type="cellIs" dxfId="1069" priority="4194" operator="equal">
      <formula>"В разработке"</formula>
    </cfRule>
    <cfRule type="cellIs" dxfId="1068" priority="4195" operator="equal">
      <formula>"Да"</formula>
    </cfRule>
    <cfRule type="cellIs" dxfId="1067" priority="4196" operator="equal">
      <formula>"НЕТ"</formula>
    </cfRule>
  </conditionalFormatting>
  <conditionalFormatting sqref="H183:L183">
    <cfRule type="cellIs" dxfId="1066" priority="4190" operator="equal">
      <formula>"Да"</formula>
    </cfRule>
    <cfRule type="cellIs" dxfId="1065" priority="4191" operator="equal">
      <formula>"НЕТ"</formula>
    </cfRule>
    <cfRule type="cellIs" dxfId="1064" priority="4189" operator="equal">
      <formula>"В разработке"</formula>
    </cfRule>
    <cfRule type="cellIs" dxfId="1063" priority="4187" operator="equal">
      <formula>"Частично"</formula>
    </cfRule>
    <cfRule type="cellIs" dxfId="1062" priority="4188" operator="equal">
      <formula>"Под проект"</formula>
    </cfRule>
  </conditionalFormatting>
  <conditionalFormatting sqref="H187:L187">
    <cfRule type="cellIs" dxfId="1061" priority="4185" operator="equal">
      <formula>"Да"</formula>
    </cfRule>
    <cfRule type="cellIs" dxfId="1060" priority="4182" operator="equal">
      <formula>"Частично"</formula>
    </cfRule>
    <cfRule type="cellIs" dxfId="1059" priority="4184" operator="equal">
      <formula>"В разработке"</formula>
    </cfRule>
    <cfRule type="cellIs" dxfId="1058" priority="4183" operator="equal">
      <formula>"Под проект"</formula>
    </cfRule>
    <cfRule type="cellIs" dxfId="1057" priority="4186" operator="equal">
      <formula>"НЕТ"</formula>
    </cfRule>
  </conditionalFormatting>
  <conditionalFormatting sqref="H190:L190">
    <cfRule type="cellIs" dxfId="1056" priority="4177" operator="equal">
      <formula>"Частично"</formula>
    </cfRule>
    <cfRule type="cellIs" dxfId="1055" priority="4178" operator="equal">
      <formula>"Под проект"</formula>
    </cfRule>
    <cfRule type="cellIs" dxfId="1054" priority="4180" operator="equal">
      <formula>"Да"</formula>
    </cfRule>
    <cfRule type="cellIs" dxfId="1053" priority="4181" operator="equal">
      <formula>"НЕТ"</formula>
    </cfRule>
    <cfRule type="cellIs" dxfId="1052" priority="4179" operator="equal">
      <formula>"В разработке"</formula>
    </cfRule>
  </conditionalFormatting>
  <conditionalFormatting sqref="H200:L200">
    <cfRule type="cellIs" dxfId="1051" priority="4176" operator="equal">
      <formula>"НЕТ"</formula>
    </cfRule>
    <cfRule type="cellIs" dxfId="1050" priority="4175" operator="equal">
      <formula>"Да"</formula>
    </cfRule>
    <cfRule type="cellIs" dxfId="1049" priority="4174" operator="equal">
      <formula>"В разработке"</formula>
    </cfRule>
    <cfRule type="cellIs" dxfId="1048" priority="4173" operator="equal">
      <formula>"Под проект"</formula>
    </cfRule>
    <cfRule type="cellIs" dxfId="1047" priority="4172" operator="equal">
      <formula>"Частично"</formula>
    </cfRule>
  </conditionalFormatting>
  <conditionalFormatting sqref="H209:L210">
    <cfRule type="cellIs" dxfId="1046" priority="4093" operator="equal">
      <formula>"Под проект"</formula>
    </cfRule>
    <cfRule type="cellIs" dxfId="1045" priority="4094" operator="equal">
      <formula>"В разработке"</formula>
    </cfRule>
    <cfRule type="cellIs" dxfId="1044" priority="4092" operator="equal">
      <formula>"Частично"</formula>
    </cfRule>
    <cfRule type="cellIs" dxfId="1043" priority="4095" operator="equal">
      <formula>"Да"</formula>
    </cfRule>
    <cfRule type="cellIs" dxfId="1042" priority="4096" operator="equal">
      <formula>"НЕТ"</formula>
    </cfRule>
  </conditionalFormatting>
  <conditionalFormatting sqref="H212:L212">
    <cfRule type="cellIs" dxfId="1041" priority="4071" operator="equal">
      <formula>"НЕТ"</formula>
    </cfRule>
    <cfRule type="cellIs" dxfId="1040" priority="4070" operator="equal">
      <formula>"Да"</formula>
    </cfRule>
    <cfRule type="cellIs" dxfId="1039" priority="4069" operator="equal">
      <formula>"В разработке"</formula>
    </cfRule>
    <cfRule type="cellIs" dxfId="1038" priority="4068" operator="equal">
      <formula>"Под проект"</formula>
    </cfRule>
    <cfRule type="cellIs" dxfId="1037" priority="4067" operator="equal">
      <formula>"Частично"</formula>
    </cfRule>
  </conditionalFormatting>
  <conditionalFormatting sqref="H217:L217 H227:L227 H234:L234 H241:L241 H247:L247">
    <cfRule type="cellIs" dxfId="1036" priority="3997" operator="equal">
      <formula>"Частично"</formula>
    </cfRule>
    <cfRule type="cellIs" dxfId="1035" priority="3998" operator="equal">
      <formula>"Под проект"</formula>
    </cfRule>
    <cfRule type="cellIs" dxfId="1034" priority="3999" operator="equal">
      <formula>"В разработке"</formula>
    </cfRule>
    <cfRule type="cellIs" dxfId="1033" priority="4000" operator="equal">
      <formula>"Да"</formula>
    </cfRule>
    <cfRule type="cellIs" dxfId="1032" priority="4001" operator="equal">
      <formula>"НЕТ"</formula>
    </cfRule>
  </conditionalFormatting>
  <conditionalFormatting sqref="H250:L253">
    <cfRule type="cellIs" dxfId="1031" priority="3948" operator="equal">
      <formula>"Под проект"</formula>
    </cfRule>
    <cfRule type="cellIs" dxfId="1030" priority="3947" operator="equal">
      <formula>"Частично"</formula>
    </cfRule>
    <cfRule type="cellIs" dxfId="1029" priority="3949" operator="equal">
      <formula>"В разработке"</formula>
    </cfRule>
    <cfRule type="cellIs" dxfId="1028" priority="3950" operator="equal">
      <formula>"Да"</formula>
    </cfRule>
    <cfRule type="cellIs" dxfId="1027" priority="3951" operator="equal">
      <formula>"НЕТ"</formula>
    </cfRule>
  </conditionalFormatting>
  <conditionalFormatting sqref="H255:L255">
    <cfRule type="cellIs" dxfId="1026" priority="3926" operator="equal">
      <formula>"НЕТ"</formula>
    </cfRule>
    <cfRule type="cellIs" dxfId="1025" priority="3924" operator="equal">
      <formula>"В разработке"</formula>
    </cfRule>
    <cfRule type="cellIs" dxfId="1024" priority="3925" operator="equal">
      <formula>"Да"</formula>
    </cfRule>
    <cfRule type="cellIs" dxfId="1023" priority="3922" operator="equal">
      <formula>"Частично"</formula>
    </cfRule>
    <cfRule type="cellIs" dxfId="1022" priority="3923" operator="equal">
      <formula>"Под проект"</formula>
    </cfRule>
  </conditionalFormatting>
  <conditionalFormatting sqref="H257:L257">
    <cfRule type="cellIs" dxfId="1021" priority="3897" operator="equal">
      <formula>"Частично"</formula>
    </cfRule>
    <cfRule type="cellIs" dxfId="1020" priority="3899" operator="equal">
      <formula>"В разработке"</formula>
    </cfRule>
    <cfRule type="cellIs" dxfId="1019" priority="3898" operator="equal">
      <formula>"Под проект"</formula>
    </cfRule>
    <cfRule type="cellIs" dxfId="1018" priority="3901" operator="equal">
      <formula>"НЕТ"</formula>
    </cfRule>
    <cfRule type="cellIs" dxfId="1017" priority="3900" operator="equal">
      <formula>"Да"</formula>
    </cfRule>
  </conditionalFormatting>
  <conditionalFormatting sqref="H260:L263">
    <cfRule type="cellIs" dxfId="1016" priority="3876" operator="equal">
      <formula>"НЕТ"</formula>
    </cfRule>
    <cfRule type="cellIs" dxfId="1015" priority="3872" operator="equal">
      <formula>"Частично"</formula>
    </cfRule>
    <cfRule type="cellIs" dxfId="1014" priority="3873" operator="equal">
      <formula>"Под проект"</formula>
    </cfRule>
    <cfRule type="cellIs" dxfId="1013" priority="3874" operator="equal">
      <formula>"В разработке"</formula>
    </cfRule>
    <cfRule type="cellIs" dxfId="1012" priority="3875" operator="equal">
      <formula>"Да"</formula>
    </cfRule>
  </conditionalFormatting>
  <conditionalFormatting sqref="H265:L265">
    <cfRule type="cellIs" dxfId="1011" priority="3868" operator="equal">
      <formula>"Под проект"</formula>
    </cfRule>
    <cfRule type="cellIs" dxfId="1010" priority="3869" operator="equal">
      <formula>"В разработке"</formula>
    </cfRule>
    <cfRule type="cellIs" dxfId="1009" priority="3867" operator="equal">
      <formula>"Частично"</formula>
    </cfRule>
    <cfRule type="cellIs" dxfId="1008" priority="3870" operator="equal">
      <formula>"Да"</formula>
    </cfRule>
    <cfRule type="cellIs" dxfId="1007" priority="3871" operator="equal">
      <formula>"НЕТ"</formula>
    </cfRule>
  </conditionalFormatting>
  <conditionalFormatting sqref="H281:L281">
    <cfRule type="cellIs" dxfId="1006" priority="3837" operator="equal">
      <formula>"Частично"</formula>
    </cfRule>
    <cfRule type="cellIs" dxfId="1005" priority="3841" operator="equal">
      <formula>"НЕТ"</formula>
    </cfRule>
    <cfRule type="cellIs" dxfId="1004" priority="3840" operator="equal">
      <formula>"Да"</formula>
    </cfRule>
    <cfRule type="cellIs" dxfId="1003" priority="3839" operator="equal">
      <formula>"В разработке"</formula>
    </cfRule>
    <cfRule type="cellIs" dxfId="1002" priority="3838" operator="equal">
      <formula>"Под проект"</formula>
    </cfRule>
  </conditionalFormatting>
  <conditionalFormatting sqref="H285:L285">
    <cfRule type="cellIs" dxfId="1001" priority="3815" operator="equal">
      <formula>"Да"</formula>
    </cfRule>
    <cfRule type="cellIs" dxfId="1000" priority="3812" operator="equal">
      <formula>"Частично"</formula>
    </cfRule>
    <cfRule type="cellIs" dxfId="999" priority="3814" operator="equal">
      <formula>"В разработке"</formula>
    </cfRule>
    <cfRule type="cellIs" dxfId="998" priority="3816" operator="equal">
      <formula>"НЕТ"</formula>
    </cfRule>
    <cfRule type="cellIs" dxfId="997" priority="3813" operator="equal">
      <formula>"Под проект"</formula>
    </cfRule>
  </conditionalFormatting>
  <conditionalFormatting sqref="H295:L295">
    <cfRule type="cellIs" dxfId="996" priority="3808" operator="equal">
      <formula>"Под проект"</formula>
    </cfRule>
    <cfRule type="cellIs" dxfId="995" priority="3807" operator="equal">
      <formula>"Частично"</formula>
    </cfRule>
    <cfRule type="cellIs" dxfId="994" priority="3811" operator="equal">
      <formula>"НЕТ"</formula>
    </cfRule>
    <cfRule type="cellIs" dxfId="993" priority="3810" operator="equal">
      <formula>"Да"</formula>
    </cfRule>
    <cfRule type="cellIs" dxfId="992" priority="3809" operator="equal">
      <formula>"В разработке"</formula>
    </cfRule>
  </conditionalFormatting>
  <conditionalFormatting sqref="J213:K213">
    <cfRule type="cellIs" dxfId="991" priority="4054" operator="equal">
      <formula>"В разработке"</formula>
    </cfRule>
    <cfRule type="cellIs" dxfId="990" priority="4052" operator="equal">
      <formula>"Частично"</formula>
    </cfRule>
    <cfRule type="cellIs" dxfId="989" priority="4053" operator="equal">
      <formula>"Под проект"</formula>
    </cfRule>
    <cfRule type="cellIs" dxfId="988" priority="4055" operator="equal">
      <formula>"Да"</formula>
    </cfRule>
    <cfRule type="cellIs" dxfId="987" priority="4056" operator="equal">
      <formula>"НЕТ"</formula>
    </cfRule>
  </conditionalFormatting>
  <conditionalFormatting sqref="J215:K215">
    <cfRule type="cellIs" dxfId="986" priority="4057" operator="equal">
      <formula>"Частично"</formula>
    </cfRule>
    <cfRule type="cellIs" dxfId="985" priority="4061" operator="equal">
      <formula>"НЕТ"</formula>
    </cfRule>
    <cfRule type="cellIs" dxfId="984" priority="4059" operator="equal">
      <formula>"В разработке"</formula>
    </cfRule>
    <cfRule type="cellIs" dxfId="983" priority="4058" operator="equal">
      <formula>"Под проект"</formula>
    </cfRule>
    <cfRule type="cellIs" dxfId="982" priority="4060" operator="equal">
      <formula>"Да"</formula>
    </cfRule>
  </conditionalFormatting>
  <conditionalFormatting sqref="M328:Z328">
    <cfRule type="cellIs" dxfId="981" priority="5118" operator="equal">
      <formula>"НЕТ"</formula>
    </cfRule>
    <cfRule type="cellIs" dxfId="980" priority="5119" operator="equal">
      <formula>"ДА"</formula>
    </cfRule>
  </conditionalFormatting>
  <conditionalFormatting sqref="M10:AC10 AN311:AN347 AM329:AM347 AM348:AN355">
    <cfRule type="cellIs" dxfId="979" priority="5159" operator="equal">
      <formula>"ДА"</formula>
    </cfRule>
    <cfRule type="cellIs" dxfId="978" priority="5158" operator="equal">
      <formula>"НЕТ"</formula>
    </cfRule>
  </conditionalFormatting>
  <conditionalFormatting sqref="M38:AC38">
    <cfRule type="cellIs" dxfId="977" priority="5136" operator="equal">
      <formula>"НЕТ"</formula>
    </cfRule>
    <cfRule type="cellIs" dxfId="976" priority="5137" operator="equal">
      <formula>"ДА"</formula>
    </cfRule>
  </conditionalFormatting>
  <conditionalFormatting sqref="M67:AC67">
    <cfRule type="cellIs" dxfId="975" priority="5134" operator="equal">
      <formula>"НЕТ"</formula>
    </cfRule>
    <cfRule type="cellIs" dxfId="974" priority="5135" operator="equal">
      <formula>"ДА"</formula>
    </cfRule>
  </conditionalFormatting>
  <conditionalFormatting sqref="M100:AC100">
    <cfRule type="cellIs" dxfId="973" priority="5132" operator="equal">
      <formula>"НЕТ"</formula>
    </cfRule>
    <cfRule type="cellIs" dxfId="972" priority="5133" operator="equal">
      <formula>"ДА"</formula>
    </cfRule>
  </conditionalFormatting>
  <conditionalFormatting sqref="M147:AC147">
    <cfRule type="cellIs" dxfId="971" priority="5044" operator="equal">
      <formula>"НЕТ"</formula>
    </cfRule>
    <cfRule type="cellIs" dxfId="970" priority="5045" operator="equal">
      <formula>"ДА"</formula>
    </cfRule>
  </conditionalFormatting>
  <conditionalFormatting sqref="M177:AC177">
    <cfRule type="cellIs" dxfId="969" priority="5128" operator="equal">
      <formula>"НЕТ"</formula>
    </cfRule>
    <cfRule type="cellIs" dxfId="968" priority="5129" operator="equal">
      <formula>"ДА"</formula>
    </cfRule>
  </conditionalFormatting>
  <conditionalFormatting sqref="M211:AC211">
    <cfRule type="cellIs" dxfId="967" priority="5126" operator="equal">
      <formula>"НЕТ"</formula>
    </cfRule>
    <cfRule type="cellIs" dxfId="966" priority="5127" operator="equal">
      <formula>"ДА"</formula>
    </cfRule>
  </conditionalFormatting>
  <conditionalFormatting sqref="M254:AC254">
    <cfRule type="cellIs" dxfId="965" priority="5124" operator="equal">
      <formula>"НЕТ"</formula>
    </cfRule>
    <cfRule type="cellIs" dxfId="964" priority="5125" operator="equal">
      <formula>"ДА"</formula>
    </cfRule>
  </conditionalFormatting>
  <conditionalFormatting sqref="M264:AC264">
    <cfRule type="cellIs" dxfId="963" priority="5122" operator="equal">
      <formula>"НЕТ"</formula>
    </cfRule>
    <cfRule type="cellIs" dxfId="962" priority="5123" operator="equal">
      <formula>"ДА"</formula>
    </cfRule>
  </conditionalFormatting>
  <conditionalFormatting sqref="M298:AC298">
    <cfRule type="cellIs" dxfId="961" priority="5120" operator="equal">
      <formula>"НЕТ"</formula>
    </cfRule>
    <cfRule type="cellIs" dxfId="960" priority="5121" operator="equal">
      <formula>"ДА"</formula>
    </cfRule>
  </conditionalFormatting>
  <conditionalFormatting sqref="AA299:AL355">
    <cfRule type="cellIs" dxfId="959" priority="1" operator="equal">
      <formula>"НЕТ"</formula>
    </cfRule>
    <cfRule type="cellIs" dxfId="958" priority="2" operator="equal">
      <formula>"ДА"</formula>
    </cfRule>
  </conditionalFormatting>
  <conditionalFormatting sqref="AA11:AM11">
    <cfRule type="cellIs" dxfId="957" priority="802" operator="equal">
      <formula>"ДА"</formula>
    </cfRule>
    <cfRule type="cellIs" dxfId="956" priority="801" operator="equal">
      <formula>"НЕТ"</formula>
    </cfRule>
  </conditionalFormatting>
  <conditionalFormatting sqref="AA37:AM37">
    <cfRule type="cellIs" dxfId="955" priority="732" operator="equal">
      <formula>"ДА"</formula>
    </cfRule>
    <cfRule type="cellIs" dxfId="954" priority="731" operator="equal">
      <formula>"НЕТ"</formula>
    </cfRule>
  </conditionalFormatting>
  <conditionalFormatting sqref="AA39:AM39">
    <cfRule type="cellIs" dxfId="953" priority="722" operator="equal">
      <formula>"ДА"</formula>
    </cfRule>
    <cfRule type="cellIs" dxfId="952" priority="721" operator="equal">
      <formula>"НЕТ"</formula>
    </cfRule>
  </conditionalFormatting>
  <conditionalFormatting sqref="AA64:AM66">
    <cfRule type="cellIs" dxfId="951" priority="651" operator="equal">
      <formula>"НЕТ"</formula>
    </cfRule>
    <cfRule type="cellIs" dxfId="950" priority="652" operator="equal">
      <formula>"ДА"</formula>
    </cfRule>
  </conditionalFormatting>
  <conditionalFormatting sqref="AA68:AM68">
    <cfRule type="cellIs" dxfId="949" priority="642" operator="equal">
      <formula>"ДА"</formula>
    </cfRule>
    <cfRule type="cellIs" dxfId="948" priority="641" operator="equal">
      <formula>"НЕТ"</formula>
    </cfRule>
  </conditionalFormatting>
  <conditionalFormatting sqref="AA99:AM99">
    <cfRule type="cellIs" dxfId="947" priority="571" operator="equal">
      <formula>"НЕТ"</formula>
    </cfRule>
    <cfRule type="cellIs" dxfId="946" priority="572" operator="equal">
      <formula>"ДА"</formula>
    </cfRule>
  </conditionalFormatting>
  <conditionalFormatting sqref="AA101:AM101">
    <cfRule type="cellIs" dxfId="945" priority="561" operator="equal">
      <formula>"НЕТ"</formula>
    </cfRule>
    <cfRule type="cellIs" dxfId="944" priority="562" operator="equal">
      <formula>"ДА"</formula>
    </cfRule>
  </conditionalFormatting>
  <conditionalFormatting sqref="AA146:AM146">
    <cfRule type="cellIs" dxfId="943" priority="471" operator="equal">
      <formula>"НЕТ"</formula>
    </cfRule>
    <cfRule type="cellIs" dxfId="942" priority="472" operator="equal">
      <formula>"ДА"</formula>
    </cfRule>
  </conditionalFormatting>
  <conditionalFormatting sqref="AA175:AM176">
    <cfRule type="cellIs" dxfId="941" priority="401" operator="equal">
      <formula>"НЕТ"</formula>
    </cfRule>
    <cfRule type="cellIs" dxfId="940" priority="402" operator="equal">
      <formula>"ДА"</formula>
    </cfRule>
  </conditionalFormatting>
  <conditionalFormatting sqref="AA178:AM178">
    <cfRule type="cellIs" dxfId="939" priority="392" operator="equal">
      <formula>"ДА"</formula>
    </cfRule>
    <cfRule type="cellIs" dxfId="938" priority="391" operator="equal">
      <formula>"НЕТ"</formula>
    </cfRule>
  </conditionalFormatting>
  <conditionalFormatting sqref="AA209:AM210">
    <cfRule type="cellIs" dxfId="937" priority="332" operator="equal">
      <formula>"ДА"</formula>
    </cfRule>
    <cfRule type="cellIs" dxfId="936" priority="331" operator="equal">
      <formula>"НЕТ"</formula>
    </cfRule>
  </conditionalFormatting>
  <conditionalFormatting sqref="AA250:AM253">
    <cfRule type="cellIs" dxfId="935" priority="211" operator="equal">
      <formula>"НЕТ"</formula>
    </cfRule>
    <cfRule type="cellIs" dxfId="934" priority="212" operator="equal">
      <formula>"ДА"</formula>
    </cfRule>
  </conditionalFormatting>
  <conditionalFormatting sqref="AA255:AM255">
    <cfRule type="cellIs" dxfId="933" priority="201" operator="equal">
      <formula>"НЕТ"</formula>
    </cfRule>
    <cfRule type="cellIs" dxfId="932" priority="202" operator="equal">
      <formula>"ДА"</formula>
    </cfRule>
  </conditionalFormatting>
  <conditionalFormatting sqref="AA260:AM263">
    <cfRule type="cellIs" dxfId="931" priority="151" operator="equal">
      <formula>"НЕТ"</formula>
    </cfRule>
    <cfRule type="cellIs" dxfId="930" priority="152" operator="equal">
      <formula>"ДА"</formula>
    </cfRule>
  </conditionalFormatting>
  <conditionalFormatting sqref="AA265:AM265">
    <cfRule type="cellIs" dxfId="929" priority="141" operator="equal">
      <formula>"НЕТ"</formula>
    </cfRule>
    <cfRule type="cellIs" dxfId="928" priority="142" operator="equal">
      <formula>"ДА"</formula>
    </cfRule>
  </conditionalFormatting>
  <conditionalFormatting sqref="AA14:AN14">
    <cfRule type="cellIs" dxfId="927" priority="792" operator="equal">
      <formula>"ДА"</formula>
    </cfRule>
    <cfRule type="cellIs" dxfId="926" priority="791" operator="equal">
      <formula>"НЕТ"</formula>
    </cfRule>
  </conditionalFormatting>
  <conditionalFormatting sqref="AA17:AN17">
    <cfRule type="cellIs" dxfId="925" priority="782" operator="equal">
      <formula>"ДА"</formula>
    </cfRule>
    <cfRule type="cellIs" dxfId="924" priority="781" operator="equal">
      <formula>"НЕТ"</formula>
    </cfRule>
  </conditionalFormatting>
  <conditionalFormatting sqref="AA20:AN20">
    <cfRule type="cellIs" dxfId="923" priority="772" operator="equal">
      <formula>"ДА"</formula>
    </cfRule>
    <cfRule type="cellIs" dxfId="922" priority="771" operator="equal">
      <formula>"НЕТ"</formula>
    </cfRule>
  </conditionalFormatting>
  <conditionalFormatting sqref="AA27:AN27">
    <cfRule type="cellIs" dxfId="921" priority="761" operator="equal">
      <formula>"НЕТ"</formula>
    </cfRule>
    <cfRule type="cellIs" dxfId="920" priority="762" operator="equal">
      <formula>"ДА"</formula>
    </cfRule>
  </conditionalFormatting>
  <conditionalFormatting sqref="AA31:AN31">
    <cfRule type="cellIs" dxfId="919" priority="751" operator="equal">
      <formula>"НЕТ"</formula>
    </cfRule>
    <cfRule type="cellIs" dxfId="918" priority="752" operator="equal">
      <formula>"ДА"</formula>
    </cfRule>
  </conditionalFormatting>
  <conditionalFormatting sqref="AA33:AN33">
    <cfRule type="cellIs" dxfId="917" priority="742" operator="equal">
      <formula>"ДА"</formula>
    </cfRule>
    <cfRule type="cellIs" dxfId="916" priority="741" operator="equal">
      <formula>"НЕТ"</formula>
    </cfRule>
  </conditionalFormatting>
  <conditionalFormatting sqref="AA50:AN50">
    <cfRule type="cellIs" dxfId="915" priority="712" operator="equal">
      <formula>"ДА"</formula>
    </cfRule>
    <cfRule type="cellIs" dxfId="914" priority="711" operator="equal">
      <formula>"НЕТ"</formula>
    </cfRule>
  </conditionalFormatting>
  <conditionalFormatting sqref="AA54:AN54">
    <cfRule type="cellIs" dxfId="913" priority="702" operator="equal">
      <formula>"ДА"</formula>
    </cfRule>
    <cfRule type="cellIs" dxfId="912" priority="701" operator="equal">
      <formula>"НЕТ"</formula>
    </cfRule>
  </conditionalFormatting>
  <conditionalFormatting sqref="AA59:AN59">
    <cfRule type="cellIs" dxfId="911" priority="692" operator="equal">
      <formula>"ДА"</formula>
    </cfRule>
    <cfRule type="cellIs" dxfId="910" priority="691" operator="equal">
      <formula>"НЕТ"</formula>
    </cfRule>
  </conditionalFormatting>
  <conditionalFormatting sqref="AA61:AN61">
    <cfRule type="cellIs" dxfId="909" priority="682" operator="equal">
      <formula>"ДА"</formula>
    </cfRule>
    <cfRule type="cellIs" dxfId="908" priority="681" operator="equal">
      <formula>"НЕТ"</formula>
    </cfRule>
  </conditionalFormatting>
  <conditionalFormatting sqref="AA75:AN75">
    <cfRule type="cellIs" dxfId="907" priority="631" operator="equal">
      <formula>"НЕТ"</formula>
    </cfRule>
    <cfRule type="cellIs" dxfId="906" priority="632" operator="equal">
      <formula>"ДА"</formula>
    </cfRule>
  </conditionalFormatting>
  <conditionalFormatting sqref="AA79:AN79">
    <cfRule type="cellIs" dxfId="905" priority="621" operator="equal">
      <formula>"НЕТ"</formula>
    </cfRule>
    <cfRule type="cellIs" dxfId="904" priority="622" operator="equal">
      <formula>"ДА"</formula>
    </cfRule>
  </conditionalFormatting>
  <conditionalFormatting sqref="AA83:AN83">
    <cfRule type="cellIs" dxfId="903" priority="611" operator="equal">
      <formula>"НЕТ"</formula>
    </cfRule>
    <cfRule type="cellIs" dxfId="902" priority="612" operator="equal">
      <formula>"ДА"</formula>
    </cfRule>
  </conditionalFormatting>
  <conditionalFormatting sqref="AA88:AN88">
    <cfRule type="cellIs" dxfId="901" priority="602" operator="equal">
      <formula>"ДА"</formula>
    </cfRule>
    <cfRule type="cellIs" dxfId="900" priority="601" operator="equal">
      <formula>"НЕТ"</formula>
    </cfRule>
  </conditionalFormatting>
  <conditionalFormatting sqref="AA93:AN93">
    <cfRule type="cellIs" dxfId="899" priority="591" operator="equal">
      <formula>"НЕТ"</formula>
    </cfRule>
    <cfRule type="cellIs" dxfId="898" priority="592" operator="equal">
      <formula>"ДА"</formula>
    </cfRule>
  </conditionalFormatting>
  <conditionalFormatting sqref="AA97:AN97">
    <cfRule type="cellIs" dxfId="897" priority="582" operator="equal">
      <formula>"ДА"</formula>
    </cfRule>
    <cfRule type="cellIs" dxfId="896" priority="581" operator="equal">
      <formula>"НЕТ"</formula>
    </cfRule>
  </conditionalFormatting>
  <conditionalFormatting sqref="AA107:AN107">
    <cfRule type="cellIs" dxfId="895" priority="552" operator="equal">
      <formula>"ДА"</formula>
    </cfRule>
    <cfRule type="cellIs" dxfId="894" priority="551" operator="equal">
      <formula>"НЕТ"</formula>
    </cfRule>
  </conditionalFormatting>
  <conditionalFormatting sqref="AA115:AN115">
    <cfRule type="cellIs" dxfId="893" priority="542" operator="equal">
      <formula>"ДА"</formula>
    </cfRule>
    <cfRule type="cellIs" dxfId="892" priority="541" operator="equal">
      <formula>"НЕТ"</formula>
    </cfRule>
  </conditionalFormatting>
  <conditionalFormatting sqref="AA120:AN120">
    <cfRule type="cellIs" dxfId="891" priority="531" operator="equal">
      <formula>"НЕТ"</formula>
    </cfRule>
    <cfRule type="cellIs" dxfId="890" priority="532" operator="equal">
      <formula>"ДА"</formula>
    </cfRule>
  </conditionalFormatting>
  <conditionalFormatting sqref="AA130:AN130">
    <cfRule type="cellIs" dxfId="889" priority="521" operator="equal">
      <formula>"НЕТ"</formula>
    </cfRule>
    <cfRule type="cellIs" dxfId="888" priority="522" operator="equal">
      <formula>"ДА"</formula>
    </cfRule>
  </conditionalFormatting>
  <conditionalFormatting sqref="AA134:AN134">
    <cfRule type="cellIs" dxfId="887" priority="511" operator="equal">
      <formula>"НЕТ"</formula>
    </cfRule>
    <cfRule type="cellIs" dxfId="886" priority="512" operator="equal">
      <formula>"ДА"</formula>
    </cfRule>
  </conditionalFormatting>
  <conditionalFormatting sqref="AA137:AN137">
    <cfRule type="cellIs" dxfId="885" priority="501" operator="equal">
      <formula>"НЕТ"</formula>
    </cfRule>
    <cfRule type="cellIs" dxfId="884" priority="502" operator="equal">
      <formula>"ДА"</formula>
    </cfRule>
  </conditionalFormatting>
  <conditionalFormatting sqref="AA141:AN141">
    <cfRule type="cellIs" dxfId="883" priority="491" operator="equal">
      <formula>"НЕТ"</formula>
    </cfRule>
    <cfRule type="cellIs" dxfId="882" priority="492" operator="equal">
      <formula>"ДА"</formula>
    </cfRule>
  </conditionalFormatting>
  <conditionalFormatting sqref="AA144:AN144">
    <cfRule type="cellIs" dxfId="881" priority="481" operator="equal">
      <formula>"НЕТ"</formula>
    </cfRule>
    <cfRule type="cellIs" dxfId="880" priority="482" operator="equal">
      <formula>"ДА"</formula>
    </cfRule>
  </conditionalFormatting>
  <conditionalFormatting sqref="AA148:AN148">
    <cfRule type="cellIs" dxfId="879" priority="461" operator="equal">
      <formula>"НЕТ"</formula>
    </cfRule>
    <cfRule type="cellIs" dxfId="878" priority="462" operator="equal">
      <formula>"ДА"</formula>
    </cfRule>
  </conditionalFormatting>
  <conditionalFormatting sqref="AA153:AN153">
    <cfRule type="cellIs" dxfId="877" priority="451" operator="equal">
      <formula>"НЕТ"</formula>
    </cfRule>
    <cfRule type="cellIs" dxfId="876" priority="452" operator="equal">
      <formula>"ДА"</formula>
    </cfRule>
  </conditionalFormatting>
  <conditionalFormatting sqref="AA161:AN161">
    <cfRule type="cellIs" dxfId="875" priority="442" operator="equal">
      <formula>"ДА"</formula>
    </cfRule>
    <cfRule type="cellIs" dxfId="874" priority="441" operator="equal">
      <formula>"НЕТ"</formula>
    </cfRule>
  </conditionalFormatting>
  <conditionalFormatting sqref="AA165:AN165">
    <cfRule type="cellIs" dxfId="873" priority="431" operator="equal">
      <formula>"НЕТ"</formula>
    </cfRule>
    <cfRule type="cellIs" dxfId="872" priority="432" operator="equal">
      <formula>"ДА"</formula>
    </cfRule>
  </conditionalFormatting>
  <conditionalFormatting sqref="AA170:AN170">
    <cfRule type="cellIs" dxfId="871" priority="421" operator="equal">
      <formula>"НЕТ"</formula>
    </cfRule>
    <cfRule type="cellIs" dxfId="870" priority="422" operator="equal">
      <formula>"ДА"</formula>
    </cfRule>
  </conditionalFormatting>
  <conditionalFormatting sqref="AA183:AN183">
    <cfRule type="cellIs" dxfId="869" priority="381" operator="equal">
      <formula>"НЕТ"</formula>
    </cfRule>
    <cfRule type="cellIs" dxfId="868" priority="382" operator="equal">
      <formula>"ДА"</formula>
    </cfRule>
  </conditionalFormatting>
  <conditionalFormatting sqref="AA187:AN187">
    <cfRule type="cellIs" dxfId="867" priority="372" operator="equal">
      <formula>"ДА"</formula>
    </cfRule>
    <cfRule type="cellIs" dxfId="866" priority="371" operator="equal">
      <formula>"НЕТ"</formula>
    </cfRule>
  </conditionalFormatting>
  <conditionalFormatting sqref="AA190:AN190">
    <cfRule type="cellIs" dxfId="865" priority="361" operator="equal">
      <formula>"НЕТ"</formula>
    </cfRule>
    <cfRule type="cellIs" dxfId="864" priority="362" operator="equal">
      <formula>"ДА"</formula>
    </cfRule>
  </conditionalFormatting>
  <conditionalFormatting sqref="AA200:AN200">
    <cfRule type="cellIs" dxfId="863" priority="352" operator="equal">
      <formula>"ДА"</formula>
    </cfRule>
    <cfRule type="cellIs" dxfId="862" priority="351" operator="equal">
      <formula>"НЕТ"</formula>
    </cfRule>
  </conditionalFormatting>
  <conditionalFormatting sqref="AA212:AN213">
    <cfRule type="cellIs" dxfId="861" priority="312" operator="equal">
      <formula>"ДА"</formula>
    </cfRule>
    <cfRule type="cellIs" dxfId="860" priority="311" operator="equal">
      <formula>"НЕТ"</formula>
    </cfRule>
  </conditionalFormatting>
  <conditionalFormatting sqref="AA215:AN215">
    <cfRule type="cellIs" dxfId="859" priority="302" operator="equal">
      <formula>"ДА"</formula>
    </cfRule>
    <cfRule type="cellIs" dxfId="858" priority="301" operator="equal">
      <formula>"НЕТ"</formula>
    </cfRule>
  </conditionalFormatting>
  <conditionalFormatting sqref="AA217:AN217">
    <cfRule type="cellIs" dxfId="857" priority="292" operator="equal">
      <formula>"ДА"</formula>
    </cfRule>
    <cfRule type="cellIs" dxfId="856" priority="291" operator="equal">
      <formula>"НЕТ"</formula>
    </cfRule>
  </conditionalFormatting>
  <conditionalFormatting sqref="AA227:AN227">
    <cfRule type="cellIs" dxfId="855" priority="282" operator="equal">
      <formula>"ДА"</formula>
    </cfRule>
    <cfRule type="cellIs" dxfId="854" priority="281" operator="equal">
      <formula>"НЕТ"</formula>
    </cfRule>
  </conditionalFormatting>
  <conditionalFormatting sqref="AA234:AN234">
    <cfRule type="cellIs" dxfId="853" priority="272" operator="equal">
      <formula>"ДА"</formula>
    </cfRule>
    <cfRule type="cellIs" dxfId="852" priority="271" operator="equal">
      <formula>"НЕТ"</formula>
    </cfRule>
  </conditionalFormatting>
  <conditionalFormatting sqref="AA241:AN241">
    <cfRule type="cellIs" dxfId="851" priority="262" operator="equal">
      <formula>"ДА"</formula>
    </cfRule>
    <cfRule type="cellIs" dxfId="850" priority="261" operator="equal">
      <formula>"НЕТ"</formula>
    </cfRule>
  </conditionalFormatting>
  <conditionalFormatting sqref="AA247:AN247">
    <cfRule type="cellIs" dxfId="849" priority="251" operator="equal">
      <formula>"НЕТ"</formula>
    </cfRule>
    <cfRule type="cellIs" dxfId="848" priority="252" operator="equal">
      <formula>"ДА"</formula>
    </cfRule>
  </conditionalFormatting>
  <conditionalFormatting sqref="AA257:AN257">
    <cfRule type="cellIs" dxfId="847" priority="192" operator="equal">
      <formula>"ДА"</formula>
    </cfRule>
    <cfRule type="cellIs" dxfId="846" priority="191" operator="equal">
      <formula>"НЕТ"</formula>
    </cfRule>
  </conditionalFormatting>
  <conditionalFormatting sqref="AA270:AN270">
    <cfRule type="cellIs" dxfId="845" priority="132" operator="equal">
      <formula>"ДА"</formula>
    </cfRule>
    <cfRule type="cellIs" dxfId="844" priority="131" operator="equal">
      <formula>"НЕТ"</formula>
    </cfRule>
  </conditionalFormatting>
  <conditionalFormatting sqref="AA281:AN281">
    <cfRule type="cellIs" dxfId="843" priority="122" operator="equal">
      <formula>"ДА"</formula>
    </cfRule>
    <cfRule type="cellIs" dxfId="842" priority="121" operator="equal">
      <formula>"НЕТ"</formula>
    </cfRule>
  </conditionalFormatting>
  <conditionalFormatting sqref="AA285:AN285">
    <cfRule type="cellIs" dxfId="841" priority="112" operator="equal">
      <formula>"ДА"</formula>
    </cfRule>
    <cfRule type="cellIs" dxfId="840" priority="111" operator="equal">
      <formula>"НЕТ"</formula>
    </cfRule>
  </conditionalFormatting>
  <conditionalFormatting sqref="AA295:AN295">
    <cfRule type="cellIs" dxfId="839" priority="102" operator="equal">
      <formula>"ДА"</formula>
    </cfRule>
    <cfRule type="cellIs" dxfId="838" priority="101" operator="equal">
      <formula>"НЕТ"</formula>
    </cfRule>
  </conditionalFormatting>
  <conditionalFormatting sqref="AD11 AM64:AM66 AM329:AM355 CR329:CR355">
    <cfRule type="cellIs" dxfId="837" priority="6147" operator="equal">
      <formula>"Не требуется"</formula>
    </cfRule>
    <cfRule type="cellIs" dxfId="836" priority="6144" operator="equal">
      <formula>"Необходимо разработать"</formula>
    </cfRule>
    <cfRule type="cellIs" dxfId="835" priority="6145" operator="equal">
      <formula>"Используется типовая"</formula>
    </cfRule>
    <cfRule type="cellIs" dxfId="834" priority="6146" operator="equal">
      <formula>"Предоставляется Заказчиком"</formula>
    </cfRule>
  </conditionalFormatting>
  <conditionalFormatting sqref="AD14">
    <cfRule type="cellIs" dxfId="833" priority="798" operator="equal">
      <formula>"Используется типовая"</formula>
    </cfRule>
    <cfRule type="cellIs" dxfId="832" priority="799" operator="equal">
      <formula>"Предоставляется Заказчиком"</formula>
    </cfRule>
    <cfRule type="cellIs" dxfId="831" priority="800" operator="equal">
      <formula>"Не требуется"</formula>
    </cfRule>
    <cfRule type="cellIs" dxfId="830" priority="797" operator="equal">
      <formula>"Необходимо разработать"</formula>
    </cfRule>
  </conditionalFormatting>
  <conditionalFormatting sqref="AD17">
    <cfRule type="cellIs" dxfId="829" priority="787" operator="equal">
      <formula>"Необходимо разработать"</formula>
    </cfRule>
    <cfRule type="cellIs" dxfId="828" priority="788" operator="equal">
      <formula>"Используется типовая"</formula>
    </cfRule>
    <cfRule type="cellIs" dxfId="827" priority="790" operator="equal">
      <formula>"Не требуется"</formula>
    </cfRule>
    <cfRule type="cellIs" dxfId="826" priority="789" operator="equal">
      <formula>"Предоставляется Заказчиком"</formula>
    </cfRule>
  </conditionalFormatting>
  <conditionalFormatting sqref="AD20">
    <cfRule type="cellIs" dxfId="825" priority="777" operator="equal">
      <formula>"Необходимо разработать"</formula>
    </cfRule>
    <cfRule type="cellIs" dxfId="824" priority="778" operator="equal">
      <formula>"Используется типовая"</formula>
    </cfRule>
    <cfRule type="cellIs" dxfId="823" priority="779" operator="equal">
      <formula>"Предоставляется Заказчиком"</formula>
    </cfRule>
    <cfRule type="cellIs" dxfId="822" priority="780" operator="equal">
      <formula>"Не требуется"</formula>
    </cfRule>
  </conditionalFormatting>
  <conditionalFormatting sqref="AD27">
    <cfRule type="cellIs" dxfId="821" priority="770" operator="equal">
      <formula>"Не требуется"</formula>
    </cfRule>
    <cfRule type="cellIs" dxfId="820" priority="767" operator="equal">
      <formula>"Необходимо разработать"</formula>
    </cfRule>
    <cfRule type="cellIs" dxfId="819" priority="768" operator="equal">
      <formula>"Используется типовая"</formula>
    </cfRule>
    <cfRule type="cellIs" dxfId="818" priority="769" operator="equal">
      <formula>"Предоставляется Заказчиком"</formula>
    </cfRule>
  </conditionalFormatting>
  <conditionalFormatting sqref="AD31">
    <cfRule type="cellIs" dxfId="817" priority="760" operator="equal">
      <formula>"Не требуется"</formula>
    </cfRule>
    <cfRule type="cellIs" dxfId="816" priority="759" operator="equal">
      <formula>"Предоставляется Заказчиком"</formula>
    </cfRule>
    <cfRule type="cellIs" dxfId="815" priority="758" operator="equal">
      <formula>"Используется типовая"</formula>
    </cfRule>
    <cfRule type="cellIs" dxfId="814" priority="757" operator="equal">
      <formula>"Необходимо разработать"</formula>
    </cfRule>
  </conditionalFormatting>
  <conditionalFormatting sqref="AD33">
    <cfRule type="cellIs" dxfId="813" priority="749" operator="equal">
      <formula>"Предоставляется Заказчиком"</formula>
    </cfRule>
    <cfRule type="cellIs" dxfId="812" priority="750" operator="equal">
      <formula>"Не требуется"</formula>
    </cfRule>
    <cfRule type="cellIs" dxfId="811" priority="748" operator="equal">
      <formula>"Используется типовая"</formula>
    </cfRule>
    <cfRule type="cellIs" dxfId="810" priority="747" operator="equal">
      <formula>"Необходимо разработать"</formula>
    </cfRule>
  </conditionalFormatting>
  <conditionalFormatting sqref="AD37">
    <cfRule type="cellIs" dxfId="809" priority="740" operator="equal">
      <formula>"Не требуется"</formula>
    </cfRule>
    <cfRule type="cellIs" dxfId="808" priority="739" operator="equal">
      <formula>"Предоставляется Заказчиком"</formula>
    </cfRule>
    <cfRule type="cellIs" dxfId="807" priority="738" operator="equal">
      <formula>"Используется типовая"</formula>
    </cfRule>
    <cfRule type="cellIs" dxfId="806" priority="737" operator="equal">
      <formula>"Необходимо разработать"</formula>
    </cfRule>
  </conditionalFormatting>
  <conditionalFormatting sqref="AD39">
    <cfRule type="cellIs" dxfId="805" priority="730" operator="equal">
      <formula>"Не требуется"</formula>
    </cfRule>
    <cfRule type="cellIs" dxfId="804" priority="729" operator="equal">
      <formula>"Предоставляется Заказчиком"</formula>
    </cfRule>
    <cfRule type="cellIs" dxfId="803" priority="728" operator="equal">
      <formula>"Используется типовая"</formula>
    </cfRule>
    <cfRule type="cellIs" dxfId="802" priority="727" operator="equal">
      <formula>"Необходимо разработать"</formula>
    </cfRule>
  </conditionalFormatting>
  <conditionalFormatting sqref="AD50">
    <cfRule type="cellIs" dxfId="801" priority="720" operator="equal">
      <formula>"Не требуется"</formula>
    </cfRule>
    <cfRule type="cellIs" dxfId="800" priority="719" operator="equal">
      <formula>"Предоставляется Заказчиком"</formula>
    </cfRule>
    <cfRule type="cellIs" dxfId="799" priority="717" operator="equal">
      <formula>"Необходимо разработать"</formula>
    </cfRule>
    <cfRule type="cellIs" dxfId="798" priority="718" operator="equal">
      <formula>"Используется типовая"</formula>
    </cfRule>
  </conditionalFormatting>
  <conditionalFormatting sqref="AD54">
    <cfRule type="cellIs" dxfId="797" priority="707" operator="equal">
      <formula>"Необходимо разработать"</formula>
    </cfRule>
    <cfRule type="cellIs" dxfId="796" priority="708" operator="equal">
      <formula>"Используется типовая"</formula>
    </cfRule>
    <cfRule type="cellIs" dxfId="795" priority="709" operator="equal">
      <formula>"Предоставляется Заказчиком"</formula>
    </cfRule>
    <cfRule type="cellIs" dxfId="794" priority="710" operator="equal">
      <formula>"Не требуется"</formula>
    </cfRule>
  </conditionalFormatting>
  <conditionalFormatting sqref="AD59">
    <cfRule type="cellIs" dxfId="793" priority="697" operator="equal">
      <formula>"Необходимо разработать"</formula>
    </cfRule>
    <cfRule type="cellIs" dxfId="792" priority="698" operator="equal">
      <formula>"Используется типовая"</formula>
    </cfRule>
    <cfRule type="cellIs" dxfId="791" priority="699" operator="equal">
      <formula>"Предоставляется Заказчиком"</formula>
    </cfRule>
    <cfRule type="cellIs" dxfId="790" priority="700" operator="equal">
      <formula>"Не требуется"</formula>
    </cfRule>
  </conditionalFormatting>
  <conditionalFormatting sqref="AD61">
    <cfRule type="cellIs" dxfId="789" priority="689" operator="equal">
      <formula>"Предоставляется Заказчиком"</formula>
    </cfRule>
    <cfRule type="cellIs" dxfId="788" priority="688" operator="equal">
      <formula>"Используется типовая"</formula>
    </cfRule>
    <cfRule type="cellIs" dxfId="787" priority="687" operator="equal">
      <formula>"Необходимо разработать"</formula>
    </cfRule>
    <cfRule type="cellIs" dxfId="786" priority="690" operator="equal">
      <formula>"Не требуется"</formula>
    </cfRule>
  </conditionalFormatting>
  <conditionalFormatting sqref="AD64:AD66">
    <cfRule type="cellIs" dxfId="785" priority="660" operator="equal">
      <formula>"Не требуется"</formula>
    </cfRule>
    <cfRule type="cellIs" dxfId="784" priority="659" operator="equal">
      <formula>"Предоставляется Заказчиком"</formula>
    </cfRule>
    <cfRule type="cellIs" dxfId="783" priority="658" operator="equal">
      <formula>"Используется типовая"</formula>
    </cfRule>
    <cfRule type="cellIs" dxfId="782" priority="657" operator="equal">
      <formula>"Необходимо разработать"</formula>
    </cfRule>
  </conditionalFormatting>
  <conditionalFormatting sqref="AD68">
    <cfRule type="cellIs" dxfId="781" priority="649" operator="equal">
      <formula>"Предоставляется Заказчиком"</formula>
    </cfRule>
    <cfRule type="cellIs" dxfId="780" priority="647" operator="equal">
      <formula>"Необходимо разработать"</formula>
    </cfRule>
    <cfRule type="cellIs" dxfId="779" priority="648" operator="equal">
      <formula>"Используется типовая"</formula>
    </cfRule>
    <cfRule type="cellIs" dxfId="778" priority="650" operator="equal">
      <formula>"Не требуется"</formula>
    </cfRule>
  </conditionalFormatting>
  <conditionalFormatting sqref="AD75">
    <cfRule type="cellIs" dxfId="777" priority="639" operator="equal">
      <formula>"Предоставляется Заказчиком"</formula>
    </cfRule>
    <cfRule type="cellIs" dxfId="776" priority="640" operator="equal">
      <formula>"Не требуется"</formula>
    </cfRule>
    <cfRule type="cellIs" dxfId="775" priority="637" operator="equal">
      <formula>"Необходимо разработать"</formula>
    </cfRule>
    <cfRule type="cellIs" dxfId="774" priority="638" operator="equal">
      <formula>"Используется типовая"</formula>
    </cfRule>
  </conditionalFormatting>
  <conditionalFormatting sqref="AD79">
    <cfRule type="cellIs" dxfId="773" priority="628" operator="equal">
      <formula>"Используется типовая"</formula>
    </cfRule>
    <cfRule type="cellIs" dxfId="772" priority="629" operator="equal">
      <formula>"Предоставляется Заказчиком"</formula>
    </cfRule>
    <cfRule type="cellIs" dxfId="771" priority="630" operator="equal">
      <formula>"Не требуется"</formula>
    </cfRule>
    <cfRule type="cellIs" dxfId="770" priority="627" operator="equal">
      <formula>"Необходимо разработать"</formula>
    </cfRule>
  </conditionalFormatting>
  <conditionalFormatting sqref="AD83">
    <cfRule type="cellIs" dxfId="769" priority="617" operator="equal">
      <formula>"Необходимо разработать"</formula>
    </cfRule>
    <cfRule type="cellIs" dxfId="768" priority="618" operator="equal">
      <formula>"Используется типовая"</formula>
    </cfRule>
    <cfRule type="cellIs" dxfId="767" priority="619" operator="equal">
      <formula>"Предоставляется Заказчиком"</formula>
    </cfRule>
    <cfRule type="cellIs" dxfId="766" priority="620" operator="equal">
      <formula>"Не требуется"</formula>
    </cfRule>
  </conditionalFormatting>
  <conditionalFormatting sqref="AD88">
    <cfRule type="cellIs" dxfId="765" priority="607" operator="equal">
      <formula>"Необходимо разработать"</formula>
    </cfRule>
    <cfRule type="cellIs" dxfId="764" priority="608" operator="equal">
      <formula>"Используется типовая"</formula>
    </cfRule>
    <cfRule type="cellIs" dxfId="763" priority="610" operator="equal">
      <formula>"Не требуется"</formula>
    </cfRule>
    <cfRule type="cellIs" dxfId="762" priority="609" operator="equal">
      <formula>"Предоставляется Заказчиком"</formula>
    </cfRule>
  </conditionalFormatting>
  <conditionalFormatting sqref="AD93">
    <cfRule type="cellIs" dxfId="761" priority="597" operator="equal">
      <formula>"Необходимо разработать"</formula>
    </cfRule>
    <cfRule type="cellIs" dxfId="760" priority="598" operator="equal">
      <formula>"Используется типовая"</formula>
    </cfRule>
    <cfRule type="cellIs" dxfId="759" priority="599" operator="equal">
      <formula>"Предоставляется Заказчиком"</formula>
    </cfRule>
    <cfRule type="cellIs" dxfId="758" priority="600" operator="equal">
      <formula>"Не требуется"</formula>
    </cfRule>
  </conditionalFormatting>
  <conditionalFormatting sqref="AD97">
    <cfRule type="cellIs" dxfId="757" priority="587" operator="equal">
      <formula>"Необходимо разработать"</formula>
    </cfRule>
    <cfRule type="cellIs" dxfId="756" priority="590" operator="equal">
      <formula>"Не требуется"</formula>
    </cfRule>
    <cfRule type="cellIs" dxfId="755" priority="589" operator="equal">
      <formula>"Предоставляется Заказчиком"</formula>
    </cfRule>
    <cfRule type="cellIs" dxfId="754" priority="588" operator="equal">
      <formula>"Используется типовая"</formula>
    </cfRule>
  </conditionalFormatting>
  <conditionalFormatting sqref="AD99">
    <cfRule type="cellIs" dxfId="753" priority="580" operator="equal">
      <formula>"Не требуется"</formula>
    </cfRule>
    <cfRule type="cellIs" dxfId="752" priority="577" operator="equal">
      <formula>"Необходимо разработать"</formula>
    </cfRule>
    <cfRule type="cellIs" dxfId="751" priority="578" operator="equal">
      <formula>"Используется типовая"</formula>
    </cfRule>
    <cfRule type="cellIs" dxfId="750" priority="579" operator="equal">
      <formula>"Предоставляется Заказчиком"</formula>
    </cfRule>
  </conditionalFormatting>
  <conditionalFormatting sqref="AD101">
    <cfRule type="cellIs" dxfId="749" priority="569" operator="equal">
      <formula>"Предоставляется Заказчиком"</formula>
    </cfRule>
    <cfRule type="cellIs" dxfId="748" priority="568" operator="equal">
      <formula>"Используется типовая"</formula>
    </cfRule>
    <cfRule type="cellIs" dxfId="747" priority="567" operator="equal">
      <formula>"Необходимо разработать"</formula>
    </cfRule>
    <cfRule type="cellIs" dxfId="746" priority="570" operator="equal">
      <formula>"Не требуется"</formula>
    </cfRule>
  </conditionalFormatting>
  <conditionalFormatting sqref="AD107">
    <cfRule type="cellIs" dxfId="745" priority="557" operator="equal">
      <formula>"Необходимо разработать"</formula>
    </cfRule>
    <cfRule type="cellIs" dxfId="744" priority="558" operator="equal">
      <formula>"Используется типовая"</formula>
    </cfRule>
    <cfRule type="cellIs" dxfId="743" priority="560" operator="equal">
      <formula>"Не требуется"</formula>
    </cfRule>
    <cfRule type="cellIs" dxfId="742" priority="559" operator="equal">
      <formula>"Предоставляется Заказчиком"</formula>
    </cfRule>
  </conditionalFormatting>
  <conditionalFormatting sqref="AD115">
    <cfRule type="cellIs" dxfId="741" priority="550" operator="equal">
      <formula>"Не требуется"</formula>
    </cfRule>
    <cfRule type="cellIs" dxfId="740" priority="549" operator="equal">
      <formula>"Предоставляется Заказчиком"</formula>
    </cfRule>
    <cfRule type="cellIs" dxfId="739" priority="548" operator="equal">
      <formula>"Используется типовая"</formula>
    </cfRule>
    <cfRule type="cellIs" dxfId="738" priority="547" operator="equal">
      <formula>"Необходимо разработать"</formula>
    </cfRule>
  </conditionalFormatting>
  <conditionalFormatting sqref="AD120">
    <cfRule type="cellIs" dxfId="737" priority="538" operator="equal">
      <formula>"Используется типовая"</formula>
    </cfRule>
    <cfRule type="cellIs" dxfId="736" priority="540" operator="equal">
      <formula>"Не требуется"</formula>
    </cfRule>
    <cfRule type="cellIs" dxfId="735" priority="539" operator="equal">
      <formula>"Предоставляется Заказчиком"</formula>
    </cfRule>
    <cfRule type="cellIs" dxfId="734" priority="537" operator="equal">
      <formula>"Необходимо разработать"</formula>
    </cfRule>
  </conditionalFormatting>
  <conditionalFormatting sqref="AD130">
    <cfRule type="cellIs" dxfId="733" priority="530" operator="equal">
      <formula>"Не требуется"</formula>
    </cfRule>
    <cfRule type="cellIs" dxfId="732" priority="529" operator="equal">
      <formula>"Предоставляется Заказчиком"</formula>
    </cfRule>
    <cfRule type="cellIs" dxfId="731" priority="528" operator="equal">
      <formula>"Используется типовая"</formula>
    </cfRule>
    <cfRule type="cellIs" dxfId="730" priority="527" operator="equal">
      <formula>"Необходимо разработать"</formula>
    </cfRule>
  </conditionalFormatting>
  <conditionalFormatting sqref="AD134">
    <cfRule type="cellIs" dxfId="729" priority="519" operator="equal">
      <formula>"Предоставляется Заказчиком"</formula>
    </cfRule>
    <cfRule type="cellIs" dxfId="728" priority="520" operator="equal">
      <formula>"Не требуется"</formula>
    </cfRule>
    <cfRule type="cellIs" dxfId="727" priority="518" operator="equal">
      <formula>"Используется типовая"</formula>
    </cfRule>
    <cfRule type="cellIs" dxfId="726" priority="517" operator="equal">
      <formula>"Необходимо разработать"</formula>
    </cfRule>
  </conditionalFormatting>
  <conditionalFormatting sqref="AD137">
    <cfRule type="cellIs" dxfId="725" priority="510" operator="equal">
      <formula>"Не требуется"</formula>
    </cfRule>
    <cfRule type="cellIs" dxfId="724" priority="509" operator="equal">
      <formula>"Предоставляется Заказчиком"</formula>
    </cfRule>
    <cfRule type="cellIs" dxfId="723" priority="508" operator="equal">
      <formula>"Используется типовая"</formula>
    </cfRule>
    <cfRule type="cellIs" dxfId="722" priority="507" operator="equal">
      <formula>"Необходимо разработать"</formula>
    </cfRule>
  </conditionalFormatting>
  <conditionalFormatting sqref="AD141">
    <cfRule type="cellIs" dxfId="721" priority="500" operator="equal">
      <formula>"Не требуется"</formula>
    </cfRule>
    <cfRule type="cellIs" dxfId="720" priority="499" operator="equal">
      <formula>"Предоставляется Заказчиком"</formula>
    </cfRule>
    <cfRule type="cellIs" dxfId="719" priority="498" operator="equal">
      <formula>"Используется типовая"</formula>
    </cfRule>
    <cfRule type="cellIs" dxfId="718" priority="497" operator="equal">
      <formula>"Необходимо разработать"</formula>
    </cfRule>
  </conditionalFormatting>
  <conditionalFormatting sqref="AD144">
    <cfRule type="cellIs" dxfId="717" priority="487" operator="equal">
      <formula>"Необходимо разработать"</formula>
    </cfRule>
    <cfRule type="cellIs" dxfId="716" priority="490" operator="equal">
      <formula>"Не требуется"</formula>
    </cfRule>
    <cfRule type="cellIs" dxfId="715" priority="489" operator="equal">
      <formula>"Предоставляется Заказчиком"</formula>
    </cfRule>
    <cfRule type="cellIs" dxfId="714" priority="488" operator="equal">
      <formula>"Используется типовая"</formula>
    </cfRule>
  </conditionalFormatting>
  <conditionalFormatting sqref="AD146">
    <cfRule type="cellIs" dxfId="713" priority="478" operator="equal">
      <formula>"Используется типовая"</formula>
    </cfRule>
    <cfRule type="cellIs" dxfId="712" priority="477" operator="equal">
      <formula>"Необходимо разработать"</formula>
    </cfRule>
    <cfRule type="cellIs" dxfId="711" priority="480" operator="equal">
      <formula>"Не требуется"</formula>
    </cfRule>
    <cfRule type="cellIs" dxfId="710" priority="479" operator="equal">
      <formula>"Предоставляется Заказчиком"</formula>
    </cfRule>
  </conditionalFormatting>
  <conditionalFormatting sqref="AD148">
    <cfRule type="cellIs" dxfId="709" priority="470" operator="equal">
      <formula>"Не требуется"</formula>
    </cfRule>
    <cfRule type="cellIs" dxfId="708" priority="469" operator="equal">
      <formula>"Предоставляется Заказчиком"</formula>
    </cfRule>
    <cfRule type="cellIs" dxfId="707" priority="468" operator="equal">
      <formula>"Используется типовая"</formula>
    </cfRule>
    <cfRule type="cellIs" dxfId="706" priority="467" operator="equal">
      <formula>"Необходимо разработать"</formula>
    </cfRule>
  </conditionalFormatting>
  <conditionalFormatting sqref="AD153">
    <cfRule type="cellIs" dxfId="705" priority="460" operator="equal">
      <formula>"Не требуется"</formula>
    </cfRule>
    <cfRule type="cellIs" dxfId="704" priority="459" operator="equal">
      <formula>"Предоставляется Заказчиком"</formula>
    </cfRule>
    <cfRule type="cellIs" dxfId="703" priority="458" operator="equal">
      <formula>"Используется типовая"</formula>
    </cfRule>
    <cfRule type="cellIs" dxfId="702" priority="457" operator="equal">
      <formula>"Необходимо разработать"</formula>
    </cfRule>
  </conditionalFormatting>
  <conditionalFormatting sqref="AD161">
    <cfRule type="cellIs" dxfId="701" priority="448" operator="equal">
      <formula>"Используется типовая"</formula>
    </cfRule>
    <cfRule type="cellIs" dxfId="700" priority="450" operator="equal">
      <formula>"Не требуется"</formula>
    </cfRule>
    <cfRule type="cellIs" dxfId="699" priority="449" operator="equal">
      <formula>"Предоставляется Заказчиком"</formula>
    </cfRule>
    <cfRule type="cellIs" dxfId="698" priority="447" operator="equal">
      <formula>"Необходимо разработать"</formula>
    </cfRule>
  </conditionalFormatting>
  <conditionalFormatting sqref="AD165">
    <cfRule type="cellIs" dxfId="697" priority="440" operator="equal">
      <formula>"Не требуется"</formula>
    </cfRule>
    <cfRule type="cellIs" dxfId="696" priority="439" operator="equal">
      <formula>"Предоставляется Заказчиком"</formula>
    </cfRule>
    <cfRule type="cellIs" dxfId="695" priority="438" operator="equal">
      <formula>"Используется типовая"</formula>
    </cfRule>
    <cfRule type="cellIs" dxfId="694" priority="437" operator="equal">
      <formula>"Необходимо разработать"</formula>
    </cfRule>
  </conditionalFormatting>
  <conditionalFormatting sqref="AD170">
    <cfRule type="cellIs" dxfId="693" priority="430" operator="equal">
      <formula>"Не требуется"</formula>
    </cfRule>
    <cfRule type="cellIs" dxfId="692" priority="429" operator="equal">
      <formula>"Предоставляется Заказчиком"</formula>
    </cfRule>
    <cfRule type="cellIs" dxfId="691" priority="428" operator="equal">
      <formula>"Используется типовая"</formula>
    </cfRule>
    <cfRule type="cellIs" dxfId="690" priority="427" operator="equal">
      <formula>"Необходимо разработать"</formula>
    </cfRule>
  </conditionalFormatting>
  <conditionalFormatting sqref="AD175:AD176">
    <cfRule type="cellIs" dxfId="689" priority="410" operator="equal">
      <formula>"Не требуется"</formula>
    </cfRule>
    <cfRule type="cellIs" dxfId="688" priority="409" operator="equal">
      <formula>"Предоставляется Заказчиком"</formula>
    </cfRule>
    <cfRule type="cellIs" dxfId="687" priority="408" operator="equal">
      <formula>"Используется типовая"</formula>
    </cfRule>
    <cfRule type="cellIs" dxfId="686" priority="407" operator="equal">
      <formula>"Необходимо разработать"</formula>
    </cfRule>
  </conditionalFormatting>
  <conditionalFormatting sqref="AD178">
    <cfRule type="cellIs" dxfId="685" priority="400" operator="equal">
      <formula>"Не требуется"</formula>
    </cfRule>
    <cfRule type="cellIs" dxfId="684" priority="399" operator="equal">
      <formula>"Предоставляется Заказчиком"</formula>
    </cfRule>
    <cfRule type="cellIs" dxfId="683" priority="397" operator="equal">
      <formula>"Необходимо разработать"</formula>
    </cfRule>
    <cfRule type="cellIs" dxfId="682" priority="398" operator="equal">
      <formula>"Используется типовая"</formula>
    </cfRule>
  </conditionalFormatting>
  <conditionalFormatting sqref="AD183">
    <cfRule type="cellIs" dxfId="681" priority="388" operator="equal">
      <formula>"Используется типовая"</formula>
    </cfRule>
    <cfRule type="cellIs" dxfId="680" priority="390" operator="equal">
      <formula>"Не требуется"</formula>
    </cfRule>
    <cfRule type="cellIs" dxfId="679" priority="389" operator="equal">
      <formula>"Предоставляется Заказчиком"</formula>
    </cfRule>
    <cfRule type="cellIs" dxfId="678" priority="387" operator="equal">
      <formula>"Необходимо разработать"</formula>
    </cfRule>
  </conditionalFormatting>
  <conditionalFormatting sqref="AD187">
    <cfRule type="cellIs" dxfId="677" priority="377" operator="equal">
      <formula>"Необходимо разработать"</formula>
    </cfRule>
    <cfRule type="cellIs" dxfId="676" priority="378" operator="equal">
      <formula>"Используется типовая"</formula>
    </cfRule>
    <cfRule type="cellIs" dxfId="675" priority="379" operator="equal">
      <formula>"Предоставляется Заказчиком"</formula>
    </cfRule>
    <cfRule type="cellIs" dxfId="674" priority="380" operator="equal">
      <formula>"Не требуется"</formula>
    </cfRule>
  </conditionalFormatting>
  <conditionalFormatting sqref="AD190">
    <cfRule type="cellIs" dxfId="673" priority="368" operator="equal">
      <formula>"Используется типовая"</formula>
    </cfRule>
    <cfRule type="cellIs" dxfId="672" priority="370" operator="equal">
      <formula>"Не требуется"</formula>
    </cfRule>
    <cfRule type="cellIs" dxfId="671" priority="369" operator="equal">
      <formula>"Предоставляется Заказчиком"</formula>
    </cfRule>
    <cfRule type="cellIs" dxfId="670" priority="367" operator="equal">
      <formula>"Необходимо разработать"</formula>
    </cfRule>
  </conditionalFormatting>
  <conditionalFormatting sqref="AD200">
    <cfRule type="cellIs" dxfId="669" priority="357" operator="equal">
      <formula>"Необходимо разработать"</formula>
    </cfRule>
    <cfRule type="cellIs" dxfId="668" priority="358" operator="equal">
      <formula>"Используется типовая"</formula>
    </cfRule>
    <cfRule type="cellIs" dxfId="667" priority="359" operator="equal">
      <formula>"Предоставляется Заказчиком"</formula>
    </cfRule>
    <cfRule type="cellIs" dxfId="666" priority="360" operator="equal">
      <formula>"Не требуется"</formula>
    </cfRule>
  </conditionalFormatting>
  <conditionalFormatting sqref="AD209:AD210">
    <cfRule type="cellIs" dxfId="665" priority="337" operator="equal">
      <formula>"Необходимо разработать"</formula>
    </cfRule>
    <cfRule type="cellIs" dxfId="664" priority="338" operator="equal">
      <formula>"Используется типовая"</formula>
    </cfRule>
    <cfRule type="cellIs" dxfId="663" priority="339" operator="equal">
      <formula>"Предоставляется Заказчиком"</formula>
    </cfRule>
    <cfRule type="cellIs" dxfId="662" priority="340" operator="equal">
      <formula>"Не требуется"</formula>
    </cfRule>
  </conditionalFormatting>
  <conditionalFormatting sqref="AD212:AD213">
    <cfRule type="cellIs" dxfId="661" priority="317" operator="equal">
      <formula>"Необходимо разработать"</formula>
    </cfRule>
    <cfRule type="cellIs" dxfId="660" priority="318" operator="equal">
      <formula>"Используется типовая"</formula>
    </cfRule>
    <cfRule type="cellIs" dxfId="659" priority="319" operator="equal">
      <formula>"Предоставляется Заказчиком"</formula>
    </cfRule>
    <cfRule type="cellIs" dxfId="658" priority="320" operator="equal">
      <formula>"Не требуется"</formula>
    </cfRule>
  </conditionalFormatting>
  <conditionalFormatting sqref="AD215">
    <cfRule type="cellIs" dxfId="657" priority="308" operator="equal">
      <formula>"Используется типовая"</formula>
    </cfRule>
    <cfRule type="cellIs" dxfId="656" priority="309" operator="equal">
      <formula>"Предоставляется Заказчиком"</formula>
    </cfRule>
    <cfRule type="cellIs" dxfId="655" priority="310" operator="equal">
      <formula>"Не требуется"</formula>
    </cfRule>
    <cfRule type="cellIs" dxfId="654" priority="307" operator="equal">
      <formula>"Необходимо разработать"</formula>
    </cfRule>
  </conditionalFormatting>
  <conditionalFormatting sqref="AD217">
    <cfRule type="cellIs" dxfId="653" priority="300" operator="equal">
      <formula>"Не требуется"</formula>
    </cfRule>
    <cfRule type="cellIs" dxfId="652" priority="299" operator="equal">
      <formula>"Предоставляется Заказчиком"</formula>
    </cfRule>
    <cfRule type="cellIs" dxfId="651" priority="298" operator="equal">
      <formula>"Используется типовая"</formula>
    </cfRule>
    <cfRule type="cellIs" dxfId="650" priority="297" operator="equal">
      <formula>"Необходимо разработать"</formula>
    </cfRule>
  </conditionalFormatting>
  <conditionalFormatting sqref="AD227">
    <cfRule type="cellIs" dxfId="649" priority="287" operator="equal">
      <formula>"Необходимо разработать"</formula>
    </cfRule>
    <cfRule type="cellIs" dxfId="648" priority="288" operator="equal">
      <formula>"Используется типовая"</formula>
    </cfRule>
    <cfRule type="cellIs" dxfId="647" priority="290" operator="equal">
      <formula>"Не требуется"</formula>
    </cfRule>
    <cfRule type="cellIs" dxfId="646" priority="289" operator="equal">
      <formula>"Предоставляется Заказчиком"</formula>
    </cfRule>
  </conditionalFormatting>
  <conditionalFormatting sqref="AD234">
    <cfRule type="cellIs" dxfId="645" priority="278" operator="equal">
      <formula>"Используется типовая"</formula>
    </cfRule>
    <cfRule type="cellIs" dxfId="644" priority="279" operator="equal">
      <formula>"Предоставляется Заказчиком"</formula>
    </cfRule>
    <cfRule type="cellIs" dxfId="643" priority="277" operator="equal">
      <formula>"Необходимо разработать"</formula>
    </cfRule>
    <cfRule type="cellIs" dxfId="642" priority="280" operator="equal">
      <formula>"Не требуется"</formula>
    </cfRule>
  </conditionalFormatting>
  <conditionalFormatting sqref="AD241">
    <cfRule type="cellIs" dxfId="641" priority="270" operator="equal">
      <formula>"Не требуется"</formula>
    </cfRule>
    <cfRule type="cellIs" dxfId="640" priority="267" operator="equal">
      <formula>"Необходимо разработать"</formula>
    </cfRule>
    <cfRule type="cellIs" dxfId="639" priority="268" operator="equal">
      <formula>"Используется типовая"</formula>
    </cfRule>
    <cfRule type="cellIs" dxfId="638" priority="269" operator="equal">
      <formula>"Предоставляется Заказчиком"</formula>
    </cfRule>
  </conditionalFormatting>
  <conditionalFormatting sqref="AD247">
    <cfRule type="cellIs" dxfId="637" priority="260" operator="equal">
      <formula>"Не требуется"</formula>
    </cfRule>
    <cfRule type="cellIs" dxfId="636" priority="259" operator="equal">
      <formula>"Предоставляется Заказчиком"</formula>
    </cfRule>
    <cfRule type="cellIs" dxfId="635" priority="258" operator="equal">
      <formula>"Используется типовая"</formula>
    </cfRule>
    <cfRule type="cellIs" dxfId="634" priority="257" operator="equal">
      <formula>"Необходимо разработать"</formula>
    </cfRule>
  </conditionalFormatting>
  <conditionalFormatting sqref="AD250:AD253">
    <cfRule type="cellIs" dxfId="633" priority="220" operator="equal">
      <formula>"Не требуется"</formula>
    </cfRule>
    <cfRule type="cellIs" dxfId="632" priority="219" operator="equal">
      <formula>"Предоставляется Заказчиком"</formula>
    </cfRule>
    <cfRule type="cellIs" dxfId="631" priority="218" operator="equal">
      <formula>"Используется типовая"</formula>
    </cfRule>
    <cfRule type="cellIs" dxfId="630" priority="217" operator="equal">
      <formula>"Необходимо разработать"</formula>
    </cfRule>
  </conditionalFormatting>
  <conditionalFormatting sqref="AD255">
    <cfRule type="cellIs" dxfId="629" priority="210" operator="equal">
      <formula>"Не требуется"</formula>
    </cfRule>
    <cfRule type="cellIs" dxfId="628" priority="209" operator="equal">
      <formula>"Предоставляется Заказчиком"</formula>
    </cfRule>
    <cfRule type="cellIs" dxfId="627" priority="208" operator="equal">
      <formula>"Используется типовая"</formula>
    </cfRule>
    <cfRule type="cellIs" dxfId="626" priority="207" operator="equal">
      <formula>"Необходимо разработать"</formula>
    </cfRule>
  </conditionalFormatting>
  <conditionalFormatting sqref="AD257">
    <cfRule type="cellIs" dxfId="625" priority="198" operator="equal">
      <formula>"Используется типовая"</formula>
    </cfRule>
    <cfRule type="cellIs" dxfId="624" priority="197" operator="equal">
      <formula>"Необходимо разработать"</formula>
    </cfRule>
    <cfRule type="cellIs" dxfId="623" priority="200" operator="equal">
      <formula>"Не требуется"</formula>
    </cfRule>
    <cfRule type="cellIs" dxfId="622" priority="199" operator="equal">
      <formula>"Предоставляется Заказчиком"</formula>
    </cfRule>
  </conditionalFormatting>
  <conditionalFormatting sqref="AD260:AD263">
    <cfRule type="cellIs" dxfId="621" priority="158" operator="equal">
      <formula>"Используется типовая"</formula>
    </cfRule>
    <cfRule type="cellIs" dxfId="620" priority="159" operator="equal">
      <formula>"Предоставляется Заказчиком"</formula>
    </cfRule>
    <cfRule type="cellIs" dxfId="619" priority="160" operator="equal">
      <formula>"Не требуется"</formula>
    </cfRule>
    <cfRule type="cellIs" dxfId="618" priority="157" operator="equal">
      <formula>"Необходимо разработать"</formula>
    </cfRule>
  </conditionalFormatting>
  <conditionalFormatting sqref="AD265">
    <cfRule type="cellIs" dxfId="617" priority="149" operator="equal">
      <formula>"Предоставляется Заказчиком"</formula>
    </cfRule>
    <cfRule type="cellIs" dxfId="616" priority="150" operator="equal">
      <formula>"Не требуется"</formula>
    </cfRule>
    <cfRule type="cellIs" dxfId="615" priority="148" operator="equal">
      <formula>"Используется типовая"</formula>
    </cfRule>
    <cfRule type="cellIs" dxfId="614" priority="147" operator="equal">
      <formula>"Необходимо разработать"</formula>
    </cfRule>
  </conditionalFormatting>
  <conditionalFormatting sqref="AD270">
    <cfRule type="cellIs" dxfId="613" priority="140" operator="equal">
      <formula>"Не требуется"</formula>
    </cfRule>
    <cfRule type="cellIs" dxfId="612" priority="139" operator="equal">
      <formula>"Предоставляется Заказчиком"</formula>
    </cfRule>
    <cfRule type="cellIs" dxfId="611" priority="138" operator="equal">
      <formula>"Используется типовая"</formula>
    </cfRule>
    <cfRule type="cellIs" dxfId="610" priority="137" operator="equal">
      <formula>"Необходимо разработать"</formula>
    </cfRule>
  </conditionalFormatting>
  <conditionalFormatting sqref="AD281">
    <cfRule type="cellIs" dxfId="609" priority="129" operator="equal">
      <formula>"Предоставляется Заказчиком"</formula>
    </cfRule>
    <cfRule type="cellIs" dxfId="608" priority="128" operator="equal">
      <formula>"Используется типовая"</formula>
    </cfRule>
    <cfRule type="cellIs" dxfId="607" priority="130" operator="equal">
      <formula>"Не требуется"</formula>
    </cfRule>
    <cfRule type="cellIs" dxfId="606" priority="127" operator="equal">
      <formula>"Необходимо разработать"</formula>
    </cfRule>
  </conditionalFormatting>
  <conditionalFormatting sqref="AD285">
    <cfRule type="cellIs" dxfId="605" priority="117" operator="equal">
      <formula>"Необходимо разработать"</formula>
    </cfRule>
    <cfRule type="cellIs" dxfId="604" priority="120" operator="equal">
      <formula>"Не требуется"</formula>
    </cfRule>
    <cfRule type="cellIs" dxfId="603" priority="119" operator="equal">
      <formula>"Предоставляется Заказчиком"</formula>
    </cfRule>
    <cfRule type="cellIs" dxfId="602" priority="118" operator="equal">
      <formula>"Используется типовая"</formula>
    </cfRule>
  </conditionalFormatting>
  <conditionalFormatting sqref="AD295">
    <cfRule type="cellIs" dxfId="601" priority="110" operator="equal">
      <formula>"Не требуется"</formula>
    </cfRule>
    <cfRule type="cellIs" dxfId="600" priority="109" operator="equal">
      <formula>"Предоставляется Заказчиком"</formula>
    </cfRule>
    <cfRule type="cellIs" dxfId="599" priority="108" operator="equal">
      <formula>"Используется типовая"</formula>
    </cfRule>
    <cfRule type="cellIs" dxfId="598" priority="107" operator="equal">
      <formula>"Необходимо разработать"</formula>
    </cfRule>
  </conditionalFormatting>
  <conditionalFormatting sqref="AD299:AD355">
    <cfRule type="cellIs" dxfId="597" priority="7" operator="equal">
      <formula>"Необходимо разработать"</formula>
    </cfRule>
    <cfRule type="cellIs" dxfId="596" priority="8" operator="equal">
      <formula>"Используется типовая"</formula>
    </cfRule>
    <cfRule type="cellIs" dxfId="595" priority="9" operator="equal">
      <formula>"Предоставляется Заказчиком"</formula>
    </cfRule>
    <cfRule type="cellIs" dxfId="594" priority="10" operator="equal">
      <formula>"Не требуется"</formula>
    </cfRule>
  </conditionalFormatting>
  <conditionalFormatting sqref="AE10:AF10">
    <cfRule type="cellIs" dxfId="593" priority="11162" operator="equal">
      <formula>"НЕТ"</formula>
    </cfRule>
    <cfRule type="cellIs" dxfId="592" priority="11163" operator="equal">
      <formula>"ДА"</formula>
    </cfRule>
  </conditionalFormatting>
  <conditionalFormatting sqref="AE38:AF38">
    <cfRule type="cellIs" dxfId="591" priority="11161" operator="equal">
      <formula>"ДА"</formula>
    </cfRule>
    <cfRule type="cellIs" dxfId="590" priority="11160" operator="equal">
      <formula>"НЕТ"</formula>
    </cfRule>
  </conditionalFormatting>
  <conditionalFormatting sqref="AE67:AF67">
    <cfRule type="cellIs" dxfId="589" priority="8235" operator="equal">
      <formula>"ДА"</formula>
    </cfRule>
    <cfRule type="cellIs" dxfId="588" priority="8234" operator="equal">
      <formula>"НЕТ"</formula>
    </cfRule>
  </conditionalFormatting>
  <conditionalFormatting sqref="AE100:AF100">
    <cfRule type="cellIs" dxfId="587" priority="11157" operator="equal">
      <formula>"ДА"</formula>
    </cfRule>
    <cfRule type="cellIs" dxfId="586" priority="11156" operator="equal">
      <formula>"НЕТ"</formula>
    </cfRule>
  </conditionalFormatting>
  <conditionalFormatting sqref="AE147:AF147">
    <cfRule type="cellIs" dxfId="585" priority="11155" operator="equal">
      <formula>"ДА"</formula>
    </cfRule>
    <cfRule type="cellIs" dxfId="584" priority="11154" operator="equal">
      <formula>"НЕТ"</formula>
    </cfRule>
  </conditionalFormatting>
  <conditionalFormatting sqref="AE177:AF177">
    <cfRule type="cellIs" dxfId="583" priority="11153" operator="equal">
      <formula>"ДА"</formula>
    </cfRule>
    <cfRule type="cellIs" dxfId="582" priority="11152" operator="equal">
      <formula>"НЕТ"</formula>
    </cfRule>
  </conditionalFormatting>
  <conditionalFormatting sqref="AE211:AF211">
    <cfRule type="cellIs" dxfId="581" priority="11150" operator="equal">
      <formula>"НЕТ"</formula>
    </cfRule>
    <cfRule type="cellIs" dxfId="580" priority="11151" operator="equal">
      <formula>"ДА"</formula>
    </cfRule>
  </conditionalFormatting>
  <conditionalFormatting sqref="AE254:AF254">
    <cfRule type="cellIs" dxfId="579" priority="11149" operator="equal">
      <formula>"ДА"</formula>
    </cfRule>
    <cfRule type="cellIs" dxfId="578" priority="11148" operator="equal">
      <formula>"НЕТ"</formula>
    </cfRule>
  </conditionalFormatting>
  <conditionalFormatting sqref="AE264:AF264">
    <cfRule type="cellIs" dxfId="577" priority="11147" operator="equal">
      <formula>"ДА"</formula>
    </cfRule>
    <cfRule type="cellIs" dxfId="576" priority="11146" operator="equal">
      <formula>"НЕТ"</formula>
    </cfRule>
  </conditionalFormatting>
  <conditionalFormatting sqref="AE298:AF298">
    <cfRule type="cellIs" dxfId="575" priority="7166" operator="equal">
      <formula>"НЕТ"</formula>
    </cfRule>
    <cfRule type="cellIs" dxfId="574" priority="7167" operator="equal">
      <formula>"ДА"</formula>
    </cfRule>
  </conditionalFormatting>
  <conditionalFormatting sqref="AG327">
    <cfRule type="cellIs" dxfId="573" priority="4814" operator="equal">
      <formula>"Необходимо разработать"</formula>
    </cfRule>
    <cfRule type="cellIs" dxfId="572" priority="4815" operator="equal">
      <formula>"Используется типовая"</formula>
    </cfRule>
    <cfRule type="cellIs" dxfId="571" priority="4816" operator="equal">
      <formula>"Предоставляется Заказчиком"</formula>
    </cfRule>
    <cfRule type="cellIs" dxfId="570" priority="4817" operator="equal">
      <formula>"Не требуется"</formula>
    </cfRule>
  </conditionalFormatting>
  <conditionalFormatting sqref="AH10:AI10">
    <cfRule type="cellIs" dxfId="569" priority="10958" operator="equal">
      <formula>"НЕТ"</formula>
    </cfRule>
    <cfRule type="cellIs" dxfId="568" priority="10959" operator="equal">
      <formula>"ДА"</formula>
    </cfRule>
  </conditionalFormatting>
  <conditionalFormatting sqref="AH38:AI38">
    <cfRule type="cellIs" dxfId="567" priority="8314" operator="equal">
      <formula>"НЕТ"</formula>
    </cfRule>
    <cfRule type="cellIs" dxfId="566" priority="8315" operator="equal">
      <formula>"ДА"</formula>
    </cfRule>
  </conditionalFormatting>
  <conditionalFormatting sqref="AH67:AI67">
    <cfRule type="cellIs" dxfId="565" priority="8218" operator="equal">
      <formula>"НЕТ"</formula>
    </cfRule>
    <cfRule type="cellIs" dxfId="564" priority="8219" operator="equal">
      <formula>"ДА"</formula>
    </cfRule>
  </conditionalFormatting>
  <conditionalFormatting sqref="AH100:AI100">
    <cfRule type="cellIs" dxfId="563" priority="8134" operator="equal">
      <formula>"НЕТ"</formula>
    </cfRule>
    <cfRule type="cellIs" dxfId="562" priority="8135" operator="equal">
      <formula>"ДА"</formula>
    </cfRule>
  </conditionalFormatting>
  <conditionalFormatting sqref="AH147:AI147">
    <cfRule type="cellIs" dxfId="561" priority="8038" operator="equal">
      <formula>"НЕТ"</formula>
    </cfRule>
    <cfRule type="cellIs" dxfId="560" priority="8039" operator="equal">
      <formula>"ДА"</formula>
    </cfRule>
  </conditionalFormatting>
  <conditionalFormatting sqref="AH177:AI177">
    <cfRule type="cellIs" dxfId="559" priority="7967" operator="equal">
      <formula>"ДА"</formula>
    </cfRule>
    <cfRule type="cellIs" dxfId="558" priority="7966" operator="equal">
      <formula>"НЕТ"</formula>
    </cfRule>
  </conditionalFormatting>
  <conditionalFormatting sqref="AH211:AI211">
    <cfRule type="cellIs" dxfId="557" priority="7882" operator="equal">
      <formula>"НЕТ"</formula>
    </cfRule>
    <cfRule type="cellIs" dxfId="556" priority="7883" operator="equal">
      <formula>"ДА"</formula>
    </cfRule>
  </conditionalFormatting>
  <conditionalFormatting sqref="AH254:AI254">
    <cfRule type="cellIs" dxfId="555" priority="7775" operator="equal">
      <formula>"ДА"</formula>
    </cfRule>
    <cfRule type="cellIs" dxfId="554" priority="7774" operator="equal">
      <formula>"НЕТ"</formula>
    </cfRule>
  </conditionalFormatting>
  <conditionalFormatting sqref="AH264:AI264">
    <cfRule type="cellIs" dxfId="553" priority="7702" operator="equal">
      <formula>"НЕТ"</formula>
    </cfRule>
    <cfRule type="cellIs" dxfId="552" priority="7703" operator="equal">
      <formula>"ДА"</formula>
    </cfRule>
  </conditionalFormatting>
  <conditionalFormatting sqref="AH298:AI298">
    <cfRule type="cellIs" dxfId="551" priority="7162" operator="equal">
      <formula>"НЕТ"</formula>
    </cfRule>
    <cfRule type="cellIs" dxfId="550" priority="7163" operator="equal">
      <formula>"ДА"</formula>
    </cfRule>
  </conditionalFormatting>
  <conditionalFormatting sqref="AJ327">
    <cfRule type="cellIs" dxfId="549" priority="4810" operator="equal">
      <formula>"Необходимо разработать"</formula>
    </cfRule>
    <cfRule type="cellIs" dxfId="548" priority="4813" operator="equal">
      <formula>"Не требуется"</formula>
    </cfRule>
    <cfRule type="cellIs" dxfId="547" priority="4811" operator="equal">
      <formula>"Используется типовая"</formula>
    </cfRule>
    <cfRule type="cellIs" dxfId="546" priority="4812" operator="equal">
      <formula>"Предоставляется Заказчиком"</formula>
    </cfRule>
  </conditionalFormatting>
  <conditionalFormatting sqref="AK10:AL10">
    <cfRule type="cellIs" dxfId="545" priority="10909" operator="equal">
      <formula>"ДА"</formula>
    </cfRule>
    <cfRule type="cellIs" dxfId="544" priority="10908" operator="equal">
      <formula>"НЕТ"</formula>
    </cfRule>
  </conditionalFormatting>
  <conditionalFormatting sqref="AK38:AL38">
    <cfRule type="cellIs" dxfId="543" priority="8312" operator="equal">
      <formula>"НЕТ"</formula>
    </cfRule>
    <cfRule type="cellIs" dxfId="542" priority="8313" operator="equal">
      <formula>"ДА"</formula>
    </cfRule>
  </conditionalFormatting>
  <conditionalFormatting sqref="AK67:AL67">
    <cfRule type="cellIs" dxfId="541" priority="8217" operator="equal">
      <formula>"ДА"</formula>
    </cfRule>
    <cfRule type="cellIs" dxfId="540" priority="8216" operator="equal">
      <formula>"НЕТ"</formula>
    </cfRule>
  </conditionalFormatting>
  <conditionalFormatting sqref="AK100:AL100">
    <cfRule type="cellIs" dxfId="539" priority="8132" operator="equal">
      <formula>"НЕТ"</formula>
    </cfRule>
    <cfRule type="cellIs" dxfId="538" priority="8133" operator="equal">
      <formula>"ДА"</formula>
    </cfRule>
  </conditionalFormatting>
  <conditionalFormatting sqref="AK147:AL147">
    <cfRule type="cellIs" dxfId="537" priority="8037" operator="equal">
      <formula>"ДА"</formula>
    </cfRule>
    <cfRule type="cellIs" dxfId="536" priority="8036" operator="equal">
      <formula>"НЕТ"</formula>
    </cfRule>
  </conditionalFormatting>
  <conditionalFormatting sqref="AK177:AL177">
    <cfRule type="cellIs" dxfId="535" priority="7965" operator="equal">
      <formula>"ДА"</formula>
    </cfRule>
    <cfRule type="cellIs" dxfId="534" priority="7964" operator="equal">
      <formula>"НЕТ"</formula>
    </cfRule>
  </conditionalFormatting>
  <conditionalFormatting sqref="AK211:AL211">
    <cfRule type="cellIs" dxfId="533" priority="7881" operator="equal">
      <formula>"ДА"</formula>
    </cfRule>
    <cfRule type="cellIs" dxfId="532" priority="7880" operator="equal">
      <formula>"НЕТ"</formula>
    </cfRule>
  </conditionalFormatting>
  <conditionalFormatting sqref="AK254:AL254">
    <cfRule type="cellIs" dxfId="531" priority="7773" operator="equal">
      <formula>"ДА"</formula>
    </cfRule>
    <cfRule type="cellIs" dxfId="530" priority="7772" operator="equal">
      <formula>"НЕТ"</formula>
    </cfRule>
  </conditionalFormatting>
  <conditionalFormatting sqref="AK264:AL264">
    <cfRule type="cellIs" dxfId="529" priority="7700" operator="equal">
      <formula>"НЕТ"</formula>
    </cfRule>
    <cfRule type="cellIs" dxfId="528" priority="7701" operator="equal">
      <formula>"ДА"</formula>
    </cfRule>
  </conditionalFormatting>
  <conditionalFormatting sqref="AK298:AL298">
    <cfRule type="cellIs" dxfId="527" priority="7161" operator="equal">
      <formula>"ДА"</formula>
    </cfRule>
    <cfRule type="cellIs" dxfId="526" priority="7160" operator="equal">
      <formula>"НЕТ"</formula>
    </cfRule>
  </conditionalFormatting>
  <conditionalFormatting sqref="AM11 AM14">
    <cfRule type="cellIs" dxfId="525" priority="5547" operator="equal">
      <formula>"Не требуется"</formula>
    </cfRule>
    <cfRule type="cellIs" dxfId="524" priority="5546" operator="equal">
      <formula>"Предоставляется Заказчиком"</formula>
    </cfRule>
    <cfRule type="cellIs" dxfId="523" priority="5545" operator="equal">
      <formula>"Используется типовая"</formula>
    </cfRule>
    <cfRule type="cellIs" dxfId="522" priority="5544" operator="equal">
      <formula>"Необходимо разработать"</formula>
    </cfRule>
  </conditionalFormatting>
  <conditionalFormatting sqref="AM17 AM20 AM27 AM33 AM37">
    <cfRule type="cellIs" dxfId="521" priority="5535" operator="equal">
      <formula>"Не требуется"</formula>
    </cfRule>
    <cfRule type="cellIs" dxfId="520" priority="5534" operator="equal">
      <formula>"Предоставляется Заказчиком"</formula>
    </cfRule>
    <cfRule type="cellIs" dxfId="519" priority="5533" operator="equal">
      <formula>"Используется типовая"</formula>
    </cfRule>
    <cfRule type="cellIs" dxfId="518" priority="5532" operator="equal">
      <formula>"Необходимо разработать"</formula>
    </cfRule>
  </conditionalFormatting>
  <conditionalFormatting sqref="AM31">
    <cfRule type="cellIs" dxfId="517" priority="4997" operator="equal">
      <formula>"Не требуется"</formula>
    </cfRule>
    <cfRule type="cellIs" dxfId="516" priority="4995" operator="equal">
      <formula>"Используется типовая"</formula>
    </cfRule>
    <cfRule type="cellIs" dxfId="515" priority="4994" operator="equal">
      <formula>"Необходимо разработать"</formula>
    </cfRule>
    <cfRule type="cellIs" dxfId="514" priority="4996" operator="equal">
      <formula>"Предоставляется Заказчиком"</formula>
    </cfRule>
  </conditionalFormatting>
  <conditionalFormatting sqref="AM39 AM50 AM54 AM59 AM61">
    <cfRule type="cellIs" dxfId="513" priority="5529" operator="equal">
      <formula>"Не требуется"</formula>
    </cfRule>
    <cfRule type="cellIs" dxfId="512" priority="5528" operator="equal">
      <formula>"Предоставляется Заказчиком"</formula>
    </cfRule>
    <cfRule type="cellIs" dxfId="511" priority="5527" operator="equal">
      <formula>"Используется типовая"</formula>
    </cfRule>
    <cfRule type="cellIs" dxfId="510" priority="5526" operator="equal">
      <formula>"Необходимо разработать"</formula>
    </cfRule>
  </conditionalFormatting>
  <conditionalFormatting sqref="AM68 AM75 AM79 AM88 AM97 AM99">
    <cfRule type="cellIs" dxfId="509" priority="5520" operator="equal">
      <formula>"Необходимо разработать"</formula>
    </cfRule>
    <cfRule type="cellIs" dxfId="508" priority="5522" operator="equal">
      <formula>"Предоставляется Заказчиком"</formula>
    </cfRule>
    <cfRule type="cellIs" dxfId="507" priority="5523" operator="equal">
      <formula>"Не требуется"</formula>
    </cfRule>
    <cfRule type="cellIs" dxfId="506" priority="5521" operator="equal">
      <formula>"Используется типовая"</formula>
    </cfRule>
  </conditionalFormatting>
  <conditionalFormatting sqref="AM83">
    <cfRule type="cellIs" dxfId="505" priority="4922" operator="equal">
      <formula>"Необходимо разработать"</formula>
    </cfRule>
    <cfRule type="cellIs" dxfId="504" priority="4923" operator="equal">
      <formula>"Используется типовая"</formula>
    </cfRule>
    <cfRule type="cellIs" dxfId="503" priority="4924" operator="equal">
      <formula>"Предоставляется Заказчиком"</formula>
    </cfRule>
    <cfRule type="cellIs" dxfId="502" priority="4925" operator="equal">
      <formula>"Не требуется"</formula>
    </cfRule>
  </conditionalFormatting>
  <conditionalFormatting sqref="AM93">
    <cfRule type="cellIs" dxfId="501" priority="3658" operator="equal">
      <formula>"Предоставляется Заказчиком"</formula>
    </cfRule>
    <cfRule type="cellIs" dxfId="500" priority="3659" operator="equal">
      <formula>"Не требуется"</formula>
    </cfRule>
    <cfRule type="cellIs" dxfId="499" priority="3657" operator="equal">
      <formula>"Используется типовая"</formula>
    </cfRule>
    <cfRule type="cellIs" dxfId="498" priority="3656" operator="equal">
      <formula>"Необходимо разработать"</formula>
    </cfRule>
  </conditionalFormatting>
  <conditionalFormatting sqref="AM101 AM107 AM115 AM120 AM130 AM141 AM144 AM146">
    <cfRule type="cellIs" dxfId="497" priority="5515" operator="equal">
      <formula>"Используется типовая"</formula>
    </cfRule>
    <cfRule type="cellIs" dxfId="496" priority="5516" operator="equal">
      <formula>"Предоставляется Заказчиком"</formula>
    </cfRule>
    <cfRule type="cellIs" dxfId="495" priority="5517" operator="equal">
      <formula>"Не требуется"</formula>
    </cfRule>
    <cfRule type="cellIs" dxfId="494" priority="5514" operator="equal">
      <formula>"Необходимо разработать"</formula>
    </cfRule>
  </conditionalFormatting>
  <conditionalFormatting sqref="AM134">
    <cfRule type="cellIs" dxfId="493" priority="5023" operator="equal">
      <formula>"Не требуется"</formula>
    </cfRule>
    <cfRule type="cellIs" dxfId="492" priority="5020" operator="equal">
      <formula>"Необходимо разработать"</formula>
    </cfRule>
    <cfRule type="cellIs" dxfId="491" priority="5021" operator="equal">
      <formula>"Используется типовая"</formula>
    </cfRule>
    <cfRule type="cellIs" dxfId="490" priority="5022" operator="equal">
      <formula>"Предоставляется Заказчиком"</formula>
    </cfRule>
  </conditionalFormatting>
  <conditionalFormatting sqref="AM137">
    <cfRule type="cellIs" dxfId="489" priority="4604" operator="equal">
      <formula>"Не требуется"</formula>
    </cfRule>
    <cfRule type="cellIs" dxfId="488" priority="4603" operator="equal">
      <formula>"Предоставляется Заказчиком"</formula>
    </cfRule>
    <cfRule type="cellIs" dxfId="487" priority="4601" operator="equal">
      <formula>"Необходимо разработать"</formula>
    </cfRule>
    <cfRule type="cellIs" dxfId="486" priority="4602" operator="equal">
      <formula>"Используется типовая"</formula>
    </cfRule>
  </conditionalFormatting>
  <conditionalFormatting sqref="AM148">
    <cfRule type="cellIs" dxfId="485" priority="4972" operator="equal">
      <formula>"Необходимо разработать"</formula>
    </cfRule>
    <cfRule type="cellIs" dxfId="484" priority="4973" operator="equal">
      <formula>"Используется типовая"</formula>
    </cfRule>
    <cfRule type="cellIs" dxfId="483" priority="4974" operator="equal">
      <formula>"Предоставляется Заказчиком"</formula>
    </cfRule>
    <cfRule type="cellIs" dxfId="482" priority="4975" operator="equal">
      <formula>"Не требуется"</formula>
    </cfRule>
  </conditionalFormatting>
  <conditionalFormatting sqref="AM153">
    <cfRule type="cellIs" dxfId="481" priority="5048" operator="equal">
      <formula>"Необходимо разработать"</formula>
    </cfRule>
    <cfRule type="cellIs" dxfId="480" priority="5049" operator="equal">
      <formula>"Используется типовая"</formula>
    </cfRule>
    <cfRule type="cellIs" dxfId="479" priority="5050" operator="equal">
      <formula>"Предоставляется Заказчиком"</formula>
    </cfRule>
    <cfRule type="cellIs" dxfId="478" priority="5051" operator="equal">
      <formula>"Не требуется"</formula>
    </cfRule>
  </conditionalFormatting>
  <conditionalFormatting sqref="AM161 AM165 AM170 AM175:AM176">
    <cfRule type="cellIs" dxfId="477" priority="5509" operator="equal">
      <formula>"Используется типовая"</formula>
    </cfRule>
    <cfRule type="cellIs" dxfId="476" priority="5508" operator="equal">
      <formula>"Необходимо разработать"</formula>
    </cfRule>
    <cfRule type="cellIs" dxfId="475" priority="5510" operator="equal">
      <formula>"Предоставляется Заказчиком"</formula>
    </cfRule>
    <cfRule type="cellIs" dxfId="474" priority="5511" operator="equal">
      <formula>"Не требуется"</formula>
    </cfRule>
  </conditionalFormatting>
  <conditionalFormatting sqref="AM178 AM183 AM187 AM190 AM200 AM209:AM210">
    <cfRule type="cellIs" dxfId="473" priority="5504" operator="equal">
      <formula>"Предоставляется Заказчиком"</formula>
    </cfRule>
    <cfRule type="cellIs" dxfId="472" priority="5502" operator="equal">
      <formula>"Необходимо разработать"</formula>
    </cfRule>
    <cfRule type="cellIs" dxfId="471" priority="5503" operator="equal">
      <formula>"Используется типовая"</formula>
    </cfRule>
    <cfRule type="cellIs" dxfId="470" priority="5505" operator="equal">
      <formula>"Не требуется"</formula>
    </cfRule>
  </conditionalFormatting>
  <conditionalFormatting sqref="AM212:AM213">
    <cfRule type="cellIs" dxfId="469" priority="4825" operator="equal">
      <formula>"Используется типовая"</formula>
    </cfRule>
    <cfRule type="cellIs" dxfId="468" priority="4826" operator="equal">
      <formula>"Предоставляется Заказчиком"</formula>
    </cfRule>
    <cfRule type="cellIs" dxfId="467" priority="4827" operator="equal">
      <formula>"Не требуется"</formula>
    </cfRule>
    <cfRule type="cellIs" dxfId="466" priority="4824" operator="equal">
      <formula>"Необходимо разработать"</formula>
    </cfRule>
  </conditionalFormatting>
  <conditionalFormatting sqref="AM215">
    <cfRule type="cellIs" dxfId="465" priority="4850" operator="equal">
      <formula>"Необходимо разработать"</formula>
    </cfRule>
    <cfRule type="cellIs" dxfId="464" priority="4851" operator="equal">
      <formula>"Используется типовая"</formula>
    </cfRule>
    <cfRule type="cellIs" dxfId="463" priority="4852" operator="equal">
      <formula>"Предоставляется Заказчиком"</formula>
    </cfRule>
    <cfRule type="cellIs" dxfId="462" priority="4853" operator="equal">
      <formula>"Не требуется"</formula>
    </cfRule>
  </conditionalFormatting>
  <conditionalFormatting sqref="AM217 AM227 AM234 AM241 AM247 AM250:AM253">
    <cfRule type="cellIs" dxfId="461" priority="5499" operator="equal">
      <formula>"Не требуется"</formula>
    </cfRule>
    <cfRule type="cellIs" dxfId="460" priority="5496" operator="equal">
      <formula>"Необходимо разработать"</formula>
    </cfRule>
    <cfRule type="cellIs" dxfId="459" priority="5497" operator="equal">
      <formula>"Используется типовая"</formula>
    </cfRule>
    <cfRule type="cellIs" dxfId="458" priority="5498" operator="equal">
      <formula>"Предоставляется Заказчиком"</formula>
    </cfRule>
  </conditionalFormatting>
  <conditionalFormatting sqref="AM255 AM257 AM260:AM263">
    <cfRule type="cellIs" dxfId="457" priority="5491" operator="equal">
      <formula>"Используется типовая"</formula>
    </cfRule>
    <cfRule type="cellIs" dxfId="456" priority="5492" operator="equal">
      <formula>"Предоставляется Заказчиком"</formula>
    </cfRule>
    <cfRule type="cellIs" dxfId="455" priority="5493" operator="equal">
      <formula>"Не требуется"</formula>
    </cfRule>
    <cfRule type="cellIs" dxfId="454" priority="5490" operator="equal">
      <formula>"Необходимо разработать"</formula>
    </cfRule>
  </conditionalFormatting>
  <conditionalFormatting sqref="AM265 AM270 AM281 AM285 AM295">
    <cfRule type="cellIs" dxfId="453" priority="5484" operator="equal">
      <formula>"Необходимо разработать"</formula>
    </cfRule>
    <cfRule type="cellIs" dxfId="452" priority="5486" operator="equal">
      <formula>"Предоставляется Заказчиком"</formula>
    </cfRule>
    <cfRule type="cellIs" dxfId="451" priority="5485" operator="equal">
      <formula>"Используется типовая"</formula>
    </cfRule>
    <cfRule type="cellIs" dxfId="450" priority="5487" operator="equal">
      <formula>"Не требуется"</formula>
    </cfRule>
  </conditionalFormatting>
  <conditionalFormatting sqref="AM299:AM309 AM311:AM327">
    <cfRule type="cellIs" dxfId="449" priority="5555" operator="equal">
      <formula>"ДА"</formula>
    </cfRule>
    <cfRule type="cellIs" dxfId="448" priority="5554" operator="equal">
      <formula>"НЕТ"</formula>
    </cfRule>
  </conditionalFormatting>
  <conditionalFormatting sqref="AM299:AM327">
    <cfRule type="cellIs" dxfId="447" priority="4807" operator="equal">
      <formula>"Не требуется"</formula>
    </cfRule>
    <cfRule type="cellIs" dxfId="446" priority="4806" operator="equal">
      <formula>"Предоставляется Заказчиком"</formula>
    </cfRule>
    <cfRule type="cellIs" dxfId="445" priority="4805" operator="equal">
      <formula>"Используется типовая"</formula>
    </cfRule>
    <cfRule type="cellIs" dxfId="444" priority="4804" operator="equal">
      <formula>"Необходимо разработать"</formula>
    </cfRule>
  </conditionalFormatting>
  <conditionalFormatting sqref="AM310:AN310">
    <cfRule type="cellIs" dxfId="443" priority="3645" operator="equal">
      <formula>"ДА"</formula>
    </cfRule>
    <cfRule type="cellIs" dxfId="442" priority="3644" operator="equal">
      <formula>"НЕТ"</formula>
    </cfRule>
  </conditionalFormatting>
  <conditionalFormatting sqref="AN10:AN11">
    <cfRule type="cellIs" dxfId="441" priority="10858" operator="equal">
      <formula>"НЕТ"</formula>
    </cfRule>
    <cfRule type="cellIs" dxfId="440" priority="10859" operator="equal">
      <formula>"ДА"</formula>
    </cfRule>
  </conditionalFormatting>
  <conditionalFormatting sqref="AN37:AN39">
    <cfRule type="cellIs" dxfId="439" priority="10839" operator="equal">
      <formula>"ДА"</formula>
    </cfRule>
    <cfRule type="cellIs" dxfId="438" priority="10838" operator="equal">
      <formula>"НЕТ"</formula>
    </cfRule>
  </conditionalFormatting>
  <conditionalFormatting sqref="AN64:AN68">
    <cfRule type="cellIs" dxfId="437" priority="10836" operator="equal">
      <formula>"НЕТ"</formula>
    </cfRule>
    <cfRule type="cellIs" dxfId="436" priority="10837" operator="equal">
      <formula>"ДА"</formula>
    </cfRule>
  </conditionalFormatting>
  <conditionalFormatting sqref="AN99:AN101">
    <cfRule type="cellIs" dxfId="435" priority="10835" operator="equal">
      <formula>"ДА"</formula>
    </cfRule>
    <cfRule type="cellIs" dxfId="434" priority="10834" operator="equal">
      <formula>"НЕТ"</formula>
    </cfRule>
  </conditionalFormatting>
  <conditionalFormatting sqref="AN146:AN147">
    <cfRule type="cellIs" dxfId="433" priority="10832" operator="equal">
      <formula>"НЕТ"</formula>
    </cfRule>
    <cfRule type="cellIs" dxfId="432" priority="10833" operator="equal">
      <formula>"ДА"</formula>
    </cfRule>
  </conditionalFormatting>
  <conditionalFormatting sqref="AN175:AN178">
    <cfRule type="cellIs" dxfId="431" priority="10849" operator="equal">
      <formula>"ДА"</formula>
    </cfRule>
    <cfRule type="cellIs" dxfId="430" priority="10848" operator="equal">
      <formula>"НЕТ"</formula>
    </cfRule>
  </conditionalFormatting>
  <conditionalFormatting sqref="AN209:AN211">
    <cfRule type="cellIs" dxfId="429" priority="10846" operator="equal">
      <formula>"НЕТ"</formula>
    </cfRule>
    <cfRule type="cellIs" dxfId="428" priority="10847" operator="equal">
      <formula>"ДА"</formula>
    </cfRule>
  </conditionalFormatting>
  <conditionalFormatting sqref="AN250:AN255">
    <cfRule type="cellIs" dxfId="427" priority="10824" operator="equal">
      <formula>"НЕТ"</formula>
    </cfRule>
    <cfRule type="cellIs" dxfId="426" priority="10825" operator="equal">
      <formula>"ДА"</formula>
    </cfRule>
  </conditionalFormatting>
  <conditionalFormatting sqref="AN260:AN265">
    <cfRule type="cellIs" dxfId="425" priority="10842" operator="equal">
      <formula>"НЕТ"</formula>
    </cfRule>
    <cfRule type="cellIs" dxfId="424" priority="10843" operator="equal">
      <formula>"ДА"</formula>
    </cfRule>
  </conditionalFormatting>
  <conditionalFormatting sqref="AN298:AN309">
    <cfRule type="cellIs" dxfId="423" priority="10817" operator="equal">
      <formula>"ДА"</formula>
    </cfRule>
    <cfRule type="cellIs" dxfId="422" priority="10816" operator="equal">
      <formula>"НЕТ"</formula>
    </cfRule>
  </conditionalFormatting>
  <conditionalFormatting sqref="AQ67:BV67">
    <cfRule type="cellIs" dxfId="421" priority="3103" operator="equal">
      <formula>"НЕТ"</formula>
    </cfRule>
    <cfRule type="cellIs" dxfId="420" priority="3104" operator="equal">
      <formula>"ДА"</formula>
    </cfRule>
  </conditionalFormatting>
  <conditionalFormatting sqref="AQ100:BV100 AQ147:CQ147 AQ177:BV177 AQ211:BV211 AQ254:BV254 AQ264:CQ264 AQ298:CQ298 AQ328:CQ328">
    <cfRule type="cellIs" dxfId="419" priority="3102" operator="equal">
      <formula>"ДА"</formula>
    </cfRule>
    <cfRule type="cellIs" dxfId="418" priority="3101" operator="equal">
      <formula>"НЕТ"</formula>
    </cfRule>
  </conditionalFormatting>
  <conditionalFormatting sqref="AQ10:CQ10">
    <cfRule type="cellIs" dxfId="417" priority="3106" operator="equal">
      <formula>"ДА"</formula>
    </cfRule>
    <cfRule type="cellIs" dxfId="416" priority="3105" operator="equal">
      <formula>"НЕТ"</formula>
    </cfRule>
  </conditionalFormatting>
  <conditionalFormatting sqref="AQ38:CQ38">
    <cfRule type="cellIs" dxfId="415" priority="3322" operator="equal">
      <formula>"ДА"</formula>
    </cfRule>
    <cfRule type="cellIs" dxfId="414" priority="3321" operator="equal">
      <formula>"НЕТ"</formula>
    </cfRule>
  </conditionalFormatting>
  <conditionalFormatting sqref="BQ107:BS107">
    <cfRule type="cellIs" dxfId="413" priority="8510" operator="equal">
      <formula>"НЕТ"</formula>
    </cfRule>
    <cfRule type="cellIs" dxfId="412" priority="8511" operator="equal">
      <formula>"ДА"</formula>
    </cfRule>
  </conditionalFormatting>
  <conditionalFormatting sqref="BQ68:BV68">
    <cfRule type="cellIs" dxfId="411" priority="3190" operator="equal">
      <formula>"ДА"</formula>
    </cfRule>
    <cfRule type="cellIs" dxfId="410" priority="3189" operator="equal">
      <formula>"НЕТ"</formula>
    </cfRule>
  </conditionalFormatting>
  <conditionalFormatting sqref="BQ101:BV101">
    <cfRule type="cellIs" dxfId="409" priority="3237" operator="equal">
      <formula>"НЕТ"</formula>
    </cfRule>
    <cfRule type="cellIs" dxfId="408" priority="3238" operator="equal">
      <formula>"ДА"</formula>
    </cfRule>
  </conditionalFormatting>
  <conditionalFormatting sqref="BQ175:BV176">
    <cfRule type="cellIs" dxfId="407" priority="3241" operator="equal">
      <formula>"НЕТ"</formula>
    </cfRule>
    <cfRule type="cellIs" dxfId="406" priority="3242" operator="equal">
      <formula>"ДА"</formula>
    </cfRule>
  </conditionalFormatting>
  <conditionalFormatting sqref="BQ209:BV210">
    <cfRule type="cellIs" dxfId="405" priority="3236" operator="equal">
      <formula>"ДА"</formula>
    </cfRule>
    <cfRule type="cellIs" dxfId="404" priority="3235" operator="equal">
      <formula>"НЕТ"</formula>
    </cfRule>
  </conditionalFormatting>
  <conditionalFormatting sqref="BQ17:CQ17">
    <cfRule type="cellIs" dxfId="403" priority="3155" operator="equal">
      <formula>"НЕТ"</formula>
    </cfRule>
    <cfRule type="cellIs" dxfId="402" priority="3156" operator="equal">
      <formula>"ДА"</formula>
    </cfRule>
  </conditionalFormatting>
  <conditionalFormatting sqref="BQ20:CQ20">
    <cfRule type="cellIs" dxfId="401" priority="3199" operator="equal">
      <formula>"НЕТ"</formula>
    </cfRule>
    <cfRule type="cellIs" dxfId="400" priority="3200" operator="equal">
      <formula>"ДА"</formula>
    </cfRule>
  </conditionalFormatting>
  <conditionalFormatting sqref="BQ27:CQ27">
    <cfRule type="cellIs" dxfId="399" priority="3114" operator="equal">
      <formula>"ДА"</formula>
    </cfRule>
    <cfRule type="cellIs" dxfId="398" priority="3113" operator="equal">
      <formula>"НЕТ"</formula>
    </cfRule>
  </conditionalFormatting>
  <conditionalFormatting sqref="BQ33:CQ33">
    <cfRule type="cellIs" dxfId="397" priority="3198" operator="equal">
      <formula>"ДА"</formula>
    </cfRule>
    <cfRule type="cellIs" dxfId="396" priority="3197" operator="equal">
      <formula>"НЕТ"</formula>
    </cfRule>
  </conditionalFormatting>
  <conditionalFormatting sqref="BQ37:CQ37 BQ39:CQ39">
    <cfRule type="cellIs" dxfId="395" priority="3195" operator="equal">
      <formula>"НЕТ"</formula>
    </cfRule>
    <cfRule type="cellIs" dxfId="394" priority="3196" operator="equal">
      <formula>"ДА"</formula>
    </cfRule>
  </conditionalFormatting>
  <conditionalFormatting sqref="BQ50:CQ50">
    <cfRule type="cellIs" dxfId="393" priority="3111" operator="equal">
      <formula>"НЕТ"</formula>
    </cfRule>
    <cfRule type="cellIs" dxfId="392" priority="3112" operator="equal">
      <formula>"ДА"</formula>
    </cfRule>
  </conditionalFormatting>
  <conditionalFormatting sqref="BQ54:CQ54">
    <cfRule type="cellIs" dxfId="391" priority="3193" operator="equal">
      <formula>"НЕТ"</formula>
    </cfRule>
    <cfRule type="cellIs" dxfId="390" priority="3194" operator="equal">
      <formula>"ДА"</formula>
    </cfRule>
  </conditionalFormatting>
  <conditionalFormatting sqref="BQ59:CQ59">
    <cfRule type="cellIs" dxfId="389" priority="3110" operator="equal">
      <formula>"ДА"</formula>
    </cfRule>
    <cfRule type="cellIs" dxfId="388" priority="3109" operator="equal">
      <formula>"НЕТ"</formula>
    </cfRule>
  </conditionalFormatting>
  <conditionalFormatting sqref="BQ61:CQ61">
    <cfRule type="cellIs" dxfId="387" priority="3191" operator="equal">
      <formula>"НЕТ"</formula>
    </cfRule>
    <cfRule type="cellIs" dxfId="386" priority="3192" operator="equal">
      <formula>"ДА"</formula>
    </cfRule>
  </conditionalFormatting>
  <conditionalFormatting sqref="BQ75:CQ75">
    <cfRule type="cellIs" dxfId="385" priority="3187" operator="equal">
      <formula>"НЕТ"</formula>
    </cfRule>
    <cfRule type="cellIs" dxfId="384" priority="3188" operator="equal">
      <formula>"ДА"</formula>
    </cfRule>
  </conditionalFormatting>
  <conditionalFormatting sqref="BQ79:CQ79">
    <cfRule type="cellIs" dxfId="383" priority="3108" operator="equal">
      <formula>"ДА"</formula>
    </cfRule>
    <cfRule type="cellIs" dxfId="382" priority="3107" operator="equal">
      <formula>"НЕТ"</formula>
    </cfRule>
  </conditionalFormatting>
  <conditionalFormatting sqref="BQ83:CQ83">
    <cfRule type="cellIs" dxfId="381" priority="3173" operator="equal">
      <formula>"НЕТ"</formula>
    </cfRule>
    <cfRule type="cellIs" dxfId="380" priority="3174" operator="equal">
      <formula>"ДА"</formula>
    </cfRule>
  </conditionalFormatting>
  <conditionalFormatting sqref="BQ93:CQ93">
    <cfRule type="cellIs" dxfId="379" priority="3160" operator="equal">
      <formula>"ДА"</formula>
    </cfRule>
    <cfRule type="cellIs" dxfId="378" priority="3159" operator="equal">
      <formula>"НЕТ"</formula>
    </cfRule>
  </conditionalFormatting>
  <conditionalFormatting sqref="BQ97:CQ97">
    <cfRule type="cellIs" dxfId="377" priority="3153" operator="equal">
      <formula>"НЕТ"</formula>
    </cfRule>
    <cfRule type="cellIs" dxfId="376" priority="3154" operator="equal">
      <formula>"ДА"</formula>
    </cfRule>
  </conditionalFormatting>
  <conditionalFormatting sqref="BQ115:CQ115">
    <cfRule type="cellIs" dxfId="375" priority="3208" operator="equal">
      <formula>"ДА"</formula>
    </cfRule>
    <cfRule type="cellIs" dxfId="374" priority="3207" operator="equal">
      <formula>"НЕТ"</formula>
    </cfRule>
  </conditionalFormatting>
  <conditionalFormatting sqref="BQ120:CQ120">
    <cfRule type="cellIs" dxfId="373" priority="3205" operator="equal">
      <formula>"НЕТ"</formula>
    </cfRule>
    <cfRule type="cellIs" dxfId="372" priority="3206" operator="equal">
      <formula>"ДА"</formula>
    </cfRule>
  </conditionalFormatting>
  <conditionalFormatting sqref="BQ141:CQ141">
    <cfRule type="cellIs" dxfId="371" priority="3229" operator="equal">
      <formula>"НЕТ"</formula>
    </cfRule>
    <cfRule type="cellIs" dxfId="370" priority="3230" operator="equal">
      <formula>"ДА"</formula>
    </cfRule>
  </conditionalFormatting>
  <conditionalFormatting sqref="BQ183:CQ183">
    <cfRule type="cellIs" dxfId="369" priority="3224" operator="equal">
      <formula>"ДА"</formula>
    </cfRule>
    <cfRule type="cellIs" dxfId="368" priority="3223" operator="equal">
      <formula>"НЕТ"</formula>
    </cfRule>
  </conditionalFormatting>
  <conditionalFormatting sqref="BQ187:CQ187">
    <cfRule type="cellIs" dxfId="367" priority="3233" operator="equal">
      <formula>"НЕТ"</formula>
    </cfRule>
    <cfRule type="cellIs" dxfId="366" priority="3234" operator="equal">
      <formula>"ДА"</formula>
    </cfRule>
  </conditionalFormatting>
  <conditionalFormatting sqref="BQ190:CQ190">
    <cfRule type="cellIs" dxfId="365" priority="3221" operator="equal">
      <formula>"НЕТ"</formula>
    </cfRule>
    <cfRule type="cellIs" dxfId="364" priority="3222" operator="equal">
      <formula>"ДА"</formula>
    </cfRule>
  </conditionalFormatting>
  <conditionalFormatting sqref="BQ200:CQ200">
    <cfRule type="cellIs" dxfId="363" priority="3219" operator="equal">
      <formula>"НЕТ"</formula>
    </cfRule>
    <cfRule type="cellIs" dxfId="362" priority="3220" operator="equal">
      <formula>"ДА"</formula>
    </cfRule>
  </conditionalFormatting>
  <conditionalFormatting sqref="BQ257:CQ257 BQ260:CR263">
    <cfRule type="cellIs" dxfId="361" priority="3240" operator="equal">
      <formula>"ДА"</formula>
    </cfRule>
    <cfRule type="cellIs" dxfId="360" priority="3239" operator="equal">
      <formula>"НЕТ"</formula>
    </cfRule>
  </conditionalFormatting>
  <conditionalFormatting sqref="BQ14:CR14">
    <cfRule type="cellIs" dxfId="359" priority="3116" operator="equal">
      <formula>"ДА"</formula>
    </cfRule>
    <cfRule type="cellIs" dxfId="358" priority="3115" operator="equal">
      <formula>"НЕТ"</formula>
    </cfRule>
  </conditionalFormatting>
  <conditionalFormatting sqref="BQ31:CR31">
    <cfRule type="cellIs" dxfId="357" priority="3172" operator="equal">
      <formula>"ДА"</formula>
    </cfRule>
    <cfRule type="cellIs" dxfId="356" priority="3171" operator="equal">
      <formula>"НЕТ"</formula>
    </cfRule>
  </conditionalFormatting>
  <conditionalFormatting sqref="BQ64:CR66">
    <cfRule type="cellIs" dxfId="355" priority="3182" operator="equal">
      <formula>"ДА"</formula>
    </cfRule>
    <cfRule type="cellIs" dxfId="354" priority="3181" operator="equal">
      <formula>"НЕТ"</formula>
    </cfRule>
  </conditionalFormatting>
  <conditionalFormatting sqref="BQ88:CR88">
    <cfRule type="cellIs" dxfId="353" priority="3170" operator="equal">
      <formula>"ДА"</formula>
    </cfRule>
    <cfRule type="cellIs" dxfId="352" priority="3169" operator="equal">
      <formula>"НЕТ"</formula>
    </cfRule>
  </conditionalFormatting>
  <conditionalFormatting sqref="BQ99:CR99">
    <cfRule type="cellIs" dxfId="351" priority="3185" operator="equal">
      <formula>"НЕТ"</formula>
    </cfRule>
    <cfRule type="cellIs" dxfId="350" priority="3186" operator="equal">
      <formula>"ДА"</formula>
    </cfRule>
  </conditionalFormatting>
  <conditionalFormatting sqref="BQ130:CR130">
    <cfRule type="cellIs" dxfId="349" priority="3161" operator="equal">
      <formula>"НЕТ"</formula>
    </cfRule>
    <cfRule type="cellIs" dxfId="348" priority="3162" operator="equal">
      <formula>"ДА"</formula>
    </cfRule>
  </conditionalFormatting>
  <conditionalFormatting sqref="BQ134:CR134">
    <cfRule type="cellIs" dxfId="347" priority="3167" operator="equal">
      <formula>"НЕТ"</formula>
    </cfRule>
    <cfRule type="cellIs" dxfId="346" priority="3168" operator="equal">
      <formula>"ДА"</formula>
    </cfRule>
  </conditionalFormatting>
  <conditionalFormatting sqref="BQ137:CR137">
    <cfRule type="cellIs" dxfId="345" priority="3151" operator="equal">
      <formula>"НЕТ"</formula>
    </cfRule>
    <cfRule type="cellIs" dxfId="344" priority="3152" operator="equal">
      <formula>"ДА"</formula>
    </cfRule>
  </conditionalFormatting>
  <conditionalFormatting sqref="BQ144:CR144">
    <cfRule type="cellIs" dxfId="343" priority="3150" operator="equal">
      <formula>"ДА"</formula>
    </cfRule>
    <cfRule type="cellIs" dxfId="342" priority="3149" operator="equal">
      <formula>"НЕТ"</formula>
    </cfRule>
  </conditionalFormatting>
  <conditionalFormatting sqref="BQ146:CR146">
    <cfRule type="cellIs" dxfId="341" priority="3183" operator="equal">
      <formula>"НЕТ"</formula>
    </cfRule>
    <cfRule type="cellIs" dxfId="340" priority="3184" operator="equal">
      <formula>"ДА"</formula>
    </cfRule>
  </conditionalFormatting>
  <conditionalFormatting sqref="BQ148:CR148">
    <cfRule type="cellIs" dxfId="339" priority="3175" operator="equal">
      <formula>"НЕТ"</formula>
    </cfRule>
    <cfRule type="cellIs" dxfId="338" priority="3176" operator="equal">
      <formula>"ДА"</formula>
    </cfRule>
  </conditionalFormatting>
  <conditionalFormatting sqref="BQ153:CR153">
    <cfRule type="cellIs" dxfId="337" priority="3177" operator="equal">
      <formula>"НЕТ"</formula>
    </cfRule>
    <cfRule type="cellIs" dxfId="336" priority="3178" operator="equal">
      <formula>"ДА"</formula>
    </cfRule>
  </conditionalFormatting>
  <conditionalFormatting sqref="BQ161:CR161">
    <cfRule type="cellIs" dxfId="335" priority="3147" operator="equal">
      <formula>"НЕТ"</formula>
    </cfRule>
    <cfRule type="cellIs" dxfId="334" priority="3148" operator="equal">
      <formula>"ДА"</formula>
    </cfRule>
  </conditionalFormatting>
  <conditionalFormatting sqref="BQ165:CR165">
    <cfRule type="cellIs" dxfId="333" priority="3209" operator="equal">
      <formula>"НЕТ"</formula>
    </cfRule>
    <cfRule type="cellIs" dxfId="332" priority="3210" operator="equal">
      <formula>"ДА"</formula>
    </cfRule>
  </conditionalFormatting>
  <conditionalFormatting sqref="BQ170:CR170">
    <cfRule type="cellIs" dxfId="331" priority="3166" operator="equal">
      <formula>"ДА"</formula>
    </cfRule>
    <cfRule type="cellIs" dxfId="330" priority="3165" operator="equal">
      <formula>"НЕТ"</formula>
    </cfRule>
  </conditionalFormatting>
  <conditionalFormatting sqref="BQ178:CR178">
    <cfRule type="cellIs" dxfId="329" priority="3225" operator="equal">
      <formula>"НЕТ"</formula>
    </cfRule>
    <cfRule type="cellIs" dxfId="328" priority="3226" operator="equal">
      <formula>"ДА"</formula>
    </cfRule>
  </conditionalFormatting>
  <conditionalFormatting sqref="BQ212:CR213">
    <cfRule type="cellIs" dxfId="327" priority="3145" operator="equal">
      <formula>"НЕТ"</formula>
    </cfRule>
    <cfRule type="cellIs" dxfId="326" priority="3146" operator="equal">
      <formula>"ДА"</formula>
    </cfRule>
  </conditionalFormatting>
  <conditionalFormatting sqref="BQ215:CR215">
    <cfRule type="cellIs" dxfId="325" priority="3144" operator="equal">
      <formula>"ДА"</formula>
    </cfRule>
    <cfRule type="cellIs" dxfId="324" priority="3143" operator="equal">
      <formula>"НЕТ"</formula>
    </cfRule>
  </conditionalFormatting>
  <conditionalFormatting sqref="BQ217:CR217">
    <cfRule type="cellIs" dxfId="323" priority="3232" operator="equal">
      <formula>"ДА"</formula>
    </cfRule>
    <cfRule type="cellIs" dxfId="322" priority="3231" operator="equal">
      <formula>"НЕТ"</formula>
    </cfRule>
  </conditionalFormatting>
  <conditionalFormatting sqref="BQ227:CR227">
    <cfRule type="cellIs" dxfId="321" priority="3215" operator="equal">
      <formula>"НЕТ"</formula>
    </cfRule>
    <cfRule type="cellIs" dxfId="320" priority="3216" operator="equal">
      <formula>"ДА"</formula>
    </cfRule>
  </conditionalFormatting>
  <conditionalFormatting sqref="BQ234:CR234">
    <cfRule type="cellIs" dxfId="319" priority="3214" operator="equal">
      <formula>"ДА"</formula>
    </cfRule>
    <cfRule type="cellIs" dxfId="318" priority="3213" operator="equal">
      <formula>"НЕТ"</formula>
    </cfRule>
  </conditionalFormatting>
  <conditionalFormatting sqref="BQ241:CR241">
    <cfRule type="cellIs" dxfId="317" priority="3163" operator="equal">
      <formula>"НЕТ"</formula>
    </cfRule>
    <cfRule type="cellIs" dxfId="316" priority="3164" operator="equal">
      <formula>"ДА"</formula>
    </cfRule>
  </conditionalFormatting>
  <conditionalFormatting sqref="BQ247:CR247">
    <cfRule type="cellIs" dxfId="315" priority="3218" operator="equal">
      <formula>"ДА"</formula>
    </cfRule>
    <cfRule type="cellIs" dxfId="314" priority="3217" operator="equal">
      <formula>"НЕТ"</formula>
    </cfRule>
  </conditionalFormatting>
  <conditionalFormatting sqref="BQ250:CR253 BQ255:BV255">
    <cfRule type="cellIs" dxfId="313" priority="3211" operator="equal">
      <formula>"НЕТ"</formula>
    </cfRule>
    <cfRule type="cellIs" dxfId="312" priority="3212" operator="equal">
      <formula>"ДА"</formula>
    </cfRule>
  </conditionalFormatting>
  <conditionalFormatting sqref="BQ265:CR265">
    <cfRule type="cellIs" dxfId="311" priority="3142" operator="equal">
      <formula>"ДА"</formula>
    </cfRule>
    <cfRule type="cellIs" dxfId="310" priority="3141" operator="equal">
      <formula>"НЕТ"</formula>
    </cfRule>
  </conditionalFormatting>
  <conditionalFormatting sqref="BQ270:CR270">
    <cfRule type="cellIs" dxfId="309" priority="3227" operator="equal">
      <formula>"НЕТ"</formula>
    </cfRule>
    <cfRule type="cellIs" dxfId="308" priority="3228" operator="equal">
      <formula>"ДА"</formula>
    </cfRule>
  </conditionalFormatting>
  <conditionalFormatting sqref="BQ281:CR281 BQ295:CR295">
    <cfRule type="cellIs" dxfId="307" priority="3139" operator="equal">
      <formula>"НЕТ"</formula>
    </cfRule>
    <cfRule type="cellIs" dxfId="306" priority="3140" operator="equal">
      <formula>"ДА"</formula>
    </cfRule>
  </conditionalFormatting>
  <conditionalFormatting sqref="BQ285:CR285">
    <cfRule type="cellIs" dxfId="305" priority="3137" operator="equal">
      <formula>"НЕТ"</formula>
    </cfRule>
    <cfRule type="cellIs" dxfId="304" priority="3138" operator="equal">
      <formula>"ДА"</formula>
    </cfRule>
  </conditionalFormatting>
  <conditionalFormatting sqref="BQ299:CR327">
    <cfRule type="cellIs" dxfId="303" priority="3158" operator="equal">
      <formula>"ДА"</formula>
    </cfRule>
    <cfRule type="cellIs" dxfId="302" priority="3157" operator="equal">
      <formula>"НЕТ"</formula>
    </cfRule>
  </conditionalFormatting>
  <conditionalFormatting sqref="BQ329:CR355">
    <cfRule type="cellIs" dxfId="301" priority="3180" operator="equal">
      <formula>"ДА"</formula>
    </cfRule>
    <cfRule type="cellIs" dxfId="300" priority="3179" operator="equal">
      <formula>"НЕТ"</formula>
    </cfRule>
  </conditionalFormatting>
  <conditionalFormatting sqref="BQ11:CT11">
    <cfRule type="cellIs" dxfId="299" priority="3096" operator="equal">
      <formula>"ДА"</formula>
    </cfRule>
    <cfRule type="cellIs" dxfId="298" priority="3095" operator="equal">
      <formula>"НЕТ"</formula>
    </cfRule>
  </conditionalFormatting>
  <conditionalFormatting sqref="BT69:BT74">
    <cfRule type="cellIs" dxfId="297" priority="3252" operator="equal">
      <formula>"ДА"</formula>
    </cfRule>
    <cfRule type="cellIs" dxfId="296" priority="3251" operator="equal">
      <formula>"НЕТ"</formula>
    </cfRule>
  </conditionalFormatting>
  <conditionalFormatting sqref="BT77">
    <cfRule type="cellIs" dxfId="295" priority="3249" operator="equal">
      <formula>"НЕТ"</formula>
    </cfRule>
    <cfRule type="cellIs" dxfId="294" priority="3250" operator="equal">
      <formula>"ДА"</formula>
    </cfRule>
  </conditionalFormatting>
  <conditionalFormatting sqref="BT103:BT107">
    <cfRule type="cellIs" dxfId="293" priority="3244" operator="equal">
      <formula>"ДА"</formula>
    </cfRule>
    <cfRule type="cellIs" dxfId="292" priority="3243" operator="equal">
      <formula>"НЕТ"</formula>
    </cfRule>
  </conditionalFormatting>
  <conditionalFormatting sqref="BT109:BT110">
    <cfRule type="cellIs" dxfId="291" priority="3270" operator="equal">
      <formula>"ДА"</formula>
    </cfRule>
    <cfRule type="cellIs" dxfId="290" priority="3269" operator="equal">
      <formula>"НЕТ"</formula>
    </cfRule>
  </conditionalFormatting>
  <conditionalFormatting sqref="BT112">
    <cfRule type="cellIs" dxfId="289" priority="3268" operator="equal">
      <formula>"ДА"</formula>
    </cfRule>
    <cfRule type="cellIs" dxfId="288" priority="3267" operator="equal">
      <formula>"НЕТ"</formula>
    </cfRule>
  </conditionalFormatting>
  <conditionalFormatting sqref="BT114">
    <cfRule type="cellIs" dxfId="287" priority="3265" operator="equal">
      <formula>"НЕТ"</formula>
    </cfRule>
    <cfRule type="cellIs" dxfId="286" priority="3266" operator="equal">
      <formula>"ДА"</formula>
    </cfRule>
  </conditionalFormatting>
  <conditionalFormatting sqref="BU107:CQ107">
    <cfRule type="cellIs" dxfId="285" priority="3204" operator="equal">
      <formula>"ДА"</formula>
    </cfRule>
    <cfRule type="cellIs" dxfId="284" priority="3203" operator="equal">
      <formula>"НЕТ"</formula>
    </cfRule>
  </conditionalFormatting>
  <conditionalFormatting sqref="BW67:CQ68">
    <cfRule type="cellIs" dxfId="283" priority="3318" operator="equal">
      <formula>"ДА"</formula>
    </cfRule>
    <cfRule type="cellIs" dxfId="282" priority="3317" operator="equal">
      <formula>"НЕТ"</formula>
    </cfRule>
  </conditionalFormatting>
  <conditionalFormatting sqref="BW100:CQ101">
    <cfRule type="cellIs" dxfId="281" priority="3276" operator="equal">
      <formula>"ДА"</formula>
    </cfRule>
    <cfRule type="cellIs" dxfId="280" priority="3275" operator="equal">
      <formula>"НЕТ"</formula>
    </cfRule>
  </conditionalFormatting>
  <conditionalFormatting sqref="BW175:CQ177">
    <cfRule type="cellIs" dxfId="279" priority="3305" operator="equal">
      <formula>"НЕТ"</formula>
    </cfRule>
    <cfRule type="cellIs" dxfId="278" priority="3306" operator="equal">
      <formula>"ДА"</formula>
    </cfRule>
  </conditionalFormatting>
  <conditionalFormatting sqref="BW209:CQ211">
    <cfRule type="cellIs" dxfId="277" priority="8944" operator="equal">
      <formula>"НЕТ"</formula>
    </cfRule>
    <cfRule type="cellIs" dxfId="276" priority="8945" operator="equal">
      <formula>"ДА"</formula>
    </cfRule>
  </conditionalFormatting>
  <conditionalFormatting sqref="BW254:CQ255">
    <cfRule type="cellIs" dxfId="275" priority="3302" operator="equal">
      <formula>"ДА"</formula>
    </cfRule>
    <cfRule type="cellIs" dxfId="274" priority="3301" operator="equal">
      <formula>"НЕТ"</formula>
    </cfRule>
  </conditionalFormatting>
  <conditionalFormatting sqref="CR4:CR7">
    <cfRule type="cellIs" dxfId="273" priority="11547" operator="equal">
      <formula>"Не требуется"</formula>
    </cfRule>
    <cfRule type="cellIs" dxfId="272" priority="11544" operator="equal">
      <formula>"Необходимо разработать"</formula>
    </cfRule>
    <cfRule type="cellIs" dxfId="271" priority="11545" operator="equal">
      <formula>"Используется типовая"</formula>
    </cfRule>
    <cfRule type="cellIs" dxfId="270" priority="11546" operator="equal">
      <formula>"Предоставляется Заказчиком"</formula>
    </cfRule>
    <cfRule type="cellIs" dxfId="269" priority="11549" operator="equal">
      <formula>"ДА"</formula>
    </cfRule>
    <cfRule type="cellIs" dxfId="268" priority="11548" operator="equal">
      <formula>"НЕТ"</formula>
    </cfRule>
  </conditionalFormatting>
  <conditionalFormatting sqref="CR11 CR14 CR17:CR37 CR68:CR83 CR88 CR93:CR97 CR99 CR101:CR120 CR141:CR142 CR144 CR146 CR148 CR161 CR165:CR166 CR170 CR175:CR176 CR178 CR209:CR210 CR217 CR227 CR234 CR241 CR247 CR250:CR253 CR260:CR263 CR265 CR270 CR281 CR285 CR295 CR299:CR327">
    <cfRule type="cellIs" dxfId="267" priority="11686" operator="equal">
      <formula>"Предоставляется Заказчиком"</formula>
    </cfRule>
    <cfRule type="cellIs" dxfId="266" priority="11685" operator="equal">
      <formula>"Используется типовая"</formula>
    </cfRule>
    <cfRule type="cellIs" dxfId="265" priority="11684" operator="equal">
      <formula>"Необходимо разработать"</formula>
    </cfRule>
    <cfRule type="cellIs" dxfId="264" priority="11687" operator="equal">
      <formula>"Не требуется"</formula>
    </cfRule>
  </conditionalFormatting>
  <conditionalFormatting sqref="CR17:CR30 CR32:CR37">
    <cfRule type="cellIs" dxfId="263" priority="11805" operator="equal">
      <formula>"ДА"</formula>
    </cfRule>
    <cfRule type="cellIs" dxfId="262" priority="11804" operator="equal">
      <formula>"НЕТ"</formula>
    </cfRule>
  </conditionalFormatting>
  <conditionalFormatting sqref="CR39:CR61">
    <cfRule type="cellIs" dxfId="261" priority="8463" operator="equal">
      <formula>"ДА"</formula>
    </cfRule>
    <cfRule type="cellIs" dxfId="260" priority="8462" operator="equal">
      <formula>"НЕТ"</formula>
    </cfRule>
    <cfRule type="cellIs" dxfId="259" priority="8461" operator="equal">
      <formula>"Не требуется"</formula>
    </cfRule>
    <cfRule type="cellIs" dxfId="258" priority="8460" operator="equal">
      <formula>"Предоставляется Заказчиком"</formula>
    </cfRule>
    <cfRule type="cellIs" dxfId="257" priority="8459" operator="equal">
      <formula>"Используется типовая"</formula>
    </cfRule>
    <cfRule type="cellIs" dxfId="256" priority="8458" operator="equal">
      <formula>"Необходимо разработать"</formula>
    </cfRule>
  </conditionalFormatting>
  <conditionalFormatting sqref="CR64:CR66">
    <cfRule type="cellIs" dxfId="255" priority="6486" operator="equal">
      <formula>"Необходимо разработать"</formula>
    </cfRule>
    <cfRule type="cellIs" dxfId="254" priority="6488" operator="equal">
      <formula>"Предоставляется Заказчиком"</formula>
    </cfRule>
    <cfRule type="cellIs" dxfId="253" priority="6487" operator="equal">
      <formula>"Используется типовая"</formula>
    </cfRule>
    <cfRule type="cellIs" dxfId="252" priority="6489" operator="equal">
      <formula>"Не требуется"</formula>
    </cfRule>
  </conditionalFormatting>
  <conditionalFormatting sqref="CR68:CR83">
    <cfRule type="cellIs" dxfId="251" priority="11784" operator="equal">
      <formula>"НЕТ"</formula>
    </cfRule>
    <cfRule type="cellIs" dxfId="250" priority="11785" operator="equal">
      <formula>"ДА"</formula>
    </cfRule>
  </conditionalFormatting>
  <conditionalFormatting sqref="CR93:CR97">
    <cfRule type="cellIs" dxfId="249" priority="3676" operator="equal">
      <formula>"НЕТ"</formula>
    </cfRule>
    <cfRule type="cellIs" dxfId="248" priority="3677" operator="equal">
      <formula>"ДА"</formula>
    </cfRule>
  </conditionalFormatting>
  <conditionalFormatting sqref="CR101:CR120">
    <cfRule type="cellIs" dxfId="247" priority="11778" operator="equal">
      <formula>"НЕТ"</formula>
    </cfRule>
    <cfRule type="cellIs" dxfId="246" priority="11779" operator="equal">
      <formula>"ДА"</formula>
    </cfRule>
  </conditionalFormatting>
  <conditionalFormatting sqref="CR130:CR131">
    <cfRule type="cellIs" dxfId="245" priority="8467" operator="equal">
      <formula>"Не требуется"</formula>
    </cfRule>
    <cfRule type="cellIs" dxfId="244" priority="8466" operator="equal">
      <formula>"Предоставляется Заказчиком"</formula>
    </cfRule>
    <cfRule type="cellIs" dxfId="243" priority="8465" operator="equal">
      <formula>"Используется типовая"</formula>
    </cfRule>
    <cfRule type="cellIs" dxfId="242" priority="8464" operator="equal">
      <formula>"Необходимо разработать"</formula>
    </cfRule>
  </conditionalFormatting>
  <conditionalFormatting sqref="CR131">
    <cfRule type="cellIs" dxfId="241" priority="8468" operator="equal">
      <formula>"НЕТ"</formula>
    </cfRule>
    <cfRule type="cellIs" dxfId="240" priority="8469" operator="equal">
      <formula>"ДА"</formula>
    </cfRule>
  </conditionalFormatting>
  <conditionalFormatting sqref="CR134">
    <cfRule type="cellIs" dxfId="239" priority="5043" operator="equal">
      <formula>"Не требуется"</formula>
    </cfRule>
    <cfRule type="cellIs" dxfId="238" priority="5040" operator="equal">
      <formula>"Необходимо разработать"</formula>
    </cfRule>
    <cfRule type="cellIs" dxfId="237" priority="5041" operator="equal">
      <formula>"Используется типовая"</formula>
    </cfRule>
    <cfRule type="cellIs" dxfId="236" priority="5042" operator="equal">
      <formula>"Предоставляется Заказчиком"</formula>
    </cfRule>
  </conditionalFormatting>
  <conditionalFormatting sqref="CR137">
    <cfRule type="cellIs" dxfId="235" priority="4621" operator="equal">
      <formula>"Необходимо разработать"</formula>
    </cfRule>
    <cfRule type="cellIs" dxfId="234" priority="4622" operator="equal">
      <formula>"Используется типовая"</formula>
    </cfRule>
    <cfRule type="cellIs" dxfId="233" priority="4623" operator="equal">
      <formula>"Предоставляется Заказчиком"</formula>
    </cfRule>
    <cfRule type="cellIs" dxfId="232" priority="4624" operator="equal">
      <formula>"Не требуется"</formula>
    </cfRule>
  </conditionalFormatting>
  <conditionalFormatting sqref="CR141:CR142">
    <cfRule type="cellIs" dxfId="231" priority="11694" operator="equal">
      <formula>"НЕТ"</formula>
    </cfRule>
    <cfRule type="cellIs" dxfId="230" priority="11695" operator="equal">
      <formula>"ДА"</formula>
    </cfRule>
  </conditionalFormatting>
  <conditionalFormatting sqref="CR153">
    <cfRule type="cellIs" dxfId="229" priority="5109" operator="equal">
      <formula>"Используется типовая"</formula>
    </cfRule>
    <cfRule type="cellIs" dxfId="228" priority="5110" operator="equal">
      <formula>"Предоставляется Заказчиком"</formula>
    </cfRule>
    <cfRule type="cellIs" dxfId="227" priority="5111" operator="equal">
      <formula>"Не требуется"</formula>
    </cfRule>
    <cfRule type="cellIs" dxfId="226" priority="5108" operator="equal">
      <formula>"Необходимо разработать"</formula>
    </cfRule>
  </conditionalFormatting>
  <conditionalFormatting sqref="CR166">
    <cfRule type="cellIs" dxfId="225" priority="4971" operator="equal">
      <formula>"ДА"</formula>
    </cfRule>
    <cfRule type="cellIs" dxfId="224" priority="4970" operator="equal">
      <formula>"НЕТ"</formula>
    </cfRule>
  </conditionalFormatting>
  <conditionalFormatting sqref="CR175:CR176 CR209:CR210">
    <cfRule type="cellIs" dxfId="223" priority="11827" operator="equal">
      <formula>"ДА"</formula>
    </cfRule>
    <cfRule type="cellIs" dxfId="222" priority="11826" operator="equal">
      <formula>"НЕТ"</formula>
    </cfRule>
  </conditionalFormatting>
  <conditionalFormatting sqref="CR183:CR200">
    <cfRule type="cellIs" dxfId="221" priority="11672" operator="equal">
      <formula>"Необходимо разработать"</formula>
    </cfRule>
    <cfRule type="cellIs" dxfId="220" priority="11673" operator="equal">
      <formula>"Используется типовая"</formula>
    </cfRule>
    <cfRule type="cellIs" dxfId="219" priority="11674" operator="equal">
      <formula>"Предоставляется Заказчиком"</formula>
    </cfRule>
    <cfRule type="cellIs" dxfId="218" priority="11675" operator="equal">
      <formula>"Не требуется"</formula>
    </cfRule>
    <cfRule type="cellIs" dxfId="217" priority="11677" operator="equal">
      <formula>"ДА"</formula>
    </cfRule>
    <cfRule type="cellIs" dxfId="216" priority="11676" operator="equal">
      <formula>"НЕТ"</formula>
    </cfRule>
  </conditionalFormatting>
  <conditionalFormatting sqref="CR212:CR213">
    <cfRule type="cellIs" dxfId="215" priority="4847" operator="equal">
      <formula>"Используется типовая"</formula>
    </cfRule>
    <cfRule type="cellIs" dxfId="214" priority="4846" operator="equal">
      <formula>"Необходимо разработать"</formula>
    </cfRule>
    <cfRule type="cellIs" dxfId="213" priority="4848" operator="equal">
      <formula>"Предоставляется Заказчиком"</formula>
    </cfRule>
    <cfRule type="cellIs" dxfId="212" priority="4849" operator="equal">
      <formula>"Не требуется"</formula>
    </cfRule>
  </conditionalFormatting>
  <conditionalFormatting sqref="CR215">
    <cfRule type="cellIs" dxfId="211" priority="4875" operator="equal">
      <formula>"Используется типовая"</formula>
    </cfRule>
    <cfRule type="cellIs" dxfId="210" priority="4876" operator="equal">
      <formula>"Предоставляется Заказчиком"</formula>
    </cfRule>
    <cfRule type="cellIs" dxfId="209" priority="4877" operator="equal">
      <formula>"Не требуется"</formula>
    </cfRule>
    <cfRule type="cellIs" dxfId="208" priority="4874" operator="equal">
      <formula>"Необходимо разработать"</formula>
    </cfRule>
  </conditionalFormatting>
  <conditionalFormatting sqref="CR255:CR257">
    <cfRule type="cellIs" dxfId="207" priority="11654" operator="equal">
      <formula>"Предоставляется Заказчиком"</formula>
    </cfRule>
    <cfRule type="cellIs" dxfId="206" priority="11655" operator="equal">
      <formula>"Не требуется"</formula>
    </cfRule>
    <cfRule type="cellIs" dxfId="205" priority="11656" operator="equal">
      <formula>"НЕТ"</formula>
    </cfRule>
    <cfRule type="cellIs" dxfId="204" priority="11652" operator="equal">
      <formula>"Необходимо разработать"</formula>
    </cfRule>
    <cfRule type="cellIs" dxfId="203" priority="11653" operator="equal">
      <formula>"Используется типовая"</formula>
    </cfRule>
    <cfRule type="cellIs" dxfId="202" priority="11657" operator="equal">
      <formula>"ДА"</formula>
    </cfRule>
  </conditionalFormatting>
  <dataValidations disablePrompts="1" count="8">
    <dataValidation type="list" allowBlank="1" showInputMessage="1" showErrorMessage="1" sqref="G38:L38 G254:L254 G67:L67 G100:L100 G147:L147 G211:L211 G327:G328 F298:F329 H298:L328 F37:F38 F64:F67 F99:F100 F175:F177 F209:F211 F250:F254 F260:F264 F10:L10 G177:L177 G264:L264 F146:F147 G298 F331:F339 F341:F355" xr:uid="{00000000-0002-0000-0300-000000000000}">
      <formula1>"ГРУППА,Базовый,ПРОФ,Экспертный"</formula1>
    </dataValidation>
    <dataValidation type="list" allowBlank="1" showInputMessage="1" showErrorMessage="1" sqref="AF209:AL210 BS68:CQ68 BT103:BT106 BT109:BT110 AF299:AL326 BQ64:CQ66 AA329:AB355 AF107:AL107 BS148:CQ148 AA170:AC170 BQ165:CQ165 AA11:AC11 BQ285:CQ285 BQ178:CQ178 BQ257:CQ257 BQ75:CQ75 BQ134:CQ134 BQ79:CQ79 BQ99:CQ99 BQ141:CQ141 BQ54:CQ54 BQ20:CQ20 BQ27:CQ27 BS39:CQ39 BQ270:CQ270 BQ130:CQ130 AA212:AC213 BQ215:CQ215 CS11:CT11 BQ227:CQ227 BQ200:CQ200 BS329:CQ355 BQ298:BR355 BQ247:CQ247 AF115:AL115 BT69:BT74 AF75:AL75 AA270:AC270 BS299:CQ327 BT112 AA257:AC257 AA200:AC200 BQ217:CQ217 BQ115:CQ115 BQ50:CQ50 BQ61:CQ61 AL327 AA61:AC61 BQ31:CQ31 BQ146:CQ146 BQ137:CQ137 BS255:CQ255 BQ170:CQ170 BQ144:CQ144 BQ14:CQ14 BQ59:CQ59 BQ250:CQ253 BQ241:CQ241 AA144:AC144 BQ17:CQ17 BQ107:CQ107 AA14:AC14 AA209:AC210 AA165:AC165 BQ161:CQ161 BS212:CQ213 AF187:AL187 AA255:AC255 BS265:CQ265 BT77 AF130:AL130 BS101:CQ101 AF64:AL66 BQ83:CQ83 AA130:AC130 BQ211:BR213 AA285:AC285 AA217:AC217 AF260:AL263 BQ153:CQ153 AF212:AL213 BQ175:CQ176 AA31:AC31 AA33:AC33 AA37:AC37 AA39:AC39 AA50:AC50 AA153:AC153 AF200:AL200 AA64:AC66 AA75:AC75 AA115:AC115 AA88:AC88 AA83:AC83 AA93:AC93 AA97:AC97 AA79:AC79 AA101:AC101 AF153:AL153 BQ37:CQ37 AA134:AC134 BQ33:CQ33 AA146:AC146 AI327 AA175:AC176 BT114 BQ88:CQ88 AA178:AC178 AA17:AC17 AA120:AC120 AA148:AC148 AA215:AC215 AA227:AC227 AA99:AC99 AA183:AC183 AA241:AC241 AA27:AC27 BQ234:CQ234 AA59:AC59 AA107:AC107 AF257:AL257 BQ11:CQ11 AA265:AC265 AF217:AL217 AA260:AC263 AF165:AL165 AA281:AC281 BQ97:CQ97 BQ281:CQ281 AF31:AL31 AF33:AL33 AF37:AL37 AF39:AL39 AF295:AL295 BQ190:CQ190 AF61:AL61 AA68:AC68 AF68:AL68 BQ120:CQ120 AF88:AL88 AF83:AL83 AF93:AL93 AF97:AL97 AF79:AL79 AF101:AL101 AA54:AC54 AA137:AC137 AA141:AC141 AF134:AL134 AF144:AL144 BQ147:BR148 AF183:AL183 AF11:AL11 BQ93:CQ93 AF170:AL170 AF175:AL176 AF178:AL178 AA299:AC327 AA20:AC20 AF148:AL148 AF215:AL215 AF247:AL247 AF227:AL227 AF99:AL99 AA295:AC295 AA247:AC247 AF27:AL27 AF20:AL20 AF54:AL54 AF14:AL14 BQ295:CQ295 BQ264:BR265 BQ38:BR39 BQ67:BR68 AF265:AL265 BQ100:BR101 BQ10:BR10 AF137:AL137 BQ254:BR255 BQ183:CQ183 AF241:AL241 AA161:AC161 AF161:AL161 AF270:AL270 AA187:AC187 AA190:AC190 AA234:AC234 AF234:AL234 AF250:AL253 AA250:AC253 AF255:AL255 AF281:AL281 AF285:AL285 AF190:AL190 AF327 AF50:AL50 AF59:AL59 AF17:AL17 AF141:AL141 BQ260:CQ263 BQ209:CQ210 AF146:AL146 BQ187:CQ187 AF120:AL120 BQ177:BR177 AC328:AC355 AF328:AL355" xr:uid="{00000000-0002-0000-0300-000001000000}">
      <formula1>"ДА,НЕТ"</formula1>
    </dataValidation>
    <dataValidation type="list" allowBlank="1" showInputMessage="1" showErrorMessage="1" sqref="CR17:CR37 AM61 CR141:CR142 CR101:CR120 CR93:CR97 CR183:CR200 CR255:CR257 CR39:CR61 CR329:CR355 CR215 AD234 AM175:AM176 AD250:AD253 AM27 AM227 AM130 CR134:CR135 AM247 CR68:CR83 CR88 AM20 CR153 CR148 AM215 AM265 AM190 AM54 AD209:AD210 CR217 CR165:CR166 AD260:AD263 AD165 AD79 AM39 AM285 AM88 AM187 AM299:AM327 AM170 AM329:AM355 AD212:AD213 AD217 AD37 AD11 AJ327 AM134 AM209:AM210 AM14 AD59 AM107 AM281 AM144 AM33 AM241 AD178 AM161 CR137 AD93 CR130:CR131 CR299:CR327 CR170 CR161 AM37 AM11 CR295 CR285 CR281 CR270 CR247 CR241 CR234 CR227 AM146 CR178 CR144 CR99 CR146 CR175:CR176 CR209:CR210 CR250:CR253 CR260:CR263 CR265 CR4:CR7 CR14 CR11 AD88 AD17 AM255 AM178 AM141 AM97 AM17 AM83 AD75 AM153 AD146 AD144 AM79 AM270 AM200 AM183 AD200 AM115 AD153 AD161 AD50 AM257 AM99 AM59 AM93 AD64:AD66 CR212:CR213 AM234 AD299:AD355 AM212:AM213 AD83 AD295 AG327 AM137 AM260:AM263 AM64:AM66 CR64:CR66 AM75 AM120 AM68 AM31 AM250:AM253 AD270 AD120 AD130 AD33 AM295 AD281 AM50 AD247 AD227 AD241 AD215 AD170 AD141 AD101 AM101 AD68 AD97 AD285 AD99 AM148 AD39 AD175:AD176 AD183 AD187 AD190 AM217 AM165 AD255 AD257 AD148 AD265 AD107 AD115 AD134 AD137 AD61 AD54 AD31 AD27 AD20 AD14" xr:uid="{00000000-0002-0000-0300-000002000000}">
      <formula1>"Не требуется,Предоставляется Заказчиком,Используется типовая,Требуется разработать"</formula1>
    </dataValidation>
    <dataValidation type="list" allowBlank="1" showInputMessage="1" showErrorMessage="1" sqref="CR17:CR37 AM61 CR141:CR142 CR101:CR120 CR93:CR97 CR183:CR200 CR255:CR257 CR39:CR61 CR329:CR355 CR215 AD234 AM175:AM176 AD250:AD253 AM27 AM227 AM130 CR134:CR135 AM247 CR68:CR83 CR88 AM20 CR153 CR148 AM215 AM265 AM190 AM54 AD209:AD210 CR217 CR165:CR166 AD260:AD263 AD165 AD79 AM39 AM285 AM88 AM187 AM299:AM327 AM170 AM329:AM355 AD212:AD213 AD217 AD37 AD11 AJ327 AM134 AM209:AM210 AM14 AD59 AM107 AM281 AM144 AM33 AM241 AD178 AM161 CR137 AD93 CR130:CR131 CR299:CR327 CR170 CR161 AM37 AM11 CR295 CR285 CR281 CR270 CR247 CR241 CR234 CR227 AM146 CR178 CR144 CR99 CR146 CR175:CR176 CR209:CR210 CR250:CR253 CR260:CR263 CR265 CR4:CR7 CR14 CR11 AD88 AD17 AM255 AM178 AM141 AM97 AM17 AM83 AD75 AM153 AD146 AD144 AM79 AM270 AM200 AM183 AD200 AM115 AD153 AD161 AD50 AM257 AM99 AM59 AM93 AD64:AD66 CR212:CR213 AM234 AD299:AD355 AM212:AM213 AD83 AD295 AG327 AM137 AM260:AM263 AM64:AM66 CR64:CR66 AM75 AM120 AM68 AM31 AM250:AM253 AD270 AD120 AD130 AD33 AM295 AD281 AM50 AD247 AD227 AD241 AD215 AD170 AD141 AD101 AM101 AD68 AD97 AD285 AD99 AM148 AD39 AD175:AD176 AD183 AD187 AD190 AM217 AM165 AD255 AD257 AD148 AD265 AD107 AD115 AD134 AD137 AD61 AD54 AD31 AD27 AD20 AD14" xr:uid="{00000000-0002-0000-0300-000003000000}">
      <formula1>"Не требуется,Необходимо разработать,Используется типовая,Предоставляется Заказчиком"</formula1>
    </dataValidation>
    <dataValidation type="list" allowBlank="1" showInputMessage="1" showErrorMessage="1" sqref="AC2 AF2 AI2 AL2" xr:uid="{00000000-0002-0000-0300-000004000000}">
      <formula1>"ДО 200,201-500,501-1000,1001+"</formula1>
    </dataValidation>
    <dataValidation type="list" allowBlank="1" showInputMessage="1" showErrorMessage="1" sqref="H11:L11 H14:L14 H17:L17 H20:L20 H27:L27 H31:L31 H33:L33 H37:L37 H39:L39 H50:L50 H54:L54 H59:L59 H61:L61 H64:L66 H68:L68 H75:L75 H79:L79 H83:L83 H88:L88 H93:L93 H97:L97 H99:L99 H101:L101 H107:L107 H115:L115 H120:L120 H131:L133" xr:uid="{00000000-0002-0000-0300-000005000000}">
      <formula1>"Да,Нет,В разработке,Под проект"</formula1>
    </dataValidation>
    <dataValidation type="list" allowBlank="1" showInputMessage="1" showErrorMessage="1" sqref="H130:L130 H146:L146 H137:L137 H141:L141 H144:L144 H134:L134 H153:L153 H161:L161 H148:K148 H165:L165 H170:L170 H175:L176 H178:L178 H183:L183 H187:L187 H190:L190 H200:L200 H209:L210 H212:L212 J215:K215 J213:K213 H217:L217 H227:L227 H234:L234 H241:L241 H247:L247 H250:L253 H255:L255 H257:L257 H260:L263 H265:L265 H270:K270 H281:L281 H285:L285 H295:L295 H329:L355" xr:uid="{00000000-0002-0000-0300-000006000000}">
      <formula1>"Да,Нет,Частично,В разработке,Под проект"</formula1>
    </dataValidation>
    <dataValidation type="list" allowBlank="1" showInputMessage="1" showErrorMessage="1" sqref="AC8:AN8" xr:uid="{00000000-0002-0000-0300-000007000000}">
      <formula1>$BR$9:$CQ$9</formula1>
    </dataValidation>
  </dataValidation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8000000}">
          <x14:formula1>
            <xm:f>Списки!$K$2:$K$7</xm:f>
          </x14:formula1>
          <xm:sqref>G11 G88 G17 G20 G14 G27 G31 G39 G50 G54 G59 G61 G68 G75 G79 G83 G93 G101 G107 G115 G120 G212:G213 G33 G37 G64:G66 G99 G175:G176 G209:G210 G250:G253 G260:G263 G299:G326 G97 G134 G137 G141 G144 G146 G153 G165 G170 G178 G183 G187 G190 G200 G217 G227 G234 G241 G247 G255 G257 G130 G161 G215 G265 G270 G281 G285 G295 G148 G329:G355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293"/>
  <sheetViews>
    <sheetView zoomScale="85" zoomScaleNormal="85" workbookViewId="0">
      <pane xSplit="2" ySplit="2" topLeftCell="C3" activePane="bottomRight" state="frozen"/>
      <selection pane="topRight" activeCell="C1" sqref="C1"/>
      <selection pane="bottomLeft" activeCell="A3" sqref="A3"/>
      <selection pane="bottomRight" sqref="A1:A2"/>
    </sheetView>
  </sheetViews>
  <sheetFormatPr defaultColWidth="8.85546875" defaultRowHeight="12" outlineLevelRow="1" outlineLevelCol="1" x14ac:dyDescent="0.2"/>
  <cols>
    <col min="1" max="1" width="3" style="923" bestFit="1" customWidth="1"/>
    <col min="2" max="2" width="60.7109375" style="912" customWidth="1"/>
    <col min="3" max="3" width="11.28515625" style="912" bestFit="1" customWidth="1"/>
    <col min="4" max="4" width="11.140625" style="912" bestFit="1" customWidth="1"/>
    <col min="5" max="5" width="19.85546875" style="912" customWidth="1" collapsed="1"/>
    <col min="6" max="6" width="18" style="912" hidden="1" customWidth="1" outlineLevel="1"/>
    <col min="7" max="7" width="26.28515625" style="912" hidden="1" customWidth="1" outlineLevel="1"/>
    <col min="8" max="8" width="19.85546875" style="912" hidden="1" customWidth="1" outlineLevel="1"/>
    <col min="9" max="9" width="10.28515625" style="912" hidden="1" customWidth="1" outlineLevel="1"/>
    <col min="10" max="10" width="9.140625" style="912" hidden="1" customWidth="1" outlineLevel="1"/>
    <col min="11" max="11" width="19.28515625" style="981" hidden="1" customWidth="1" outlineLevel="1"/>
    <col min="12" max="12" width="18" style="912" bestFit="1" customWidth="1"/>
    <col min="13" max="13" width="10.85546875" style="912" bestFit="1" customWidth="1"/>
    <col min="14" max="14" width="11.140625" style="912" bestFit="1" customWidth="1" collapsed="1"/>
    <col min="15" max="15" width="12.28515625" style="912" hidden="1" customWidth="1" outlineLevel="1"/>
    <col min="16" max="16" width="16.42578125" style="912" hidden="1" customWidth="1" outlineLevel="1"/>
    <col min="17" max="17" width="13.85546875" style="912" hidden="1" customWidth="1" outlineLevel="1"/>
    <col min="18" max="18" width="9.7109375" style="912" hidden="1" customWidth="1" outlineLevel="1"/>
    <col min="19" max="19" width="10.140625" style="912" hidden="1" customWidth="1" outlineLevel="1"/>
    <col min="20" max="20" width="7.7109375" style="912" hidden="1" customWidth="1" outlineLevel="1"/>
    <col min="21" max="21" width="12.28515625" style="912" hidden="1" customWidth="1" outlineLevel="1"/>
    <col min="22" max="23" width="18.85546875" style="912" customWidth="1"/>
    <col min="24" max="24" width="17.140625" style="912" customWidth="1"/>
    <col min="25" max="25" width="10.5703125" style="912" bestFit="1" customWidth="1"/>
    <col min="26" max="26" width="10.5703125" style="912" customWidth="1"/>
    <col min="27" max="27" width="10.5703125" style="912" bestFit="1" customWidth="1"/>
    <col min="28" max="28" width="10.5703125" style="912" customWidth="1"/>
    <col min="29" max="29" width="10.5703125" style="912" bestFit="1" customWidth="1"/>
    <col min="30" max="30" width="10.5703125" style="912" customWidth="1"/>
    <col min="31" max="31" width="15.28515625" style="912" customWidth="1"/>
    <col min="32" max="32" width="12.42578125" style="912" customWidth="1"/>
    <col min="33" max="33" width="19.28515625" style="912" customWidth="1"/>
    <col min="34" max="16384" width="8.85546875" style="912"/>
  </cols>
  <sheetData>
    <row r="1" spans="1:32" ht="12.75" thickBot="1" x14ac:dyDescent="0.25">
      <c r="A1" s="1174" t="s">
        <v>1029</v>
      </c>
      <c r="B1" s="1174" t="s">
        <v>1853</v>
      </c>
      <c r="C1" s="1174" t="s">
        <v>1854</v>
      </c>
      <c r="D1" s="1174"/>
      <c r="E1" s="1174"/>
      <c r="F1" s="1174"/>
      <c r="G1" s="1174"/>
      <c r="H1" s="1174"/>
      <c r="I1" s="1174"/>
      <c r="J1" s="1174"/>
      <c r="K1" s="1174"/>
      <c r="L1" s="1175" t="s">
        <v>2299</v>
      </c>
      <c r="M1" s="1176"/>
      <c r="N1" s="1176"/>
      <c r="O1" s="1176"/>
      <c r="P1" s="1176"/>
      <c r="Q1" s="1176"/>
      <c r="R1" s="1176"/>
      <c r="S1" s="1176"/>
      <c r="T1" s="1176"/>
      <c r="U1" s="1177"/>
      <c r="V1" s="1175" t="s">
        <v>1855</v>
      </c>
      <c r="W1" s="1177"/>
      <c r="X1" s="1170" t="s">
        <v>2300</v>
      </c>
      <c r="Y1" s="1172" t="s">
        <v>1856</v>
      </c>
      <c r="Z1" s="1172"/>
      <c r="AA1" s="1172"/>
      <c r="AB1" s="1172"/>
      <c r="AC1" s="1172"/>
      <c r="AD1" s="1172"/>
      <c r="AE1" s="1173"/>
      <c r="AF1" s="1173"/>
    </row>
    <row r="2" spans="1:32" s="914" customFormat="1" ht="36" x14ac:dyDescent="0.2">
      <c r="A2" s="1174"/>
      <c r="B2" s="1174"/>
      <c r="C2" s="913" t="s">
        <v>1857</v>
      </c>
      <c r="D2" s="913" t="s">
        <v>1858</v>
      </c>
      <c r="E2" s="913" t="s">
        <v>1859</v>
      </c>
      <c r="F2" s="913" t="s">
        <v>1860</v>
      </c>
      <c r="G2" s="913" t="s">
        <v>1861</v>
      </c>
      <c r="H2" s="913" t="s">
        <v>2184</v>
      </c>
      <c r="I2" s="913" t="s">
        <v>1862</v>
      </c>
      <c r="J2" s="913" t="s">
        <v>1863</v>
      </c>
      <c r="K2" s="913" t="s">
        <v>1034</v>
      </c>
      <c r="L2" s="913" t="s">
        <v>1864</v>
      </c>
      <c r="M2" s="913" t="s">
        <v>1865</v>
      </c>
      <c r="N2" s="913" t="s">
        <v>1866</v>
      </c>
      <c r="O2" s="913" t="s">
        <v>1867</v>
      </c>
      <c r="P2" s="913" t="s">
        <v>1869</v>
      </c>
      <c r="Q2" s="913" t="s">
        <v>1870</v>
      </c>
      <c r="R2" s="913" t="s">
        <v>1868</v>
      </c>
      <c r="S2" s="913" t="s">
        <v>2301</v>
      </c>
      <c r="T2" s="913" t="s">
        <v>2302</v>
      </c>
      <c r="U2" s="913" t="s">
        <v>2303</v>
      </c>
      <c r="V2" s="913" t="s">
        <v>1871</v>
      </c>
      <c r="W2" s="946" t="s">
        <v>1872</v>
      </c>
      <c r="X2" s="1171"/>
      <c r="Y2" s="962" t="s">
        <v>1873</v>
      </c>
      <c r="Z2" s="963" t="s">
        <v>2166</v>
      </c>
      <c r="AA2" s="964" t="s">
        <v>1874</v>
      </c>
      <c r="AB2" s="965" t="s">
        <v>2166</v>
      </c>
      <c r="AC2" s="966" t="s">
        <v>1875</v>
      </c>
      <c r="AD2" s="967" t="s">
        <v>2166</v>
      </c>
      <c r="AE2" s="968" t="s">
        <v>1876</v>
      </c>
      <c r="AF2" s="969" t="s">
        <v>1877</v>
      </c>
    </row>
    <row r="3" spans="1:32" s="917" customFormat="1" ht="24" collapsed="1" x14ac:dyDescent="0.2">
      <c r="A3" s="915">
        <v>1</v>
      </c>
      <c r="B3" s="916" t="s">
        <v>1878</v>
      </c>
      <c r="C3" s="915" t="s">
        <v>299</v>
      </c>
      <c r="D3" s="915" t="s">
        <v>1092</v>
      </c>
      <c r="E3" s="915" t="s">
        <v>1092</v>
      </c>
      <c r="F3" s="915" t="s">
        <v>1092</v>
      </c>
      <c r="G3" s="915" t="s">
        <v>1092</v>
      </c>
      <c r="H3" s="915" t="s">
        <v>1092</v>
      </c>
      <c r="I3" s="915" t="s">
        <v>1092</v>
      </c>
      <c r="J3" s="915" t="s">
        <v>1092</v>
      </c>
      <c r="K3" s="915" t="s">
        <v>1092</v>
      </c>
      <c r="L3" s="915" t="s">
        <v>1092</v>
      </c>
      <c r="M3" s="915" t="s">
        <v>1092</v>
      </c>
      <c r="N3" s="915" t="s">
        <v>299</v>
      </c>
      <c r="O3" s="915" t="s">
        <v>299</v>
      </c>
      <c r="P3" s="915" t="s">
        <v>299</v>
      </c>
      <c r="Q3" s="915" t="s">
        <v>299</v>
      </c>
      <c r="R3" s="915" t="s">
        <v>299</v>
      </c>
      <c r="S3" s="915" t="s">
        <v>299</v>
      </c>
      <c r="T3" s="915" t="s">
        <v>299</v>
      </c>
      <c r="U3" s="915" t="s">
        <v>299</v>
      </c>
      <c r="V3" s="915" t="s">
        <v>1092</v>
      </c>
      <c r="W3" s="947" t="s">
        <v>1092</v>
      </c>
      <c r="X3" s="915" t="s">
        <v>1092</v>
      </c>
      <c r="Y3" s="948"/>
      <c r="Z3" s="949"/>
      <c r="AA3" s="948"/>
      <c r="AB3" s="949"/>
      <c r="AC3" s="948"/>
      <c r="AD3" s="949"/>
      <c r="AE3" s="950"/>
      <c r="AF3" s="915"/>
    </row>
    <row r="4" spans="1:32" hidden="1" outlineLevel="1" x14ac:dyDescent="0.2">
      <c r="A4" s="918">
        <v>1</v>
      </c>
      <c r="B4" s="919" t="s">
        <v>1879</v>
      </c>
      <c r="C4" s="918" t="s">
        <v>299</v>
      </c>
      <c r="D4" s="918" t="s">
        <v>1092</v>
      </c>
      <c r="E4" s="918" t="s">
        <v>1092</v>
      </c>
      <c r="F4" s="918" t="s">
        <v>1092</v>
      </c>
      <c r="G4" s="918" t="s">
        <v>1092</v>
      </c>
      <c r="H4" s="918" t="s">
        <v>1092</v>
      </c>
      <c r="I4" s="918" t="s">
        <v>1092</v>
      </c>
      <c r="J4" s="918" t="s">
        <v>1092</v>
      </c>
      <c r="K4" s="918"/>
      <c r="L4" s="918"/>
      <c r="M4" s="918"/>
      <c r="N4" s="918"/>
      <c r="O4" s="918"/>
      <c r="P4" s="918"/>
      <c r="Q4" s="918"/>
      <c r="R4" s="918"/>
      <c r="S4" s="918"/>
      <c r="T4" s="918"/>
      <c r="U4" s="918"/>
      <c r="V4" s="918"/>
      <c r="W4" s="951"/>
      <c r="X4" s="918"/>
      <c r="Y4" s="952"/>
      <c r="Z4" s="953"/>
      <c r="AA4" s="952"/>
      <c r="AB4" s="953"/>
      <c r="AC4" s="952"/>
      <c r="AD4" s="953"/>
      <c r="AE4" s="954"/>
      <c r="AF4" s="918"/>
    </row>
    <row r="5" spans="1:32" ht="24" hidden="1" outlineLevel="1" x14ac:dyDescent="0.2">
      <c r="A5" s="920">
        <v>2</v>
      </c>
      <c r="B5" s="921" t="s">
        <v>1880</v>
      </c>
      <c r="C5" s="920" t="s">
        <v>299</v>
      </c>
      <c r="D5" s="920" t="s">
        <v>1092</v>
      </c>
      <c r="E5" s="920" t="s">
        <v>1092</v>
      </c>
      <c r="F5" s="920" t="s">
        <v>1092</v>
      </c>
      <c r="G5" s="920" t="s">
        <v>1092</v>
      </c>
      <c r="H5" s="920" t="s">
        <v>1092</v>
      </c>
      <c r="I5" s="920" t="s">
        <v>1092</v>
      </c>
      <c r="J5" s="920" t="s">
        <v>1092</v>
      </c>
      <c r="K5" s="920" t="s">
        <v>1881</v>
      </c>
      <c r="L5" s="920"/>
      <c r="M5" s="920"/>
      <c r="N5" s="920"/>
      <c r="O5" s="920"/>
      <c r="P5" s="920"/>
      <c r="Q5" s="920"/>
      <c r="R5" s="920"/>
      <c r="S5" s="920"/>
      <c r="T5" s="920"/>
      <c r="U5" s="920"/>
      <c r="V5" s="920"/>
      <c r="W5" s="955"/>
      <c r="X5" s="920"/>
      <c r="Y5" s="956"/>
      <c r="Z5" s="957"/>
      <c r="AA5" s="956"/>
      <c r="AB5" s="957"/>
      <c r="AC5" s="956"/>
      <c r="AD5" s="957"/>
      <c r="AE5" s="958"/>
      <c r="AF5" s="920"/>
    </row>
    <row r="6" spans="1:32" hidden="1" outlineLevel="1" x14ac:dyDescent="0.2">
      <c r="A6" s="918">
        <v>3</v>
      </c>
      <c r="B6" s="919" t="s">
        <v>1882</v>
      </c>
      <c r="C6" s="918" t="s">
        <v>299</v>
      </c>
      <c r="D6" s="918" t="s">
        <v>1092</v>
      </c>
      <c r="E6" s="918" t="s">
        <v>1092</v>
      </c>
      <c r="F6" s="918" t="s">
        <v>1092</v>
      </c>
      <c r="G6" s="918" t="s">
        <v>1092</v>
      </c>
      <c r="H6" s="918" t="s">
        <v>1092</v>
      </c>
      <c r="I6" s="918" t="s">
        <v>1092</v>
      </c>
      <c r="J6" s="918" t="s">
        <v>1092</v>
      </c>
      <c r="K6" s="918"/>
      <c r="L6" s="918"/>
      <c r="M6" s="918"/>
      <c r="N6" s="918"/>
      <c r="O6" s="918"/>
      <c r="P6" s="918"/>
      <c r="Q6" s="918"/>
      <c r="R6" s="918"/>
      <c r="S6" s="918"/>
      <c r="T6" s="918"/>
      <c r="U6" s="918"/>
      <c r="V6" s="918"/>
      <c r="W6" s="951"/>
      <c r="X6" s="918"/>
      <c r="Y6" s="952"/>
      <c r="Z6" s="953"/>
      <c r="AA6" s="952"/>
      <c r="AB6" s="953"/>
      <c r="AC6" s="952"/>
      <c r="AD6" s="953"/>
      <c r="AE6" s="954"/>
      <c r="AF6" s="918"/>
    </row>
    <row r="7" spans="1:32" s="917" customFormat="1" collapsed="1" x14ac:dyDescent="0.2">
      <c r="A7" s="915">
        <v>2</v>
      </c>
      <c r="B7" s="916" t="s">
        <v>1883</v>
      </c>
      <c r="C7" s="915" t="s">
        <v>1884</v>
      </c>
      <c r="D7" s="915" t="s">
        <v>1884</v>
      </c>
      <c r="E7" s="915" t="s">
        <v>1884</v>
      </c>
      <c r="F7" s="915" t="s">
        <v>1884</v>
      </c>
      <c r="G7" s="915" t="s">
        <v>1884</v>
      </c>
      <c r="H7" s="915" t="s">
        <v>1884</v>
      </c>
      <c r="I7" s="915" t="s">
        <v>1884</v>
      </c>
      <c r="J7" s="915" t="s">
        <v>1884</v>
      </c>
      <c r="K7" s="915" t="s">
        <v>1092</v>
      </c>
      <c r="L7" s="915" t="s">
        <v>1092</v>
      </c>
      <c r="M7" s="915" t="s">
        <v>1092</v>
      </c>
      <c r="N7" s="915" t="s">
        <v>1092</v>
      </c>
      <c r="O7" s="915" t="s">
        <v>1092</v>
      </c>
      <c r="P7" s="915" t="s">
        <v>1092</v>
      </c>
      <c r="Q7" s="915" t="s">
        <v>1092</v>
      </c>
      <c r="R7" s="915" t="s">
        <v>1092</v>
      </c>
      <c r="S7" s="915" t="s">
        <v>299</v>
      </c>
      <c r="T7" s="915" t="s">
        <v>299</v>
      </c>
      <c r="U7" s="915" t="s">
        <v>299</v>
      </c>
      <c r="V7" s="915" t="s">
        <v>1092</v>
      </c>
      <c r="W7" s="947" t="s">
        <v>1092</v>
      </c>
      <c r="X7" s="915"/>
      <c r="Y7" s="948"/>
      <c r="Z7" s="949"/>
      <c r="AA7" s="948"/>
      <c r="AB7" s="949"/>
      <c r="AC7" s="948"/>
      <c r="AD7" s="949"/>
      <c r="AE7" s="950"/>
      <c r="AF7" s="915"/>
    </row>
    <row r="8" spans="1:32" hidden="1" outlineLevel="1" x14ac:dyDescent="0.2">
      <c r="A8" s="918">
        <v>1</v>
      </c>
      <c r="B8" s="919" t="s">
        <v>1885</v>
      </c>
      <c r="C8" s="918" t="s">
        <v>299</v>
      </c>
      <c r="D8" s="918" t="s">
        <v>1092</v>
      </c>
      <c r="E8" s="918" t="s">
        <v>1092</v>
      </c>
      <c r="F8" s="918" t="s">
        <v>1092</v>
      </c>
      <c r="G8" s="918" t="s">
        <v>1092</v>
      </c>
      <c r="H8" s="918" t="s">
        <v>1092</v>
      </c>
      <c r="I8" s="918" t="s">
        <v>1092</v>
      </c>
      <c r="J8" s="918" t="s">
        <v>1092</v>
      </c>
      <c r="K8" s="918"/>
      <c r="L8" s="918"/>
      <c r="M8" s="918"/>
      <c r="N8" s="918"/>
      <c r="O8" s="918"/>
      <c r="P8" s="918"/>
      <c r="Q8" s="918"/>
      <c r="R8" s="918"/>
      <c r="S8" s="918"/>
      <c r="T8" s="918"/>
      <c r="U8" s="918"/>
      <c r="V8" s="918"/>
      <c r="W8" s="951"/>
      <c r="X8" s="918"/>
      <c r="Y8" s="952"/>
      <c r="Z8" s="953"/>
      <c r="AA8" s="952"/>
      <c r="AB8" s="953"/>
      <c r="AC8" s="952"/>
      <c r="AD8" s="953"/>
      <c r="AE8" s="954"/>
      <c r="AF8" s="918"/>
    </row>
    <row r="9" spans="1:32" hidden="1" outlineLevel="1" x14ac:dyDescent="0.2">
      <c r="A9" s="920">
        <v>2</v>
      </c>
      <c r="B9" s="921" t="s">
        <v>1886</v>
      </c>
      <c r="C9" s="920" t="s">
        <v>299</v>
      </c>
      <c r="D9" s="920" t="s">
        <v>1092</v>
      </c>
      <c r="E9" s="920" t="s">
        <v>1092</v>
      </c>
      <c r="F9" s="920" t="s">
        <v>1092</v>
      </c>
      <c r="G9" s="920" t="s">
        <v>1092</v>
      </c>
      <c r="H9" s="920" t="s">
        <v>1092</v>
      </c>
      <c r="I9" s="920" t="s">
        <v>1092</v>
      </c>
      <c r="J9" s="920" t="s">
        <v>1092</v>
      </c>
      <c r="K9" s="920"/>
      <c r="L9" s="920"/>
      <c r="M9" s="920"/>
      <c r="N9" s="920"/>
      <c r="O9" s="920"/>
      <c r="P9" s="920"/>
      <c r="Q9" s="920"/>
      <c r="R9" s="920"/>
      <c r="S9" s="920"/>
      <c r="T9" s="920"/>
      <c r="U9" s="920"/>
      <c r="V9" s="920"/>
      <c r="W9" s="955"/>
      <c r="X9" s="920"/>
      <c r="Y9" s="956"/>
      <c r="Z9" s="957"/>
      <c r="AA9" s="956"/>
      <c r="AB9" s="957"/>
      <c r="AC9" s="956"/>
      <c r="AD9" s="957"/>
      <c r="AE9" s="958"/>
      <c r="AF9" s="920"/>
    </row>
    <row r="10" spans="1:32" hidden="1" outlineLevel="1" x14ac:dyDescent="0.2">
      <c r="A10" s="918">
        <v>3</v>
      </c>
      <c r="B10" s="919" t="s">
        <v>1887</v>
      </c>
      <c r="C10" s="918" t="s">
        <v>299</v>
      </c>
      <c r="D10" s="918" t="s">
        <v>1092</v>
      </c>
      <c r="E10" s="918" t="s">
        <v>1092</v>
      </c>
      <c r="F10" s="918" t="s">
        <v>1092</v>
      </c>
      <c r="G10" s="918" t="s">
        <v>1092</v>
      </c>
      <c r="H10" s="918" t="s">
        <v>1092</v>
      </c>
      <c r="I10" s="918" t="s">
        <v>1092</v>
      </c>
      <c r="J10" s="918" t="s">
        <v>1092</v>
      </c>
      <c r="K10" s="918"/>
      <c r="L10" s="918"/>
      <c r="M10" s="918"/>
      <c r="N10" s="918"/>
      <c r="O10" s="918"/>
      <c r="P10" s="918"/>
      <c r="Q10" s="918"/>
      <c r="R10" s="918"/>
      <c r="S10" s="918"/>
      <c r="T10" s="918"/>
      <c r="U10" s="918"/>
      <c r="V10" s="918"/>
      <c r="W10" s="951"/>
      <c r="X10" s="918"/>
      <c r="Y10" s="952"/>
      <c r="Z10" s="953"/>
      <c r="AA10" s="952"/>
      <c r="AB10" s="953"/>
      <c r="AC10" s="952"/>
      <c r="AD10" s="953"/>
      <c r="AE10" s="954"/>
      <c r="AF10" s="918"/>
    </row>
    <row r="11" spans="1:32" hidden="1" outlineLevel="1" x14ac:dyDescent="0.2">
      <c r="A11" s="920">
        <v>4</v>
      </c>
      <c r="B11" s="921" t="s">
        <v>1888</v>
      </c>
      <c r="C11" s="920" t="s">
        <v>299</v>
      </c>
      <c r="D11" s="920" t="s">
        <v>1092</v>
      </c>
      <c r="E11" s="920" t="s">
        <v>1092</v>
      </c>
      <c r="F11" s="920" t="s">
        <v>1092</v>
      </c>
      <c r="G11" s="920" t="s">
        <v>1092</v>
      </c>
      <c r="H11" s="920" t="s">
        <v>1092</v>
      </c>
      <c r="I11" s="920" t="s">
        <v>1092</v>
      </c>
      <c r="J11" s="920" t="s">
        <v>1092</v>
      </c>
      <c r="K11" s="920"/>
      <c r="L11" s="920"/>
      <c r="M11" s="920"/>
      <c r="N11" s="920"/>
      <c r="O11" s="920"/>
      <c r="P11" s="920"/>
      <c r="Q11" s="920"/>
      <c r="R11" s="920"/>
      <c r="S11" s="920"/>
      <c r="T11" s="920"/>
      <c r="U11" s="920"/>
      <c r="V11" s="920"/>
      <c r="W11" s="955"/>
      <c r="X11" s="920"/>
      <c r="Y11" s="956"/>
      <c r="Z11" s="957"/>
      <c r="AA11" s="956"/>
      <c r="AB11" s="957"/>
      <c r="AC11" s="956"/>
      <c r="AD11" s="957"/>
      <c r="AE11" s="958"/>
      <c r="AF11" s="920"/>
    </row>
    <row r="12" spans="1:32" hidden="1" outlineLevel="1" x14ac:dyDescent="0.2">
      <c r="A12" s="918">
        <v>5</v>
      </c>
      <c r="B12" s="919" t="s">
        <v>1889</v>
      </c>
      <c r="C12" s="918" t="s">
        <v>1884</v>
      </c>
      <c r="D12" s="918" t="s">
        <v>1092</v>
      </c>
      <c r="E12" s="918" t="s">
        <v>1092</v>
      </c>
      <c r="F12" s="918" t="s">
        <v>1092</v>
      </c>
      <c r="G12" s="918" t="s">
        <v>1092</v>
      </c>
      <c r="H12" s="918" t="s">
        <v>1092</v>
      </c>
      <c r="I12" s="918" t="s">
        <v>1092</v>
      </c>
      <c r="J12" s="918" t="s">
        <v>1092</v>
      </c>
      <c r="K12" s="918"/>
      <c r="L12" s="918"/>
      <c r="M12" s="918"/>
      <c r="N12" s="918"/>
      <c r="O12" s="918"/>
      <c r="P12" s="918"/>
      <c r="Q12" s="918"/>
      <c r="R12" s="918"/>
      <c r="S12" s="918"/>
      <c r="T12" s="918"/>
      <c r="U12" s="918"/>
      <c r="V12" s="918"/>
      <c r="W12" s="951"/>
      <c r="X12" s="918"/>
      <c r="Y12" s="952"/>
      <c r="Z12" s="953"/>
      <c r="AA12" s="952"/>
      <c r="AB12" s="953"/>
      <c r="AC12" s="952"/>
      <c r="AD12" s="953"/>
      <c r="AE12" s="954"/>
      <c r="AF12" s="918"/>
    </row>
    <row r="13" spans="1:32" hidden="1" outlineLevel="1" x14ac:dyDescent="0.2">
      <c r="A13" s="920">
        <v>6</v>
      </c>
      <c r="B13" s="921" t="s">
        <v>1890</v>
      </c>
      <c r="C13" s="920" t="s">
        <v>1092</v>
      </c>
      <c r="D13" s="920" t="s">
        <v>1092</v>
      </c>
      <c r="E13" s="920" t="s">
        <v>1092</v>
      </c>
      <c r="F13" s="920" t="s">
        <v>1092</v>
      </c>
      <c r="G13" s="920" t="s">
        <v>1092</v>
      </c>
      <c r="H13" s="920" t="s">
        <v>1092</v>
      </c>
      <c r="I13" s="920" t="s">
        <v>1092</v>
      </c>
      <c r="J13" s="920" t="s">
        <v>1092</v>
      </c>
      <c r="K13" s="920"/>
      <c r="L13" s="920"/>
      <c r="M13" s="920"/>
      <c r="N13" s="920"/>
      <c r="O13" s="920"/>
      <c r="P13" s="920"/>
      <c r="Q13" s="920"/>
      <c r="R13" s="920"/>
      <c r="S13" s="920"/>
      <c r="T13" s="920"/>
      <c r="U13" s="920"/>
      <c r="V13" s="920"/>
      <c r="W13" s="955"/>
      <c r="X13" s="920"/>
      <c r="Y13" s="956"/>
      <c r="Z13" s="957"/>
      <c r="AA13" s="956"/>
      <c r="AB13" s="957"/>
      <c r="AC13" s="956"/>
      <c r="AD13" s="957"/>
      <c r="AE13" s="958"/>
      <c r="AF13" s="920"/>
    </row>
    <row r="14" spans="1:32" hidden="1" outlineLevel="1" x14ac:dyDescent="0.2">
      <c r="A14" s="918">
        <v>7</v>
      </c>
      <c r="B14" s="919" t="s">
        <v>1891</v>
      </c>
      <c r="C14" s="918" t="s">
        <v>299</v>
      </c>
      <c r="D14" s="918" t="s">
        <v>299</v>
      </c>
      <c r="E14" s="918" t="s">
        <v>299</v>
      </c>
      <c r="F14" s="918" t="s">
        <v>299</v>
      </c>
      <c r="G14" s="918" t="s">
        <v>299</v>
      </c>
      <c r="H14" s="918" t="s">
        <v>299</v>
      </c>
      <c r="I14" s="918" t="s">
        <v>299</v>
      </c>
      <c r="J14" s="918" t="s">
        <v>1092</v>
      </c>
      <c r="K14" s="918" t="s">
        <v>1892</v>
      </c>
      <c r="L14" s="918"/>
      <c r="M14" s="918"/>
      <c r="N14" s="918"/>
      <c r="O14" s="918"/>
      <c r="P14" s="918"/>
      <c r="Q14" s="918"/>
      <c r="R14" s="918"/>
      <c r="S14" s="918"/>
      <c r="T14" s="918"/>
      <c r="U14" s="918"/>
      <c r="V14" s="918"/>
      <c r="W14" s="951"/>
      <c r="X14" s="918"/>
      <c r="Y14" s="952"/>
      <c r="Z14" s="953"/>
      <c r="AA14" s="952"/>
      <c r="AB14" s="953"/>
      <c r="AC14" s="952"/>
      <c r="AD14" s="953"/>
      <c r="AE14" s="954"/>
      <c r="AF14" s="918"/>
    </row>
    <row r="15" spans="1:32" s="917" customFormat="1" collapsed="1" x14ac:dyDescent="0.2">
      <c r="A15" s="915">
        <v>3</v>
      </c>
      <c r="B15" s="916" t="s">
        <v>1893</v>
      </c>
      <c r="C15" s="915" t="s">
        <v>1884</v>
      </c>
      <c r="D15" s="915" t="s">
        <v>1092</v>
      </c>
      <c r="E15" s="915" t="s">
        <v>1092</v>
      </c>
      <c r="F15" s="915" t="s">
        <v>1092</v>
      </c>
      <c r="G15" s="915" t="s">
        <v>1092</v>
      </c>
      <c r="H15" s="915" t="s">
        <v>1092</v>
      </c>
      <c r="I15" s="915" t="s">
        <v>1092</v>
      </c>
      <c r="J15" s="915" t="s">
        <v>1092</v>
      </c>
      <c r="K15" s="915"/>
      <c r="L15" s="915" t="s">
        <v>1092</v>
      </c>
      <c r="M15" s="915" t="s">
        <v>1092</v>
      </c>
      <c r="N15" s="915" t="s">
        <v>1092</v>
      </c>
      <c r="O15" s="915" t="s">
        <v>1092</v>
      </c>
      <c r="P15" s="915" t="s">
        <v>1092</v>
      </c>
      <c r="Q15" s="915" t="s">
        <v>1092</v>
      </c>
      <c r="R15" s="915" t="s">
        <v>1092</v>
      </c>
      <c r="S15" s="947" t="s">
        <v>1884</v>
      </c>
      <c r="T15" s="915" t="s">
        <v>299</v>
      </c>
      <c r="U15" s="915" t="s">
        <v>299</v>
      </c>
      <c r="V15" s="915" t="s">
        <v>1092</v>
      </c>
      <c r="W15" s="947" t="s">
        <v>1092</v>
      </c>
      <c r="X15" s="915" t="s">
        <v>1092</v>
      </c>
      <c r="Y15" s="948"/>
      <c r="Z15" s="949"/>
      <c r="AA15" s="948"/>
      <c r="AB15" s="949"/>
      <c r="AC15" s="948"/>
      <c r="AD15" s="949"/>
      <c r="AE15" s="950"/>
      <c r="AF15" s="915"/>
    </row>
    <row r="16" spans="1:32" ht="24" hidden="1" outlineLevel="1" x14ac:dyDescent="0.2">
      <c r="A16" s="918">
        <v>1</v>
      </c>
      <c r="B16" s="919" t="s">
        <v>1894</v>
      </c>
      <c r="C16" s="918" t="s">
        <v>1092</v>
      </c>
      <c r="D16" s="918" t="s">
        <v>1092</v>
      </c>
      <c r="E16" s="918" t="s">
        <v>1092</v>
      </c>
      <c r="F16" s="918" t="s">
        <v>1092</v>
      </c>
      <c r="G16" s="918" t="s">
        <v>1092</v>
      </c>
      <c r="H16" s="918" t="s">
        <v>1092</v>
      </c>
      <c r="I16" s="918" t="s">
        <v>1092</v>
      </c>
      <c r="J16" s="918" t="s">
        <v>1092</v>
      </c>
      <c r="K16" s="918"/>
      <c r="L16" s="918"/>
      <c r="M16" s="918"/>
      <c r="N16" s="918"/>
      <c r="O16" s="918"/>
      <c r="P16" s="918"/>
      <c r="Q16" s="918"/>
      <c r="R16" s="918"/>
      <c r="S16" s="918"/>
      <c r="T16" s="918"/>
      <c r="U16" s="918"/>
      <c r="V16" s="918"/>
      <c r="W16" s="951"/>
      <c r="X16" s="918"/>
      <c r="Y16" s="952"/>
      <c r="Z16" s="953"/>
      <c r="AA16" s="952"/>
      <c r="AB16" s="953"/>
      <c r="AC16" s="952"/>
      <c r="AD16" s="953"/>
      <c r="AE16" s="954"/>
      <c r="AF16" s="918"/>
    </row>
    <row r="17" spans="1:32" hidden="1" outlineLevel="1" x14ac:dyDescent="0.2">
      <c r="A17" s="920">
        <v>2</v>
      </c>
      <c r="B17" s="921" t="s">
        <v>1895</v>
      </c>
      <c r="C17" s="920" t="s">
        <v>1092</v>
      </c>
      <c r="D17" s="920" t="s">
        <v>1092</v>
      </c>
      <c r="E17" s="920" t="s">
        <v>1092</v>
      </c>
      <c r="F17" s="920" t="s">
        <v>1092</v>
      </c>
      <c r="G17" s="920" t="s">
        <v>1092</v>
      </c>
      <c r="H17" s="920" t="s">
        <v>1092</v>
      </c>
      <c r="I17" s="920" t="s">
        <v>1092</v>
      </c>
      <c r="J17" s="920" t="s">
        <v>1092</v>
      </c>
      <c r="K17" s="920"/>
      <c r="L17" s="920"/>
      <c r="M17" s="920"/>
      <c r="N17" s="920"/>
      <c r="O17" s="920"/>
      <c r="P17" s="920"/>
      <c r="Q17" s="920"/>
      <c r="R17" s="920"/>
      <c r="S17" s="920"/>
      <c r="T17" s="920"/>
      <c r="U17" s="920"/>
      <c r="V17" s="920"/>
      <c r="W17" s="955"/>
      <c r="X17" s="920"/>
      <c r="Y17" s="956"/>
      <c r="Z17" s="957"/>
      <c r="AA17" s="956"/>
      <c r="AB17" s="957"/>
      <c r="AC17" s="956"/>
      <c r="AD17" s="957"/>
      <c r="AE17" s="958"/>
      <c r="AF17" s="920"/>
    </row>
    <row r="18" spans="1:32" hidden="1" outlineLevel="1" x14ac:dyDescent="0.2">
      <c r="A18" s="918">
        <v>3</v>
      </c>
      <c r="B18" s="919" t="s">
        <v>1896</v>
      </c>
      <c r="C18" s="918" t="s">
        <v>299</v>
      </c>
      <c r="D18" s="918" t="s">
        <v>1092</v>
      </c>
      <c r="E18" s="918" t="s">
        <v>1092</v>
      </c>
      <c r="F18" s="918" t="s">
        <v>1092</v>
      </c>
      <c r="G18" s="918" t="s">
        <v>1092</v>
      </c>
      <c r="H18" s="918" t="s">
        <v>1092</v>
      </c>
      <c r="I18" s="918" t="s">
        <v>1092</v>
      </c>
      <c r="J18" s="918" t="s">
        <v>1092</v>
      </c>
      <c r="K18" s="918"/>
      <c r="L18" s="918"/>
      <c r="M18" s="918"/>
      <c r="N18" s="918"/>
      <c r="O18" s="918"/>
      <c r="P18" s="918"/>
      <c r="Q18" s="918"/>
      <c r="R18" s="918"/>
      <c r="S18" s="918"/>
      <c r="T18" s="918"/>
      <c r="U18" s="918"/>
      <c r="V18" s="918"/>
      <c r="W18" s="951"/>
      <c r="X18" s="918"/>
      <c r="Y18" s="952"/>
      <c r="Z18" s="953"/>
      <c r="AA18" s="952"/>
      <c r="AB18" s="953"/>
      <c r="AC18" s="952"/>
      <c r="AD18" s="953"/>
      <c r="AE18" s="954"/>
      <c r="AF18" s="918"/>
    </row>
    <row r="19" spans="1:32" hidden="1" outlineLevel="1" x14ac:dyDescent="0.2">
      <c r="A19" s="920">
        <v>4</v>
      </c>
      <c r="B19" s="921" t="s">
        <v>1897</v>
      </c>
      <c r="C19" s="920" t="s">
        <v>299</v>
      </c>
      <c r="D19" s="920" t="s">
        <v>1092</v>
      </c>
      <c r="E19" s="920" t="s">
        <v>1092</v>
      </c>
      <c r="F19" s="920" t="s">
        <v>1092</v>
      </c>
      <c r="G19" s="920" t="s">
        <v>1092</v>
      </c>
      <c r="H19" s="920" t="s">
        <v>1092</v>
      </c>
      <c r="I19" s="920" t="s">
        <v>1092</v>
      </c>
      <c r="J19" s="920" t="s">
        <v>1092</v>
      </c>
      <c r="K19" s="920"/>
      <c r="L19" s="920"/>
      <c r="M19" s="920"/>
      <c r="N19" s="920"/>
      <c r="O19" s="920"/>
      <c r="P19" s="920"/>
      <c r="Q19" s="920"/>
      <c r="R19" s="920"/>
      <c r="S19" s="920"/>
      <c r="T19" s="920"/>
      <c r="U19" s="920"/>
      <c r="V19" s="920"/>
      <c r="W19" s="955"/>
      <c r="X19" s="920"/>
      <c r="Y19" s="956"/>
      <c r="Z19" s="957"/>
      <c r="AA19" s="956"/>
      <c r="AB19" s="957"/>
      <c r="AC19" s="956"/>
      <c r="AD19" s="957"/>
      <c r="AE19" s="958"/>
      <c r="AF19" s="920"/>
    </row>
    <row r="20" spans="1:32" hidden="1" outlineLevel="1" x14ac:dyDescent="0.2">
      <c r="A20" s="918">
        <v>5</v>
      </c>
      <c r="B20" s="919" t="s">
        <v>1898</v>
      </c>
      <c r="C20" s="918" t="s">
        <v>1092</v>
      </c>
      <c r="D20" s="918" t="s">
        <v>1092</v>
      </c>
      <c r="E20" s="918" t="s">
        <v>1092</v>
      </c>
      <c r="F20" s="918" t="s">
        <v>1092</v>
      </c>
      <c r="G20" s="918" t="s">
        <v>1092</v>
      </c>
      <c r="H20" s="918" t="s">
        <v>1092</v>
      </c>
      <c r="I20" s="918" t="s">
        <v>1092</v>
      </c>
      <c r="J20" s="918" t="s">
        <v>1092</v>
      </c>
      <c r="K20" s="918"/>
      <c r="L20" s="918"/>
      <c r="M20" s="918"/>
      <c r="N20" s="918"/>
      <c r="O20" s="918"/>
      <c r="P20" s="918"/>
      <c r="Q20" s="918"/>
      <c r="R20" s="918"/>
      <c r="S20" s="918"/>
      <c r="T20" s="918"/>
      <c r="U20" s="918"/>
      <c r="V20" s="918"/>
      <c r="W20" s="951"/>
      <c r="X20" s="918"/>
      <c r="Y20" s="952"/>
      <c r="Z20" s="953"/>
      <c r="AA20" s="952"/>
      <c r="AB20" s="953"/>
      <c r="AC20" s="952"/>
      <c r="AD20" s="953"/>
      <c r="AE20" s="954"/>
      <c r="AF20" s="918"/>
    </row>
    <row r="21" spans="1:32" hidden="1" outlineLevel="1" x14ac:dyDescent="0.2">
      <c r="A21" s="920">
        <v>6</v>
      </c>
      <c r="B21" s="921" t="s">
        <v>1899</v>
      </c>
      <c r="C21" s="920" t="s">
        <v>1092</v>
      </c>
      <c r="D21" s="920" t="s">
        <v>1092</v>
      </c>
      <c r="E21" s="920" t="s">
        <v>1092</v>
      </c>
      <c r="F21" s="920" t="s">
        <v>1092</v>
      </c>
      <c r="G21" s="920" t="s">
        <v>1092</v>
      </c>
      <c r="H21" s="920" t="s">
        <v>1092</v>
      </c>
      <c r="I21" s="920" t="s">
        <v>1092</v>
      </c>
      <c r="J21" s="920" t="s">
        <v>1092</v>
      </c>
      <c r="K21" s="920"/>
      <c r="L21" s="920"/>
      <c r="M21" s="920"/>
      <c r="N21" s="920"/>
      <c r="O21" s="920"/>
      <c r="P21" s="920"/>
      <c r="Q21" s="920"/>
      <c r="R21" s="920"/>
      <c r="S21" s="920"/>
      <c r="T21" s="920"/>
      <c r="U21" s="920"/>
      <c r="V21" s="920"/>
      <c r="W21" s="955"/>
      <c r="X21" s="920"/>
      <c r="Y21" s="956"/>
      <c r="Z21" s="957"/>
      <c r="AA21" s="956"/>
      <c r="AB21" s="957"/>
      <c r="AC21" s="956"/>
      <c r="AD21" s="957"/>
      <c r="AE21" s="958"/>
      <c r="AF21" s="920"/>
    </row>
    <row r="22" spans="1:32" hidden="1" outlineLevel="1" x14ac:dyDescent="0.2">
      <c r="A22" s="918">
        <v>7</v>
      </c>
      <c r="B22" s="919" t="s">
        <v>1900</v>
      </c>
      <c r="C22" s="918" t="s">
        <v>1092</v>
      </c>
      <c r="D22" s="918" t="s">
        <v>1092</v>
      </c>
      <c r="E22" s="918" t="s">
        <v>1092</v>
      </c>
      <c r="F22" s="918" t="s">
        <v>1092</v>
      </c>
      <c r="G22" s="918" t="s">
        <v>1092</v>
      </c>
      <c r="H22" s="918" t="s">
        <v>1092</v>
      </c>
      <c r="I22" s="918" t="s">
        <v>1092</v>
      </c>
      <c r="J22" s="918" t="s">
        <v>1092</v>
      </c>
      <c r="K22" s="918"/>
      <c r="L22" s="918"/>
      <c r="M22" s="918"/>
      <c r="N22" s="918"/>
      <c r="O22" s="918"/>
      <c r="P22" s="918"/>
      <c r="Q22" s="918"/>
      <c r="R22" s="918"/>
      <c r="S22" s="918"/>
      <c r="T22" s="918"/>
      <c r="U22" s="918"/>
      <c r="V22" s="918"/>
      <c r="W22" s="951"/>
      <c r="X22" s="918"/>
      <c r="Y22" s="952"/>
      <c r="Z22" s="953"/>
      <c r="AA22" s="952"/>
      <c r="AB22" s="953"/>
      <c r="AC22" s="952"/>
      <c r="AD22" s="953"/>
      <c r="AE22" s="954"/>
      <c r="AF22" s="918"/>
    </row>
    <row r="23" spans="1:32" hidden="1" outlineLevel="1" x14ac:dyDescent="0.2">
      <c r="A23" s="920">
        <v>8</v>
      </c>
      <c r="B23" s="921" t="s">
        <v>1901</v>
      </c>
      <c r="C23" s="920" t="s">
        <v>1092</v>
      </c>
      <c r="D23" s="920" t="s">
        <v>1092</v>
      </c>
      <c r="E23" s="920" t="s">
        <v>1092</v>
      </c>
      <c r="F23" s="920" t="s">
        <v>1092</v>
      </c>
      <c r="G23" s="920" t="s">
        <v>1092</v>
      </c>
      <c r="H23" s="920" t="s">
        <v>1092</v>
      </c>
      <c r="I23" s="920" t="s">
        <v>1092</v>
      </c>
      <c r="J23" s="920" t="s">
        <v>1092</v>
      </c>
      <c r="K23" s="920"/>
      <c r="L23" s="920"/>
      <c r="M23" s="920"/>
      <c r="N23" s="920"/>
      <c r="O23" s="920"/>
      <c r="P23" s="920"/>
      <c r="Q23" s="920"/>
      <c r="R23" s="920"/>
      <c r="S23" s="920"/>
      <c r="T23" s="920"/>
      <c r="U23" s="920"/>
      <c r="V23" s="920"/>
      <c r="W23" s="955"/>
      <c r="X23" s="920"/>
      <c r="Y23" s="956"/>
      <c r="Z23" s="957"/>
      <c r="AA23" s="956"/>
      <c r="AB23" s="957"/>
      <c r="AC23" s="956"/>
      <c r="AD23" s="957"/>
      <c r="AE23" s="958"/>
      <c r="AF23" s="920"/>
    </row>
    <row r="24" spans="1:32" s="917" customFormat="1" collapsed="1" x14ac:dyDescent="0.2">
      <c r="A24" s="915">
        <v>4</v>
      </c>
      <c r="B24" s="916" t="s">
        <v>86</v>
      </c>
      <c r="C24" s="915" t="s">
        <v>1884</v>
      </c>
      <c r="D24" s="915" t="s">
        <v>1092</v>
      </c>
      <c r="E24" s="915" t="s">
        <v>1092</v>
      </c>
      <c r="F24" s="915" t="s">
        <v>1092</v>
      </c>
      <c r="G24" s="915" t="s">
        <v>1092</v>
      </c>
      <c r="H24" s="915" t="s">
        <v>1092</v>
      </c>
      <c r="I24" s="915" t="s">
        <v>1092</v>
      </c>
      <c r="J24" s="915" t="s">
        <v>1092</v>
      </c>
      <c r="K24" s="915"/>
      <c r="L24" s="915" t="s">
        <v>1092</v>
      </c>
      <c r="M24" s="915" t="s">
        <v>1092</v>
      </c>
      <c r="N24" s="915" t="s">
        <v>1092</v>
      </c>
      <c r="O24" s="915" t="s">
        <v>1092</v>
      </c>
      <c r="P24" s="915" t="s">
        <v>1092</v>
      </c>
      <c r="Q24" s="915" t="s">
        <v>1092</v>
      </c>
      <c r="R24" s="915" t="s">
        <v>1092</v>
      </c>
      <c r="S24" s="947" t="s">
        <v>1884</v>
      </c>
      <c r="T24" s="915" t="s">
        <v>299</v>
      </c>
      <c r="U24" s="915" t="s">
        <v>299</v>
      </c>
      <c r="V24" s="915" t="s">
        <v>1092</v>
      </c>
      <c r="W24" s="947" t="s">
        <v>1092</v>
      </c>
      <c r="X24" s="915" t="s">
        <v>1092</v>
      </c>
      <c r="Y24" s="948"/>
      <c r="Z24" s="949"/>
      <c r="AA24" s="948"/>
      <c r="AB24" s="949"/>
      <c r="AC24" s="948"/>
      <c r="AD24" s="949"/>
      <c r="AE24" s="950"/>
      <c r="AF24" s="915"/>
    </row>
    <row r="25" spans="1:32" hidden="1" outlineLevel="1" x14ac:dyDescent="0.2">
      <c r="A25" s="918">
        <v>1</v>
      </c>
      <c r="B25" s="919" t="s">
        <v>1902</v>
      </c>
      <c r="C25" s="918" t="s">
        <v>1092</v>
      </c>
      <c r="D25" s="918" t="s">
        <v>1092</v>
      </c>
      <c r="E25" s="918" t="s">
        <v>1092</v>
      </c>
      <c r="F25" s="918" t="s">
        <v>1092</v>
      </c>
      <c r="G25" s="918" t="s">
        <v>1092</v>
      </c>
      <c r="H25" s="918" t="s">
        <v>1092</v>
      </c>
      <c r="I25" s="918" t="s">
        <v>1092</v>
      </c>
      <c r="J25" s="918" t="s">
        <v>1092</v>
      </c>
      <c r="K25" s="918"/>
      <c r="L25" s="918"/>
      <c r="M25" s="918"/>
      <c r="N25" s="918"/>
      <c r="O25" s="918"/>
      <c r="P25" s="918"/>
      <c r="Q25" s="918"/>
      <c r="R25" s="918"/>
      <c r="S25" s="918"/>
      <c r="T25" s="918"/>
      <c r="U25" s="918"/>
      <c r="V25" s="918"/>
      <c r="W25" s="951"/>
      <c r="X25" s="918"/>
      <c r="Y25" s="952"/>
      <c r="Z25" s="953"/>
      <c r="AA25" s="952"/>
      <c r="AB25" s="953"/>
      <c r="AC25" s="952"/>
      <c r="AD25" s="953"/>
      <c r="AE25" s="954"/>
      <c r="AF25" s="918"/>
    </row>
    <row r="26" spans="1:32" hidden="1" outlineLevel="1" x14ac:dyDescent="0.2">
      <c r="A26" s="920">
        <v>2</v>
      </c>
      <c r="B26" s="921" t="s">
        <v>1903</v>
      </c>
      <c r="C26" s="920" t="s">
        <v>299</v>
      </c>
      <c r="D26" s="920" t="s">
        <v>1092</v>
      </c>
      <c r="E26" s="920" t="s">
        <v>1092</v>
      </c>
      <c r="F26" s="920" t="s">
        <v>1092</v>
      </c>
      <c r="G26" s="920" t="s">
        <v>1092</v>
      </c>
      <c r="H26" s="920" t="s">
        <v>1092</v>
      </c>
      <c r="I26" s="920" t="s">
        <v>1092</v>
      </c>
      <c r="J26" s="920" t="s">
        <v>1092</v>
      </c>
      <c r="K26" s="920"/>
      <c r="L26" s="920"/>
      <c r="M26" s="920"/>
      <c r="N26" s="920"/>
      <c r="O26" s="920"/>
      <c r="P26" s="920"/>
      <c r="Q26" s="920"/>
      <c r="R26" s="920"/>
      <c r="S26" s="920"/>
      <c r="T26" s="920"/>
      <c r="U26" s="920"/>
      <c r="V26" s="920"/>
      <c r="W26" s="955"/>
      <c r="X26" s="920"/>
      <c r="Y26" s="956"/>
      <c r="Z26" s="957"/>
      <c r="AA26" s="956"/>
      <c r="AB26" s="957"/>
      <c r="AC26" s="956"/>
      <c r="AD26" s="957"/>
      <c r="AE26" s="958"/>
      <c r="AF26" s="920"/>
    </row>
    <row r="27" spans="1:32" hidden="1" outlineLevel="1" x14ac:dyDescent="0.2">
      <c r="A27" s="918">
        <v>3</v>
      </c>
      <c r="B27" s="919" t="s">
        <v>1904</v>
      </c>
      <c r="C27" s="918" t="s">
        <v>1092</v>
      </c>
      <c r="D27" s="918" t="s">
        <v>1092</v>
      </c>
      <c r="E27" s="918" t="s">
        <v>1092</v>
      </c>
      <c r="F27" s="918" t="s">
        <v>1092</v>
      </c>
      <c r="G27" s="918" t="s">
        <v>1092</v>
      </c>
      <c r="H27" s="918" t="s">
        <v>1092</v>
      </c>
      <c r="I27" s="918" t="s">
        <v>1092</v>
      </c>
      <c r="J27" s="918" t="s">
        <v>1092</v>
      </c>
      <c r="K27" s="918"/>
      <c r="L27" s="918"/>
      <c r="M27" s="918"/>
      <c r="N27" s="918"/>
      <c r="O27" s="918"/>
      <c r="P27" s="918"/>
      <c r="Q27" s="918"/>
      <c r="R27" s="918"/>
      <c r="S27" s="918"/>
      <c r="T27" s="918"/>
      <c r="U27" s="918"/>
      <c r="V27" s="918"/>
      <c r="W27" s="951"/>
      <c r="X27" s="918"/>
      <c r="Y27" s="952"/>
      <c r="Z27" s="953"/>
      <c r="AA27" s="952"/>
      <c r="AB27" s="953"/>
      <c r="AC27" s="952"/>
      <c r="AD27" s="953"/>
      <c r="AE27" s="954"/>
      <c r="AF27" s="918"/>
    </row>
    <row r="28" spans="1:32" hidden="1" outlineLevel="1" x14ac:dyDescent="0.2">
      <c r="A28" s="920">
        <v>4</v>
      </c>
      <c r="B28" s="921" t="s">
        <v>1905</v>
      </c>
      <c r="C28" s="920" t="s">
        <v>299</v>
      </c>
      <c r="D28" s="920" t="s">
        <v>1092</v>
      </c>
      <c r="E28" s="920" t="s">
        <v>1092</v>
      </c>
      <c r="F28" s="920" t="s">
        <v>1092</v>
      </c>
      <c r="G28" s="920" t="s">
        <v>1092</v>
      </c>
      <c r="H28" s="920" t="s">
        <v>1092</v>
      </c>
      <c r="I28" s="920" t="s">
        <v>1092</v>
      </c>
      <c r="J28" s="920" t="s">
        <v>1092</v>
      </c>
      <c r="K28" s="920"/>
      <c r="L28" s="920"/>
      <c r="M28" s="920"/>
      <c r="N28" s="920"/>
      <c r="O28" s="920"/>
      <c r="P28" s="920"/>
      <c r="Q28" s="920"/>
      <c r="R28" s="920"/>
      <c r="S28" s="920"/>
      <c r="T28" s="920"/>
      <c r="U28" s="920"/>
      <c r="V28" s="920"/>
      <c r="W28" s="955"/>
      <c r="X28" s="920"/>
      <c r="Y28" s="956"/>
      <c r="Z28" s="957"/>
      <c r="AA28" s="956"/>
      <c r="AB28" s="957"/>
      <c r="AC28" s="956"/>
      <c r="AD28" s="957"/>
      <c r="AE28" s="958"/>
      <c r="AF28" s="920"/>
    </row>
    <row r="29" spans="1:32" hidden="1" outlineLevel="1" x14ac:dyDescent="0.2">
      <c r="A29" s="918">
        <v>5</v>
      </c>
      <c r="B29" s="919" t="s">
        <v>1906</v>
      </c>
      <c r="C29" s="918" t="s">
        <v>1092</v>
      </c>
      <c r="D29" s="918" t="s">
        <v>1092</v>
      </c>
      <c r="E29" s="918" t="s">
        <v>1092</v>
      </c>
      <c r="F29" s="918" t="s">
        <v>1092</v>
      </c>
      <c r="G29" s="918" t="s">
        <v>1092</v>
      </c>
      <c r="H29" s="918" t="s">
        <v>1092</v>
      </c>
      <c r="I29" s="918" t="s">
        <v>1092</v>
      </c>
      <c r="J29" s="918" t="s">
        <v>1092</v>
      </c>
      <c r="K29" s="918"/>
      <c r="L29" s="918"/>
      <c r="M29" s="918"/>
      <c r="N29" s="918"/>
      <c r="O29" s="918"/>
      <c r="P29" s="918"/>
      <c r="Q29" s="918"/>
      <c r="R29" s="918"/>
      <c r="S29" s="918"/>
      <c r="T29" s="918"/>
      <c r="U29" s="918"/>
      <c r="V29" s="918"/>
      <c r="W29" s="951"/>
      <c r="X29" s="918"/>
      <c r="Y29" s="952"/>
      <c r="Z29" s="953"/>
      <c r="AA29" s="952"/>
      <c r="AB29" s="953"/>
      <c r="AC29" s="952"/>
      <c r="AD29" s="953"/>
      <c r="AE29" s="954"/>
      <c r="AF29" s="918"/>
    </row>
    <row r="30" spans="1:32" hidden="1" outlineLevel="1" x14ac:dyDescent="0.2">
      <c r="A30" s="920">
        <v>6</v>
      </c>
      <c r="B30" s="921" t="s">
        <v>119</v>
      </c>
      <c r="C30" s="920" t="s">
        <v>1884</v>
      </c>
      <c r="D30" s="920" t="s">
        <v>1092</v>
      </c>
      <c r="E30" s="920" t="s">
        <v>1092</v>
      </c>
      <c r="F30" s="920" t="s">
        <v>1092</v>
      </c>
      <c r="G30" s="920" t="s">
        <v>1092</v>
      </c>
      <c r="H30" s="920" t="s">
        <v>1092</v>
      </c>
      <c r="I30" s="920" t="s">
        <v>1092</v>
      </c>
      <c r="J30" s="920" t="s">
        <v>1092</v>
      </c>
      <c r="K30" s="920"/>
      <c r="L30" s="920"/>
      <c r="M30" s="920"/>
      <c r="N30" s="920"/>
      <c r="O30" s="920"/>
      <c r="P30" s="920"/>
      <c r="Q30" s="920"/>
      <c r="R30" s="920"/>
      <c r="S30" s="920"/>
      <c r="T30" s="920"/>
      <c r="U30" s="920"/>
      <c r="V30" s="920"/>
      <c r="W30" s="955"/>
      <c r="X30" s="920"/>
      <c r="Y30" s="956"/>
      <c r="Z30" s="957"/>
      <c r="AA30" s="956"/>
      <c r="AB30" s="957"/>
      <c r="AC30" s="956"/>
      <c r="AD30" s="957"/>
      <c r="AE30" s="958"/>
      <c r="AF30" s="920"/>
    </row>
    <row r="31" spans="1:32" s="917" customFormat="1" ht="24" collapsed="1" x14ac:dyDescent="0.2">
      <c r="A31" s="915">
        <v>5</v>
      </c>
      <c r="B31" s="916" t="s">
        <v>1907</v>
      </c>
      <c r="C31" s="915" t="s">
        <v>1884</v>
      </c>
      <c r="D31" s="915" t="s">
        <v>1092</v>
      </c>
      <c r="E31" s="915" t="s">
        <v>1092</v>
      </c>
      <c r="F31" s="915" t="s">
        <v>1092</v>
      </c>
      <c r="G31" s="915" t="s">
        <v>1092</v>
      </c>
      <c r="H31" s="915" t="s">
        <v>1092</v>
      </c>
      <c r="I31" s="915" t="s">
        <v>1092</v>
      </c>
      <c r="J31" s="915" t="s">
        <v>1092</v>
      </c>
      <c r="K31" s="915"/>
      <c r="L31" s="915" t="s">
        <v>299</v>
      </c>
      <c r="M31" s="915" t="s">
        <v>299</v>
      </c>
      <c r="N31" s="947" t="s">
        <v>1884</v>
      </c>
      <c r="O31" s="947" t="s">
        <v>1884</v>
      </c>
      <c r="P31" s="915" t="s">
        <v>1092</v>
      </c>
      <c r="Q31" s="915" t="s">
        <v>1092</v>
      </c>
      <c r="R31" s="915" t="s">
        <v>1092</v>
      </c>
      <c r="S31" s="915" t="s">
        <v>299</v>
      </c>
      <c r="T31" s="915" t="s">
        <v>299</v>
      </c>
      <c r="U31" s="915" t="s">
        <v>299</v>
      </c>
      <c r="V31" s="915" t="s">
        <v>1092</v>
      </c>
      <c r="W31" s="947" t="s">
        <v>1092</v>
      </c>
      <c r="X31" s="915"/>
      <c r="Y31" s="948"/>
      <c r="Z31" s="949"/>
      <c r="AA31" s="948"/>
      <c r="AB31" s="949"/>
      <c r="AC31" s="948"/>
      <c r="AD31" s="949"/>
      <c r="AE31" s="950"/>
      <c r="AF31" s="915"/>
    </row>
    <row r="32" spans="1:32" hidden="1" outlineLevel="1" x14ac:dyDescent="0.2">
      <c r="A32" s="918">
        <v>1</v>
      </c>
      <c r="B32" s="919" t="s">
        <v>1908</v>
      </c>
      <c r="C32" s="918" t="s">
        <v>299</v>
      </c>
      <c r="D32" s="918" t="s">
        <v>1092</v>
      </c>
      <c r="E32" s="918" t="s">
        <v>1092</v>
      </c>
      <c r="F32" s="918" t="s">
        <v>1092</v>
      </c>
      <c r="G32" s="918" t="s">
        <v>1092</v>
      </c>
      <c r="H32" s="918" t="s">
        <v>1092</v>
      </c>
      <c r="I32" s="918" t="s">
        <v>1092</v>
      </c>
      <c r="J32" s="918" t="s">
        <v>1092</v>
      </c>
      <c r="K32" s="918"/>
      <c r="L32" s="918"/>
      <c r="M32" s="918"/>
      <c r="N32" s="918"/>
      <c r="O32" s="918"/>
      <c r="P32" s="918"/>
      <c r="Q32" s="918"/>
      <c r="R32" s="918"/>
      <c r="S32" s="918"/>
      <c r="T32" s="918"/>
      <c r="U32" s="918"/>
      <c r="V32" s="918"/>
      <c r="W32" s="951"/>
      <c r="X32" s="918"/>
      <c r="Y32" s="952"/>
      <c r="Z32" s="953"/>
      <c r="AA32" s="952"/>
      <c r="AB32" s="953"/>
      <c r="AC32" s="952"/>
      <c r="AD32" s="953"/>
      <c r="AE32" s="954"/>
      <c r="AF32" s="918"/>
    </row>
    <row r="33" spans="1:32" hidden="1" outlineLevel="1" x14ac:dyDescent="0.2">
      <c r="A33" s="920">
        <v>2</v>
      </c>
      <c r="B33" s="921" t="s">
        <v>1909</v>
      </c>
      <c r="C33" s="920" t="s">
        <v>1092</v>
      </c>
      <c r="D33" s="920" t="s">
        <v>1092</v>
      </c>
      <c r="E33" s="920" t="s">
        <v>1092</v>
      </c>
      <c r="F33" s="920" t="s">
        <v>1092</v>
      </c>
      <c r="G33" s="920" t="s">
        <v>1092</v>
      </c>
      <c r="H33" s="920" t="s">
        <v>1092</v>
      </c>
      <c r="I33" s="920" t="s">
        <v>1092</v>
      </c>
      <c r="J33" s="920" t="s">
        <v>1092</v>
      </c>
      <c r="K33" s="920"/>
      <c r="L33" s="920"/>
      <c r="M33" s="920"/>
      <c r="N33" s="920"/>
      <c r="O33" s="920"/>
      <c r="P33" s="920"/>
      <c r="Q33" s="920"/>
      <c r="R33" s="920"/>
      <c r="S33" s="920"/>
      <c r="T33" s="920"/>
      <c r="U33" s="920"/>
      <c r="V33" s="920"/>
      <c r="W33" s="955"/>
      <c r="X33" s="920"/>
      <c r="Y33" s="956"/>
      <c r="Z33" s="957"/>
      <c r="AA33" s="956"/>
      <c r="AB33" s="957"/>
      <c r="AC33" s="956"/>
      <c r="AD33" s="957"/>
      <c r="AE33" s="958"/>
      <c r="AF33" s="920"/>
    </row>
    <row r="34" spans="1:32" hidden="1" outlineLevel="1" x14ac:dyDescent="0.2">
      <c r="A34" s="918">
        <v>3</v>
      </c>
      <c r="B34" s="919" t="s">
        <v>1910</v>
      </c>
      <c r="C34" s="918" t="s">
        <v>1092</v>
      </c>
      <c r="D34" s="918" t="s">
        <v>1092</v>
      </c>
      <c r="E34" s="918" t="s">
        <v>1092</v>
      </c>
      <c r="F34" s="918" t="s">
        <v>1092</v>
      </c>
      <c r="G34" s="918" t="s">
        <v>1092</v>
      </c>
      <c r="H34" s="918" t="s">
        <v>1092</v>
      </c>
      <c r="I34" s="918" t="s">
        <v>1092</v>
      </c>
      <c r="J34" s="918" t="s">
        <v>1092</v>
      </c>
      <c r="K34" s="918"/>
      <c r="L34" s="918"/>
      <c r="M34" s="918"/>
      <c r="N34" s="918"/>
      <c r="O34" s="918"/>
      <c r="P34" s="918"/>
      <c r="Q34" s="918"/>
      <c r="R34" s="918"/>
      <c r="S34" s="918"/>
      <c r="T34" s="918"/>
      <c r="U34" s="918"/>
      <c r="V34" s="918"/>
      <c r="W34" s="951"/>
      <c r="X34" s="918"/>
      <c r="Y34" s="952"/>
      <c r="Z34" s="953"/>
      <c r="AA34" s="952"/>
      <c r="AB34" s="953"/>
      <c r="AC34" s="952"/>
      <c r="AD34" s="953"/>
      <c r="AE34" s="954"/>
      <c r="AF34" s="918"/>
    </row>
    <row r="35" spans="1:32" hidden="1" outlineLevel="1" x14ac:dyDescent="0.2">
      <c r="A35" s="920">
        <v>4</v>
      </c>
      <c r="B35" s="921" t="s">
        <v>1911</v>
      </c>
      <c r="C35" s="920" t="s">
        <v>1092</v>
      </c>
      <c r="D35" s="920" t="s">
        <v>1092</v>
      </c>
      <c r="E35" s="920" t="s">
        <v>1092</v>
      </c>
      <c r="F35" s="920" t="s">
        <v>1092</v>
      </c>
      <c r="G35" s="920" t="s">
        <v>1092</v>
      </c>
      <c r="H35" s="920" t="s">
        <v>1092</v>
      </c>
      <c r="I35" s="920" t="s">
        <v>1092</v>
      </c>
      <c r="J35" s="920" t="s">
        <v>1092</v>
      </c>
      <c r="K35" s="920"/>
      <c r="L35" s="920"/>
      <c r="M35" s="920"/>
      <c r="N35" s="920"/>
      <c r="O35" s="920"/>
      <c r="P35" s="920"/>
      <c r="Q35" s="920"/>
      <c r="R35" s="920"/>
      <c r="S35" s="920"/>
      <c r="T35" s="920"/>
      <c r="U35" s="920"/>
      <c r="V35" s="920"/>
      <c r="W35" s="955"/>
      <c r="X35" s="920"/>
      <c r="Y35" s="956"/>
      <c r="Z35" s="957"/>
      <c r="AA35" s="956"/>
      <c r="AB35" s="957"/>
      <c r="AC35" s="956"/>
      <c r="AD35" s="957"/>
      <c r="AE35" s="958"/>
      <c r="AF35" s="920"/>
    </row>
    <row r="36" spans="1:32" hidden="1" outlineLevel="1" x14ac:dyDescent="0.2">
      <c r="A36" s="918">
        <v>5</v>
      </c>
      <c r="B36" s="919" t="s">
        <v>1912</v>
      </c>
      <c r="C36" s="918" t="s">
        <v>299</v>
      </c>
      <c r="D36" s="918" t="s">
        <v>1092</v>
      </c>
      <c r="E36" s="918" t="s">
        <v>1092</v>
      </c>
      <c r="F36" s="918" t="s">
        <v>1092</v>
      </c>
      <c r="G36" s="918" t="s">
        <v>1092</v>
      </c>
      <c r="H36" s="918" t="s">
        <v>1092</v>
      </c>
      <c r="I36" s="918" t="s">
        <v>1092</v>
      </c>
      <c r="J36" s="918" t="s">
        <v>1092</v>
      </c>
      <c r="K36" s="918"/>
      <c r="L36" s="918"/>
      <c r="M36" s="918"/>
      <c r="N36" s="918"/>
      <c r="O36" s="918"/>
      <c r="P36" s="918"/>
      <c r="Q36" s="918"/>
      <c r="R36" s="918"/>
      <c r="S36" s="918"/>
      <c r="T36" s="918"/>
      <c r="U36" s="918"/>
      <c r="V36" s="918"/>
      <c r="W36" s="951"/>
      <c r="X36" s="918"/>
      <c r="Y36" s="952"/>
      <c r="Z36" s="953"/>
      <c r="AA36" s="952"/>
      <c r="AB36" s="953"/>
      <c r="AC36" s="952"/>
      <c r="AD36" s="953"/>
      <c r="AE36" s="954"/>
      <c r="AF36" s="918"/>
    </row>
    <row r="37" spans="1:32" hidden="1" outlineLevel="1" x14ac:dyDescent="0.2">
      <c r="A37" s="920">
        <v>6</v>
      </c>
      <c r="B37" s="921" t="s">
        <v>84</v>
      </c>
      <c r="C37" s="920" t="s">
        <v>1884</v>
      </c>
      <c r="D37" s="920" t="s">
        <v>1092</v>
      </c>
      <c r="E37" s="920" t="s">
        <v>1092</v>
      </c>
      <c r="F37" s="920" t="s">
        <v>1092</v>
      </c>
      <c r="G37" s="920" t="s">
        <v>1092</v>
      </c>
      <c r="H37" s="920" t="s">
        <v>1092</v>
      </c>
      <c r="I37" s="920" t="s">
        <v>1092</v>
      </c>
      <c r="J37" s="920" t="s">
        <v>1092</v>
      </c>
      <c r="K37" s="920"/>
      <c r="L37" s="920"/>
      <c r="M37" s="920"/>
      <c r="N37" s="920"/>
      <c r="O37" s="920"/>
      <c r="P37" s="920"/>
      <c r="Q37" s="920"/>
      <c r="R37" s="920"/>
      <c r="S37" s="920"/>
      <c r="T37" s="920"/>
      <c r="U37" s="920"/>
      <c r="V37" s="920"/>
      <c r="W37" s="955"/>
      <c r="X37" s="920"/>
      <c r="Y37" s="956"/>
      <c r="Z37" s="957"/>
      <c r="AA37" s="956"/>
      <c r="AB37" s="957"/>
      <c r="AC37" s="956"/>
      <c r="AD37" s="957"/>
      <c r="AE37" s="958"/>
      <c r="AF37" s="920"/>
    </row>
    <row r="38" spans="1:32" s="917" customFormat="1" collapsed="1" x14ac:dyDescent="0.2">
      <c r="A38" s="915">
        <v>6</v>
      </c>
      <c r="B38" s="916" t="s">
        <v>1913</v>
      </c>
      <c r="C38" s="915" t="s">
        <v>1884</v>
      </c>
      <c r="D38" s="915" t="s">
        <v>1092</v>
      </c>
      <c r="E38" s="915" t="s">
        <v>1092</v>
      </c>
      <c r="F38" s="915" t="s">
        <v>1092</v>
      </c>
      <c r="G38" s="915" t="s">
        <v>1092</v>
      </c>
      <c r="H38" s="915" t="s">
        <v>1092</v>
      </c>
      <c r="I38" s="915" t="s">
        <v>1092</v>
      </c>
      <c r="J38" s="915" t="s">
        <v>1092</v>
      </c>
      <c r="K38" s="915"/>
      <c r="L38" s="915" t="s">
        <v>299</v>
      </c>
      <c r="M38" s="915" t="s">
        <v>299</v>
      </c>
      <c r="N38" s="915" t="s">
        <v>299</v>
      </c>
      <c r="O38" s="915" t="s">
        <v>299</v>
      </c>
      <c r="P38" s="915" t="s">
        <v>1092</v>
      </c>
      <c r="Q38" s="915" t="s">
        <v>1092</v>
      </c>
      <c r="R38" s="915" t="s">
        <v>299</v>
      </c>
      <c r="S38" s="915" t="s">
        <v>299</v>
      </c>
      <c r="T38" s="915" t="s">
        <v>299</v>
      </c>
      <c r="U38" s="915" t="s">
        <v>299</v>
      </c>
      <c r="V38" s="915" t="s">
        <v>1092</v>
      </c>
      <c r="W38" s="947" t="s">
        <v>1092</v>
      </c>
      <c r="X38" s="915" t="s">
        <v>1092</v>
      </c>
      <c r="Y38" s="948"/>
      <c r="Z38" s="949"/>
      <c r="AA38" s="948"/>
      <c r="AB38" s="949"/>
      <c r="AC38" s="948"/>
      <c r="AD38" s="949"/>
      <c r="AE38" s="950"/>
      <c r="AF38" s="915"/>
    </row>
    <row r="39" spans="1:32" hidden="1" outlineLevel="1" x14ac:dyDescent="0.2">
      <c r="A39" s="918">
        <v>1</v>
      </c>
      <c r="B39" s="919" t="s">
        <v>1914</v>
      </c>
      <c r="C39" s="918" t="s">
        <v>299</v>
      </c>
      <c r="D39" s="918" t="s">
        <v>299</v>
      </c>
      <c r="E39" s="918" t="s">
        <v>299</v>
      </c>
      <c r="F39" s="918" t="s">
        <v>299</v>
      </c>
      <c r="G39" s="918" t="s">
        <v>299</v>
      </c>
      <c r="H39" s="918" t="s">
        <v>299</v>
      </c>
      <c r="I39" s="918" t="s">
        <v>299</v>
      </c>
      <c r="J39" s="918" t="s">
        <v>1092</v>
      </c>
      <c r="K39" s="918"/>
      <c r="L39" s="918"/>
      <c r="M39" s="918"/>
      <c r="N39" s="918"/>
      <c r="O39" s="918"/>
      <c r="P39" s="918"/>
      <c r="Q39" s="918"/>
      <c r="R39" s="918"/>
      <c r="S39" s="918"/>
      <c r="T39" s="918"/>
      <c r="U39" s="918"/>
      <c r="V39" s="918"/>
      <c r="W39" s="951"/>
      <c r="X39" s="918"/>
      <c r="Y39" s="952"/>
      <c r="Z39" s="953"/>
      <c r="AA39" s="952"/>
      <c r="AB39" s="953"/>
      <c r="AC39" s="952"/>
      <c r="AD39" s="953"/>
      <c r="AE39" s="954"/>
      <c r="AF39" s="918"/>
    </row>
    <row r="40" spans="1:32" hidden="1" outlineLevel="1" x14ac:dyDescent="0.2">
      <c r="A40" s="920">
        <v>2</v>
      </c>
      <c r="B40" s="921" t="s">
        <v>1915</v>
      </c>
      <c r="C40" s="920" t="s">
        <v>299</v>
      </c>
      <c r="D40" s="920" t="s">
        <v>299</v>
      </c>
      <c r="E40" s="920" t="s">
        <v>299</v>
      </c>
      <c r="F40" s="920" t="s">
        <v>299</v>
      </c>
      <c r="G40" s="920" t="s">
        <v>299</v>
      </c>
      <c r="H40" s="920" t="s">
        <v>299</v>
      </c>
      <c r="I40" s="920" t="s">
        <v>299</v>
      </c>
      <c r="J40" s="920" t="s">
        <v>1092</v>
      </c>
      <c r="K40" s="920"/>
      <c r="L40" s="920"/>
      <c r="M40" s="920"/>
      <c r="N40" s="920"/>
      <c r="O40" s="920"/>
      <c r="P40" s="920"/>
      <c r="Q40" s="920"/>
      <c r="R40" s="920"/>
      <c r="S40" s="920"/>
      <c r="T40" s="920"/>
      <c r="U40" s="920"/>
      <c r="V40" s="920"/>
      <c r="W40" s="955"/>
      <c r="X40" s="920"/>
      <c r="Y40" s="956"/>
      <c r="Z40" s="957"/>
      <c r="AA40" s="956"/>
      <c r="AB40" s="957"/>
      <c r="AC40" s="956"/>
      <c r="AD40" s="957"/>
      <c r="AE40" s="958"/>
      <c r="AF40" s="920"/>
    </row>
    <row r="41" spans="1:32" hidden="1" outlineLevel="1" x14ac:dyDescent="0.2">
      <c r="A41" s="918">
        <v>3</v>
      </c>
      <c r="B41" s="919" t="s">
        <v>1916</v>
      </c>
      <c r="C41" s="918" t="s">
        <v>299</v>
      </c>
      <c r="D41" s="918" t="s">
        <v>299</v>
      </c>
      <c r="E41" s="918" t="s">
        <v>299</v>
      </c>
      <c r="F41" s="918" t="s">
        <v>299</v>
      </c>
      <c r="G41" s="918" t="s">
        <v>299</v>
      </c>
      <c r="H41" s="918" t="s">
        <v>299</v>
      </c>
      <c r="I41" s="918" t="s">
        <v>299</v>
      </c>
      <c r="J41" s="918" t="s">
        <v>1092</v>
      </c>
      <c r="K41" s="918"/>
      <c r="L41" s="918"/>
      <c r="M41" s="918"/>
      <c r="N41" s="918"/>
      <c r="O41" s="918"/>
      <c r="P41" s="918"/>
      <c r="Q41" s="918"/>
      <c r="R41" s="918"/>
      <c r="S41" s="918"/>
      <c r="T41" s="918"/>
      <c r="U41" s="918"/>
      <c r="V41" s="918"/>
      <c r="W41" s="951"/>
      <c r="X41" s="918"/>
      <c r="Y41" s="952"/>
      <c r="Z41" s="953"/>
      <c r="AA41" s="952"/>
      <c r="AB41" s="953"/>
      <c r="AC41" s="952"/>
      <c r="AD41" s="953"/>
      <c r="AE41" s="954"/>
      <c r="AF41" s="918"/>
    </row>
    <row r="42" spans="1:32" hidden="1" outlineLevel="1" x14ac:dyDescent="0.2">
      <c r="A42" s="920">
        <v>4</v>
      </c>
      <c r="B42" s="921" t="s">
        <v>1917</v>
      </c>
      <c r="C42" s="920" t="s">
        <v>299</v>
      </c>
      <c r="D42" s="920" t="s">
        <v>299</v>
      </c>
      <c r="E42" s="920" t="s">
        <v>299</v>
      </c>
      <c r="F42" s="920" t="s">
        <v>299</v>
      </c>
      <c r="G42" s="920" t="s">
        <v>299</v>
      </c>
      <c r="H42" s="920" t="s">
        <v>299</v>
      </c>
      <c r="I42" s="920" t="s">
        <v>299</v>
      </c>
      <c r="J42" s="920" t="s">
        <v>1092</v>
      </c>
      <c r="K42" s="920"/>
      <c r="L42" s="920"/>
      <c r="M42" s="920"/>
      <c r="N42" s="920"/>
      <c r="O42" s="920"/>
      <c r="P42" s="920"/>
      <c r="Q42" s="920"/>
      <c r="R42" s="920"/>
      <c r="S42" s="920"/>
      <c r="T42" s="920"/>
      <c r="U42" s="920"/>
      <c r="V42" s="920"/>
      <c r="W42" s="955"/>
      <c r="X42" s="920"/>
      <c r="Y42" s="956"/>
      <c r="Z42" s="957"/>
      <c r="AA42" s="956"/>
      <c r="AB42" s="957"/>
      <c r="AC42" s="956"/>
      <c r="AD42" s="957"/>
      <c r="AE42" s="958"/>
      <c r="AF42" s="920"/>
    </row>
    <row r="43" spans="1:32" hidden="1" outlineLevel="1" x14ac:dyDescent="0.2">
      <c r="A43" s="918">
        <v>5</v>
      </c>
      <c r="B43" s="919" t="s">
        <v>1918</v>
      </c>
      <c r="C43" s="918" t="s">
        <v>299</v>
      </c>
      <c r="D43" s="918" t="s">
        <v>299</v>
      </c>
      <c r="E43" s="918" t="s">
        <v>299</v>
      </c>
      <c r="F43" s="918" t="s">
        <v>299</v>
      </c>
      <c r="G43" s="918" t="s">
        <v>299</v>
      </c>
      <c r="H43" s="918" t="s">
        <v>299</v>
      </c>
      <c r="I43" s="918" t="s">
        <v>299</v>
      </c>
      <c r="J43" s="918" t="s">
        <v>1092</v>
      </c>
      <c r="K43" s="918"/>
      <c r="L43" s="918"/>
      <c r="M43" s="918"/>
      <c r="N43" s="918"/>
      <c r="O43" s="918"/>
      <c r="P43" s="918"/>
      <c r="Q43" s="918"/>
      <c r="R43" s="918"/>
      <c r="S43" s="918"/>
      <c r="T43" s="918"/>
      <c r="U43" s="918"/>
      <c r="V43" s="918"/>
      <c r="W43" s="951"/>
      <c r="X43" s="918"/>
      <c r="Y43" s="952"/>
      <c r="Z43" s="953"/>
      <c r="AA43" s="952"/>
      <c r="AB43" s="953"/>
      <c r="AC43" s="952"/>
      <c r="AD43" s="953"/>
      <c r="AE43" s="954"/>
      <c r="AF43" s="918"/>
    </row>
    <row r="44" spans="1:32" hidden="1" outlineLevel="1" x14ac:dyDescent="0.2">
      <c r="A44" s="920">
        <v>6</v>
      </c>
      <c r="B44" s="921" t="s">
        <v>1919</v>
      </c>
      <c r="C44" s="920" t="s">
        <v>299</v>
      </c>
      <c r="D44" s="920" t="s">
        <v>299</v>
      </c>
      <c r="E44" s="920" t="s">
        <v>299</v>
      </c>
      <c r="F44" s="920" t="s">
        <v>299</v>
      </c>
      <c r="G44" s="920" t="s">
        <v>299</v>
      </c>
      <c r="H44" s="920" t="s">
        <v>299</v>
      </c>
      <c r="I44" s="920" t="s">
        <v>299</v>
      </c>
      <c r="J44" s="920" t="s">
        <v>1092</v>
      </c>
      <c r="K44" s="920"/>
      <c r="L44" s="920"/>
      <c r="M44" s="920"/>
      <c r="N44" s="920"/>
      <c r="O44" s="920"/>
      <c r="P44" s="920"/>
      <c r="Q44" s="920"/>
      <c r="R44" s="920"/>
      <c r="S44" s="920"/>
      <c r="T44" s="920"/>
      <c r="U44" s="920"/>
      <c r="V44" s="920"/>
      <c r="W44" s="955"/>
      <c r="X44" s="920"/>
      <c r="Y44" s="956"/>
      <c r="Z44" s="957"/>
      <c r="AA44" s="956"/>
      <c r="AB44" s="957"/>
      <c r="AC44" s="956"/>
      <c r="AD44" s="957"/>
      <c r="AE44" s="958"/>
      <c r="AF44" s="920"/>
    </row>
    <row r="45" spans="1:32" hidden="1" outlineLevel="1" x14ac:dyDescent="0.2">
      <c r="A45" s="918">
        <v>7</v>
      </c>
      <c r="B45" s="919" t="s">
        <v>1920</v>
      </c>
      <c r="C45" s="918" t="s">
        <v>299</v>
      </c>
      <c r="D45" s="918" t="s">
        <v>299</v>
      </c>
      <c r="E45" s="918" t="s">
        <v>299</v>
      </c>
      <c r="F45" s="918" t="s">
        <v>299</v>
      </c>
      <c r="G45" s="918" t="s">
        <v>299</v>
      </c>
      <c r="H45" s="918" t="s">
        <v>299</v>
      </c>
      <c r="I45" s="918" t="s">
        <v>299</v>
      </c>
      <c r="J45" s="918" t="s">
        <v>1092</v>
      </c>
      <c r="K45" s="918"/>
      <c r="L45" s="918"/>
      <c r="M45" s="918"/>
      <c r="N45" s="918"/>
      <c r="O45" s="918"/>
      <c r="P45" s="918"/>
      <c r="Q45" s="918"/>
      <c r="R45" s="918"/>
      <c r="S45" s="918"/>
      <c r="T45" s="918"/>
      <c r="U45" s="918"/>
      <c r="V45" s="918"/>
      <c r="W45" s="951"/>
      <c r="X45" s="918"/>
      <c r="Y45" s="952"/>
      <c r="Z45" s="953"/>
      <c r="AA45" s="952"/>
      <c r="AB45" s="953"/>
      <c r="AC45" s="952"/>
      <c r="AD45" s="953"/>
      <c r="AE45" s="954"/>
      <c r="AF45" s="918"/>
    </row>
    <row r="46" spans="1:32" hidden="1" outlineLevel="1" x14ac:dyDescent="0.2">
      <c r="A46" s="920">
        <v>8</v>
      </c>
      <c r="B46" s="921" t="s">
        <v>1921</v>
      </c>
      <c r="C46" s="920" t="s">
        <v>299</v>
      </c>
      <c r="D46" s="920" t="s">
        <v>299</v>
      </c>
      <c r="E46" s="920" t="s">
        <v>299</v>
      </c>
      <c r="F46" s="920" t="s">
        <v>299</v>
      </c>
      <c r="G46" s="920" t="s">
        <v>299</v>
      </c>
      <c r="H46" s="920" t="s">
        <v>299</v>
      </c>
      <c r="I46" s="920" t="s">
        <v>299</v>
      </c>
      <c r="J46" s="920" t="s">
        <v>1092</v>
      </c>
      <c r="K46" s="920"/>
      <c r="L46" s="920"/>
      <c r="M46" s="920"/>
      <c r="N46" s="920"/>
      <c r="O46" s="920"/>
      <c r="P46" s="920"/>
      <c r="Q46" s="920"/>
      <c r="R46" s="920"/>
      <c r="S46" s="920"/>
      <c r="T46" s="920"/>
      <c r="U46" s="920"/>
      <c r="V46" s="920"/>
      <c r="W46" s="955"/>
      <c r="X46" s="920"/>
      <c r="Y46" s="956"/>
      <c r="Z46" s="957"/>
      <c r="AA46" s="956"/>
      <c r="AB46" s="957"/>
      <c r="AC46" s="956"/>
      <c r="AD46" s="957"/>
      <c r="AE46" s="958"/>
      <c r="AF46" s="920"/>
    </row>
    <row r="47" spans="1:32" hidden="1" outlineLevel="1" x14ac:dyDescent="0.2">
      <c r="A47" s="918">
        <v>9</v>
      </c>
      <c r="B47" s="919" t="s">
        <v>1922</v>
      </c>
      <c r="C47" s="918" t="s">
        <v>299</v>
      </c>
      <c r="D47" s="918" t="s">
        <v>299</v>
      </c>
      <c r="E47" s="918" t="s">
        <v>299</v>
      </c>
      <c r="F47" s="918" t="s">
        <v>299</v>
      </c>
      <c r="G47" s="918" t="s">
        <v>299</v>
      </c>
      <c r="H47" s="918" t="s">
        <v>299</v>
      </c>
      <c r="I47" s="918" t="s">
        <v>299</v>
      </c>
      <c r="J47" s="918" t="s">
        <v>1092</v>
      </c>
      <c r="K47" s="918"/>
      <c r="L47" s="918"/>
      <c r="M47" s="918"/>
      <c r="N47" s="918"/>
      <c r="O47" s="918"/>
      <c r="P47" s="918"/>
      <c r="Q47" s="918"/>
      <c r="R47" s="918"/>
      <c r="S47" s="918"/>
      <c r="T47" s="918"/>
      <c r="U47" s="918"/>
      <c r="V47" s="918"/>
      <c r="W47" s="951"/>
      <c r="X47" s="918"/>
      <c r="Y47" s="952"/>
      <c r="Z47" s="953"/>
      <c r="AA47" s="952"/>
      <c r="AB47" s="953"/>
      <c r="AC47" s="952"/>
      <c r="AD47" s="953"/>
      <c r="AE47" s="954"/>
      <c r="AF47" s="918"/>
    </row>
    <row r="48" spans="1:32" hidden="1" outlineLevel="1" x14ac:dyDescent="0.2">
      <c r="A48" s="920">
        <v>10</v>
      </c>
      <c r="B48" s="921" t="s">
        <v>1923</v>
      </c>
      <c r="C48" s="920" t="s">
        <v>299</v>
      </c>
      <c r="D48" s="920" t="s">
        <v>299</v>
      </c>
      <c r="E48" s="920" t="s">
        <v>299</v>
      </c>
      <c r="F48" s="920" t="s">
        <v>299</v>
      </c>
      <c r="G48" s="920" t="s">
        <v>299</v>
      </c>
      <c r="H48" s="920" t="s">
        <v>299</v>
      </c>
      <c r="I48" s="920" t="s">
        <v>299</v>
      </c>
      <c r="J48" s="920" t="s">
        <v>1092</v>
      </c>
      <c r="K48" s="920"/>
      <c r="L48" s="920"/>
      <c r="M48" s="920"/>
      <c r="N48" s="920"/>
      <c r="O48" s="920"/>
      <c r="P48" s="920"/>
      <c r="Q48" s="920"/>
      <c r="R48" s="920"/>
      <c r="S48" s="920"/>
      <c r="T48" s="920"/>
      <c r="U48" s="920"/>
      <c r="V48" s="920"/>
      <c r="W48" s="955"/>
      <c r="X48" s="920"/>
      <c r="Y48" s="956"/>
      <c r="Z48" s="957"/>
      <c r="AA48" s="956"/>
      <c r="AB48" s="957"/>
      <c r="AC48" s="956"/>
      <c r="AD48" s="957"/>
      <c r="AE48" s="958"/>
      <c r="AF48" s="920"/>
    </row>
    <row r="49" spans="1:32" hidden="1" outlineLevel="1" x14ac:dyDescent="0.2">
      <c r="A49" s="918">
        <v>11</v>
      </c>
      <c r="B49" s="919" t="s">
        <v>1924</v>
      </c>
      <c r="C49" s="918" t="s">
        <v>299</v>
      </c>
      <c r="D49" s="918" t="s">
        <v>299</v>
      </c>
      <c r="E49" s="918" t="s">
        <v>299</v>
      </c>
      <c r="F49" s="918" t="s">
        <v>299</v>
      </c>
      <c r="G49" s="918" t="s">
        <v>299</v>
      </c>
      <c r="H49" s="918" t="s">
        <v>299</v>
      </c>
      <c r="I49" s="918" t="s">
        <v>299</v>
      </c>
      <c r="J49" s="918" t="s">
        <v>1092</v>
      </c>
      <c r="K49" s="918"/>
      <c r="L49" s="918"/>
      <c r="M49" s="918"/>
      <c r="N49" s="918"/>
      <c r="O49" s="918"/>
      <c r="P49" s="918"/>
      <c r="Q49" s="918"/>
      <c r="R49" s="918"/>
      <c r="S49" s="918"/>
      <c r="T49" s="918"/>
      <c r="U49" s="918"/>
      <c r="V49" s="918"/>
      <c r="W49" s="951"/>
      <c r="X49" s="918"/>
      <c r="Y49" s="952"/>
      <c r="Z49" s="953"/>
      <c r="AA49" s="952"/>
      <c r="AB49" s="953"/>
      <c r="AC49" s="952"/>
      <c r="AD49" s="953"/>
      <c r="AE49" s="954"/>
      <c r="AF49" s="918"/>
    </row>
    <row r="50" spans="1:32" hidden="1" outlineLevel="1" x14ac:dyDescent="0.2">
      <c r="A50" s="920">
        <v>12</v>
      </c>
      <c r="B50" s="921" t="s">
        <v>1925</v>
      </c>
      <c r="C50" s="920" t="s">
        <v>299</v>
      </c>
      <c r="D50" s="920" t="s">
        <v>299</v>
      </c>
      <c r="E50" s="920" t="s">
        <v>299</v>
      </c>
      <c r="F50" s="920" t="s">
        <v>299</v>
      </c>
      <c r="G50" s="920" t="s">
        <v>299</v>
      </c>
      <c r="H50" s="920" t="s">
        <v>299</v>
      </c>
      <c r="I50" s="920" t="s">
        <v>299</v>
      </c>
      <c r="J50" s="920" t="s">
        <v>1092</v>
      </c>
      <c r="K50" s="920"/>
      <c r="L50" s="920"/>
      <c r="M50" s="920"/>
      <c r="N50" s="920"/>
      <c r="O50" s="920"/>
      <c r="P50" s="920"/>
      <c r="Q50" s="920"/>
      <c r="R50" s="920"/>
      <c r="S50" s="920"/>
      <c r="T50" s="920"/>
      <c r="U50" s="920"/>
      <c r="V50" s="920"/>
      <c r="W50" s="955"/>
      <c r="X50" s="920"/>
      <c r="Y50" s="956"/>
      <c r="Z50" s="957"/>
      <c r="AA50" s="956"/>
      <c r="AB50" s="957"/>
      <c r="AC50" s="956"/>
      <c r="AD50" s="957"/>
      <c r="AE50" s="958"/>
      <c r="AF50" s="920"/>
    </row>
    <row r="51" spans="1:32" hidden="1" outlineLevel="1" x14ac:dyDescent="0.2">
      <c r="A51" s="918">
        <v>13</v>
      </c>
      <c r="B51" s="919" t="s">
        <v>1926</v>
      </c>
      <c r="C51" s="918" t="s">
        <v>299</v>
      </c>
      <c r="D51" s="918" t="s">
        <v>299</v>
      </c>
      <c r="E51" s="918" t="s">
        <v>299</v>
      </c>
      <c r="F51" s="918" t="s">
        <v>299</v>
      </c>
      <c r="G51" s="918" t="s">
        <v>299</v>
      </c>
      <c r="H51" s="918" t="s">
        <v>299</v>
      </c>
      <c r="I51" s="918" t="s">
        <v>299</v>
      </c>
      <c r="J51" s="918" t="s">
        <v>1092</v>
      </c>
      <c r="K51" s="918"/>
      <c r="L51" s="918"/>
      <c r="M51" s="918"/>
      <c r="N51" s="918"/>
      <c r="O51" s="918"/>
      <c r="P51" s="918"/>
      <c r="Q51" s="918"/>
      <c r="R51" s="918"/>
      <c r="S51" s="918"/>
      <c r="T51" s="918"/>
      <c r="U51" s="918"/>
      <c r="V51" s="918"/>
      <c r="W51" s="951"/>
      <c r="X51" s="918"/>
      <c r="Y51" s="952"/>
      <c r="Z51" s="953"/>
      <c r="AA51" s="952"/>
      <c r="AB51" s="953"/>
      <c r="AC51" s="952"/>
      <c r="AD51" s="953"/>
      <c r="AE51" s="954"/>
      <c r="AF51" s="918"/>
    </row>
    <row r="52" spans="1:32" hidden="1" outlineLevel="1" x14ac:dyDescent="0.2">
      <c r="A52" s="920">
        <v>14</v>
      </c>
      <c r="B52" s="921" t="s">
        <v>1927</v>
      </c>
      <c r="C52" s="920" t="s">
        <v>299</v>
      </c>
      <c r="D52" s="920" t="s">
        <v>299</v>
      </c>
      <c r="E52" s="920" t="s">
        <v>299</v>
      </c>
      <c r="F52" s="920" t="s">
        <v>299</v>
      </c>
      <c r="G52" s="920" t="s">
        <v>299</v>
      </c>
      <c r="H52" s="920" t="s">
        <v>299</v>
      </c>
      <c r="I52" s="920" t="s">
        <v>299</v>
      </c>
      <c r="J52" s="920" t="s">
        <v>1092</v>
      </c>
      <c r="K52" s="920"/>
      <c r="L52" s="920"/>
      <c r="M52" s="920"/>
      <c r="N52" s="920"/>
      <c r="O52" s="920"/>
      <c r="P52" s="920"/>
      <c r="Q52" s="920"/>
      <c r="R52" s="920"/>
      <c r="S52" s="920"/>
      <c r="T52" s="920"/>
      <c r="U52" s="920"/>
      <c r="V52" s="920"/>
      <c r="W52" s="955"/>
      <c r="X52" s="920"/>
      <c r="Y52" s="956"/>
      <c r="Z52" s="957"/>
      <c r="AA52" s="956"/>
      <c r="AB52" s="957"/>
      <c r="AC52" s="956"/>
      <c r="AD52" s="957"/>
      <c r="AE52" s="958"/>
      <c r="AF52" s="920"/>
    </row>
    <row r="53" spans="1:32" hidden="1" outlineLevel="1" x14ac:dyDescent="0.2">
      <c r="A53" s="918">
        <v>15</v>
      </c>
      <c r="B53" s="919" t="s">
        <v>1928</v>
      </c>
      <c r="C53" s="918" t="s">
        <v>299</v>
      </c>
      <c r="D53" s="918" t="s">
        <v>299</v>
      </c>
      <c r="E53" s="918" t="s">
        <v>299</v>
      </c>
      <c r="F53" s="918" t="s">
        <v>299</v>
      </c>
      <c r="G53" s="918" t="s">
        <v>299</v>
      </c>
      <c r="H53" s="918" t="s">
        <v>299</v>
      </c>
      <c r="I53" s="918" t="s">
        <v>299</v>
      </c>
      <c r="J53" s="918" t="s">
        <v>1092</v>
      </c>
      <c r="K53" s="918"/>
      <c r="L53" s="918"/>
      <c r="M53" s="918"/>
      <c r="N53" s="918"/>
      <c r="O53" s="918"/>
      <c r="P53" s="918"/>
      <c r="Q53" s="918"/>
      <c r="R53" s="918"/>
      <c r="S53" s="918"/>
      <c r="T53" s="918"/>
      <c r="U53" s="918"/>
      <c r="V53" s="918"/>
      <c r="W53" s="951"/>
      <c r="X53" s="918"/>
      <c r="Y53" s="952"/>
      <c r="Z53" s="953"/>
      <c r="AA53" s="952"/>
      <c r="AB53" s="953"/>
      <c r="AC53" s="952"/>
      <c r="AD53" s="953"/>
      <c r="AE53" s="954"/>
      <c r="AF53" s="918"/>
    </row>
    <row r="54" spans="1:32" hidden="1" outlineLevel="1" x14ac:dyDescent="0.2">
      <c r="A54" s="920">
        <v>16</v>
      </c>
      <c r="B54" s="921" t="s">
        <v>1929</v>
      </c>
      <c r="C54" s="920" t="s">
        <v>299</v>
      </c>
      <c r="D54" s="920" t="s">
        <v>299</v>
      </c>
      <c r="E54" s="920" t="s">
        <v>299</v>
      </c>
      <c r="F54" s="920" t="s">
        <v>299</v>
      </c>
      <c r="G54" s="920" t="s">
        <v>299</v>
      </c>
      <c r="H54" s="920" t="s">
        <v>299</v>
      </c>
      <c r="I54" s="920" t="s">
        <v>299</v>
      </c>
      <c r="J54" s="920" t="s">
        <v>1092</v>
      </c>
      <c r="K54" s="920"/>
      <c r="L54" s="920"/>
      <c r="M54" s="920"/>
      <c r="N54" s="920"/>
      <c r="O54" s="920"/>
      <c r="P54" s="920"/>
      <c r="Q54" s="920"/>
      <c r="R54" s="920"/>
      <c r="S54" s="920"/>
      <c r="T54" s="920"/>
      <c r="U54" s="920"/>
      <c r="V54" s="920"/>
      <c r="W54" s="955"/>
      <c r="X54" s="920"/>
      <c r="Y54" s="956"/>
      <c r="Z54" s="957"/>
      <c r="AA54" s="956"/>
      <c r="AB54" s="957"/>
      <c r="AC54" s="956"/>
      <c r="AD54" s="957"/>
      <c r="AE54" s="958"/>
      <c r="AF54" s="920"/>
    </row>
    <row r="55" spans="1:32" hidden="1" outlineLevel="1" x14ac:dyDescent="0.2">
      <c r="A55" s="918">
        <v>17</v>
      </c>
      <c r="B55" s="919" t="s">
        <v>1930</v>
      </c>
      <c r="C55" s="918" t="s">
        <v>299</v>
      </c>
      <c r="D55" s="918" t="s">
        <v>299</v>
      </c>
      <c r="E55" s="918" t="s">
        <v>299</v>
      </c>
      <c r="F55" s="918" t="s">
        <v>299</v>
      </c>
      <c r="G55" s="918" t="s">
        <v>299</v>
      </c>
      <c r="H55" s="918" t="s">
        <v>299</v>
      </c>
      <c r="I55" s="918" t="s">
        <v>299</v>
      </c>
      <c r="J55" s="918" t="s">
        <v>1092</v>
      </c>
      <c r="K55" s="918"/>
      <c r="L55" s="918"/>
      <c r="M55" s="918"/>
      <c r="N55" s="918"/>
      <c r="O55" s="918"/>
      <c r="P55" s="918"/>
      <c r="Q55" s="918"/>
      <c r="R55" s="918"/>
      <c r="S55" s="918"/>
      <c r="T55" s="918"/>
      <c r="U55" s="918"/>
      <c r="V55" s="918"/>
      <c r="W55" s="951"/>
      <c r="X55" s="918"/>
      <c r="Y55" s="952"/>
      <c r="Z55" s="953"/>
      <c r="AA55" s="952"/>
      <c r="AB55" s="953"/>
      <c r="AC55" s="952"/>
      <c r="AD55" s="953"/>
      <c r="AE55" s="954"/>
      <c r="AF55" s="918"/>
    </row>
    <row r="56" spans="1:32" hidden="1" outlineLevel="1" x14ac:dyDescent="0.2">
      <c r="A56" s="920">
        <v>18</v>
      </c>
      <c r="B56" s="921" t="s">
        <v>1931</v>
      </c>
      <c r="C56" s="920" t="s">
        <v>299</v>
      </c>
      <c r="D56" s="920" t="s">
        <v>299</v>
      </c>
      <c r="E56" s="920" t="s">
        <v>299</v>
      </c>
      <c r="F56" s="920" t="s">
        <v>299</v>
      </c>
      <c r="G56" s="920" t="s">
        <v>299</v>
      </c>
      <c r="H56" s="920" t="s">
        <v>299</v>
      </c>
      <c r="I56" s="920" t="s">
        <v>299</v>
      </c>
      <c r="J56" s="920" t="s">
        <v>1092</v>
      </c>
      <c r="K56" s="920"/>
      <c r="L56" s="920"/>
      <c r="M56" s="920"/>
      <c r="N56" s="920"/>
      <c r="O56" s="920"/>
      <c r="P56" s="920"/>
      <c r="Q56" s="920"/>
      <c r="R56" s="920"/>
      <c r="S56" s="920"/>
      <c r="T56" s="920"/>
      <c r="U56" s="920"/>
      <c r="V56" s="920"/>
      <c r="W56" s="955"/>
      <c r="X56" s="920"/>
      <c r="Y56" s="956"/>
      <c r="Z56" s="957"/>
      <c r="AA56" s="956"/>
      <c r="AB56" s="957"/>
      <c r="AC56" s="956"/>
      <c r="AD56" s="957"/>
      <c r="AE56" s="958"/>
      <c r="AF56" s="920"/>
    </row>
    <row r="57" spans="1:32" s="917" customFormat="1" collapsed="1" x14ac:dyDescent="0.2">
      <c r="A57" s="915">
        <v>7</v>
      </c>
      <c r="B57" s="916" t="s">
        <v>2185</v>
      </c>
      <c r="C57" s="915" t="s">
        <v>1884</v>
      </c>
      <c r="D57" s="915" t="s">
        <v>1884</v>
      </c>
      <c r="E57" s="915" t="s">
        <v>1884</v>
      </c>
      <c r="F57" s="915" t="s">
        <v>1884</v>
      </c>
      <c r="G57" s="915" t="s">
        <v>1884</v>
      </c>
      <c r="H57" s="915" t="s">
        <v>1092</v>
      </c>
      <c r="I57" s="915" t="s">
        <v>1092</v>
      </c>
      <c r="J57" s="915" t="s">
        <v>1092</v>
      </c>
      <c r="K57" s="915"/>
      <c r="L57" s="915" t="s">
        <v>299</v>
      </c>
      <c r="M57" s="947" t="s">
        <v>1884</v>
      </c>
      <c r="N57" s="947" t="s">
        <v>1884</v>
      </c>
      <c r="O57" s="915" t="s">
        <v>1092</v>
      </c>
      <c r="P57" s="915" t="s">
        <v>1092</v>
      </c>
      <c r="Q57" s="915" t="s">
        <v>1092</v>
      </c>
      <c r="R57" s="947" t="s">
        <v>1884</v>
      </c>
      <c r="S57" s="915" t="s">
        <v>299</v>
      </c>
      <c r="T57" s="915" t="s">
        <v>299</v>
      </c>
      <c r="U57" s="915" t="s">
        <v>299</v>
      </c>
      <c r="V57" s="915" t="s">
        <v>1092</v>
      </c>
      <c r="W57" s="947" t="s">
        <v>1092</v>
      </c>
      <c r="X57" s="915" t="s">
        <v>1092</v>
      </c>
      <c r="Y57" s="948"/>
      <c r="Z57" s="949"/>
      <c r="AA57" s="948"/>
      <c r="AB57" s="949"/>
      <c r="AC57" s="948"/>
      <c r="AD57" s="949"/>
      <c r="AE57" s="950"/>
      <c r="AF57" s="915"/>
    </row>
    <row r="58" spans="1:32" ht="48" hidden="1" outlineLevel="1" x14ac:dyDescent="0.2">
      <c r="A58" s="920">
        <v>1</v>
      </c>
      <c r="B58" s="1038" t="s">
        <v>2186</v>
      </c>
      <c r="C58" s="920" t="s">
        <v>299</v>
      </c>
      <c r="D58" s="920" t="s">
        <v>299</v>
      </c>
      <c r="E58" s="920" t="s">
        <v>299</v>
      </c>
      <c r="F58" s="920" t="s">
        <v>299</v>
      </c>
      <c r="G58" s="920" t="s">
        <v>299</v>
      </c>
      <c r="H58" s="920" t="s">
        <v>1092</v>
      </c>
      <c r="I58" s="920" t="s">
        <v>299</v>
      </c>
      <c r="J58" s="920" t="s">
        <v>299</v>
      </c>
      <c r="K58" s="920"/>
      <c r="L58" s="920"/>
      <c r="M58" s="920"/>
      <c r="N58" s="920"/>
      <c r="O58" s="920"/>
      <c r="P58" s="920"/>
      <c r="Q58" s="920"/>
      <c r="R58" s="920"/>
      <c r="S58" s="920"/>
      <c r="T58" s="920"/>
      <c r="U58" s="920"/>
      <c r="V58" s="920"/>
      <c r="W58" s="955"/>
      <c r="X58" s="920"/>
      <c r="Y58" s="956"/>
      <c r="Z58" s="957"/>
      <c r="AA58" s="956"/>
      <c r="AB58" s="957"/>
      <c r="AC58" s="956"/>
      <c r="AD58" s="957"/>
      <c r="AE58" s="958"/>
      <c r="AF58" s="920"/>
    </row>
    <row r="59" spans="1:32" hidden="1" outlineLevel="1" x14ac:dyDescent="0.2">
      <c r="A59" s="918">
        <v>2</v>
      </c>
      <c r="B59" s="1039" t="s">
        <v>2187</v>
      </c>
      <c r="C59" s="918" t="s">
        <v>299</v>
      </c>
      <c r="D59" s="918" t="s">
        <v>299</v>
      </c>
      <c r="E59" s="918" t="s">
        <v>299</v>
      </c>
      <c r="F59" s="918" t="s">
        <v>299</v>
      </c>
      <c r="G59" s="918" t="s">
        <v>299</v>
      </c>
      <c r="H59" s="918" t="s">
        <v>1092</v>
      </c>
      <c r="I59" s="918" t="s">
        <v>299</v>
      </c>
      <c r="J59" s="918" t="s">
        <v>299</v>
      </c>
      <c r="K59" s="918"/>
      <c r="L59" s="918"/>
      <c r="M59" s="918"/>
      <c r="N59" s="918"/>
      <c r="O59" s="918"/>
      <c r="P59" s="918"/>
      <c r="Q59" s="918"/>
      <c r="R59" s="918"/>
      <c r="S59" s="918"/>
      <c r="T59" s="918"/>
      <c r="U59" s="918"/>
      <c r="V59" s="918"/>
      <c r="W59" s="951"/>
      <c r="X59" s="918"/>
      <c r="Y59" s="952"/>
      <c r="Z59" s="953"/>
      <c r="AA59" s="952"/>
      <c r="AB59" s="953"/>
      <c r="AC59" s="952"/>
      <c r="AD59" s="953"/>
      <c r="AE59" s="954"/>
      <c r="AF59" s="918"/>
    </row>
    <row r="60" spans="1:32" ht="24" hidden="1" outlineLevel="1" x14ac:dyDescent="0.2">
      <c r="A60" s="920">
        <v>3</v>
      </c>
      <c r="B60" s="1038" t="s">
        <v>2188</v>
      </c>
      <c r="C60" s="920" t="s">
        <v>299</v>
      </c>
      <c r="D60" s="920" t="s">
        <v>299</v>
      </c>
      <c r="E60" s="920" t="s">
        <v>299</v>
      </c>
      <c r="F60" s="920" t="s">
        <v>299</v>
      </c>
      <c r="G60" s="920" t="s">
        <v>299</v>
      </c>
      <c r="H60" s="920" t="s">
        <v>1092</v>
      </c>
      <c r="I60" s="920" t="s">
        <v>299</v>
      </c>
      <c r="J60" s="920" t="s">
        <v>299</v>
      </c>
      <c r="K60" s="920"/>
      <c r="L60" s="920"/>
      <c r="M60" s="920"/>
      <c r="N60" s="920"/>
      <c r="O60" s="920"/>
      <c r="P60" s="920"/>
      <c r="Q60" s="920"/>
      <c r="R60" s="920"/>
      <c r="S60" s="920"/>
      <c r="T60" s="920"/>
      <c r="U60" s="920"/>
      <c r="V60" s="920"/>
      <c r="W60" s="955"/>
      <c r="X60" s="920"/>
      <c r="Y60" s="956"/>
      <c r="Z60" s="957"/>
      <c r="AA60" s="956"/>
      <c r="AB60" s="957"/>
      <c r="AC60" s="956"/>
      <c r="AD60" s="957"/>
      <c r="AE60" s="958"/>
      <c r="AF60" s="920"/>
    </row>
    <row r="61" spans="1:32" ht="36" hidden="1" outlineLevel="1" x14ac:dyDescent="0.2">
      <c r="A61" s="918">
        <v>4</v>
      </c>
      <c r="B61" s="1039" t="s">
        <v>2189</v>
      </c>
      <c r="C61" s="918" t="s">
        <v>299</v>
      </c>
      <c r="D61" s="918" t="s">
        <v>299</v>
      </c>
      <c r="E61" s="918" t="s">
        <v>299</v>
      </c>
      <c r="F61" s="918" t="s">
        <v>299</v>
      </c>
      <c r="G61" s="918" t="s">
        <v>299</v>
      </c>
      <c r="H61" s="918" t="s">
        <v>1092</v>
      </c>
      <c r="I61" s="918" t="s">
        <v>299</v>
      </c>
      <c r="J61" s="918" t="s">
        <v>299</v>
      </c>
      <c r="K61" s="918"/>
      <c r="L61" s="918"/>
      <c r="M61" s="918"/>
      <c r="N61" s="918"/>
      <c r="O61" s="918"/>
      <c r="P61" s="918"/>
      <c r="Q61" s="918"/>
      <c r="R61" s="918"/>
      <c r="S61" s="918"/>
      <c r="T61" s="918"/>
      <c r="U61" s="918"/>
      <c r="V61" s="918"/>
      <c r="W61" s="951"/>
      <c r="X61" s="918"/>
      <c r="Y61" s="952"/>
      <c r="Z61" s="953"/>
      <c r="AA61" s="952"/>
      <c r="AB61" s="953"/>
      <c r="AC61" s="952"/>
      <c r="AD61" s="953"/>
      <c r="AE61" s="954"/>
      <c r="AF61" s="918"/>
    </row>
    <row r="62" spans="1:32" ht="24" hidden="1" outlineLevel="1" x14ac:dyDescent="0.2">
      <c r="A62" s="920">
        <v>5</v>
      </c>
      <c r="B62" s="1038" t="s">
        <v>2190</v>
      </c>
      <c r="C62" s="920" t="s">
        <v>299</v>
      </c>
      <c r="D62" s="920" t="s">
        <v>299</v>
      </c>
      <c r="E62" s="920" t="s">
        <v>299</v>
      </c>
      <c r="F62" s="920" t="s">
        <v>1092</v>
      </c>
      <c r="G62" s="920" t="s">
        <v>1092</v>
      </c>
      <c r="H62" s="920" t="s">
        <v>1092</v>
      </c>
      <c r="I62" s="920" t="s">
        <v>1092</v>
      </c>
      <c r="J62" s="920" t="s">
        <v>1092</v>
      </c>
      <c r="K62" s="920"/>
      <c r="L62" s="920"/>
      <c r="M62" s="920"/>
      <c r="N62" s="920"/>
      <c r="O62" s="920"/>
      <c r="P62" s="920"/>
      <c r="Q62" s="920"/>
      <c r="R62" s="920"/>
      <c r="S62" s="920"/>
      <c r="T62" s="920"/>
      <c r="U62" s="920"/>
      <c r="V62" s="920"/>
      <c r="W62" s="955"/>
      <c r="X62" s="920"/>
      <c r="Y62" s="956"/>
      <c r="Z62" s="957"/>
      <c r="AA62" s="956"/>
      <c r="AB62" s="957"/>
      <c r="AC62" s="956"/>
      <c r="AD62" s="957"/>
      <c r="AE62" s="958"/>
      <c r="AF62" s="920"/>
    </row>
    <row r="63" spans="1:32" ht="24" hidden="1" outlineLevel="1" x14ac:dyDescent="0.2">
      <c r="A63" s="918">
        <v>6</v>
      </c>
      <c r="B63" s="1039" t="s">
        <v>2191</v>
      </c>
      <c r="C63" s="918" t="s">
        <v>299</v>
      </c>
      <c r="D63" s="918" t="s">
        <v>299</v>
      </c>
      <c r="E63" s="918" t="s">
        <v>299</v>
      </c>
      <c r="F63" s="918" t="s">
        <v>299</v>
      </c>
      <c r="G63" s="918" t="s">
        <v>299</v>
      </c>
      <c r="H63" s="918" t="s">
        <v>1092</v>
      </c>
      <c r="I63" s="918" t="s">
        <v>299</v>
      </c>
      <c r="J63" s="918" t="s">
        <v>299</v>
      </c>
      <c r="K63" s="918"/>
      <c r="L63" s="918"/>
      <c r="M63" s="918"/>
      <c r="N63" s="918"/>
      <c r="O63" s="918"/>
      <c r="P63" s="918"/>
      <c r="Q63" s="918"/>
      <c r="R63" s="918"/>
      <c r="S63" s="918"/>
      <c r="T63" s="918"/>
      <c r="U63" s="918"/>
      <c r="V63" s="918"/>
      <c r="W63" s="951"/>
      <c r="X63" s="918"/>
      <c r="Y63" s="952"/>
      <c r="Z63" s="953"/>
      <c r="AA63" s="952"/>
      <c r="AB63" s="953"/>
      <c r="AC63" s="952"/>
      <c r="AD63" s="953"/>
      <c r="AE63" s="954"/>
      <c r="AF63" s="918"/>
    </row>
    <row r="64" spans="1:32" hidden="1" outlineLevel="1" x14ac:dyDescent="0.2">
      <c r="A64" s="920">
        <v>7</v>
      </c>
      <c r="B64" s="1038" t="s">
        <v>2192</v>
      </c>
      <c r="C64" s="920" t="s">
        <v>299</v>
      </c>
      <c r="D64" s="920" t="s">
        <v>299</v>
      </c>
      <c r="E64" s="920" t="s">
        <v>299</v>
      </c>
      <c r="F64" s="920" t="s">
        <v>1092</v>
      </c>
      <c r="G64" s="920" t="s">
        <v>1092</v>
      </c>
      <c r="H64" s="920" t="s">
        <v>1092</v>
      </c>
      <c r="I64" s="920" t="s">
        <v>1092</v>
      </c>
      <c r="J64" s="920" t="s">
        <v>1092</v>
      </c>
      <c r="K64" s="920"/>
      <c r="L64" s="920"/>
      <c r="M64" s="920"/>
      <c r="N64" s="920"/>
      <c r="O64" s="920"/>
      <c r="P64" s="920"/>
      <c r="Q64" s="920"/>
      <c r="R64" s="920"/>
      <c r="S64" s="920"/>
      <c r="T64" s="920"/>
      <c r="U64" s="920"/>
      <c r="V64" s="920"/>
      <c r="W64" s="955"/>
      <c r="X64" s="920"/>
      <c r="Y64" s="956"/>
      <c r="Z64" s="957"/>
      <c r="AA64" s="956"/>
      <c r="AB64" s="957"/>
      <c r="AC64" s="956"/>
      <c r="AD64" s="957"/>
      <c r="AE64" s="958"/>
      <c r="AF64" s="920"/>
    </row>
    <row r="65" spans="1:32" ht="24" hidden="1" outlineLevel="1" x14ac:dyDescent="0.2">
      <c r="A65" s="918">
        <v>8</v>
      </c>
      <c r="B65" s="1039" t="s">
        <v>2193</v>
      </c>
      <c r="C65" s="918" t="s">
        <v>299</v>
      </c>
      <c r="D65" s="918" t="s">
        <v>299</v>
      </c>
      <c r="E65" s="918" t="s">
        <v>299</v>
      </c>
      <c r="F65" s="918" t="s">
        <v>1092</v>
      </c>
      <c r="G65" s="918" t="s">
        <v>1092</v>
      </c>
      <c r="H65" s="918" t="s">
        <v>1092</v>
      </c>
      <c r="I65" s="918" t="s">
        <v>1092</v>
      </c>
      <c r="J65" s="918" t="s">
        <v>1092</v>
      </c>
      <c r="K65" s="918"/>
      <c r="L65" s="918"/>
      <c r="M65" s="918"/>
      <c r="N65" s="918"/>
      <c r="O65" s="918"/>
      <c r="P65" s="918"/>
      <c r="Q65" s="918"/>
      <c r="R65" s="918"/>
      <c r="S65" s="918"/>
      <c r="T65" s="918"/>
      <c r="U65" s="918"/>
      <c r="V65" s="918"/>
      <c r="W65" s="951"/>
      <c r="X65" s="918"/>
      <c r="Y65" s="952"/>
      <c r="Z65" s="953"/>
      <c r="AA65" s="952"/>
      <c r="AB65" s="953"/>
      <c r="AC65" s="952"/>
      <c r="AD65" s="953"/>
      <c r="AE65" s="954"/>
      <c r="AF65" s="918"/>
    </row>
    <row r="66" spans="1:32" ht="36" hidden="1" outlineLevel="1" x14ac:dyDescent="0.2">
      <c r="A66" s="920">
        <v>9</v>
      </c>
      <c r="B66" s="1038" t="s">
        <v>1932</v>
      </c>
      <c r="C66" s="920" t="s">
        <v>299</v>
      </c>
      <c r="D66" s="920" t="s">
        <v>299</v>
      </c>
      <c r="E66" s="920" t="s">
        <v>299</v>
      </c>
      <c r="F66" s="920" t="s">
        <v>1092</v>
      </c>
      <c r="G66" s="920" t="s">
        <v>1092</v>
      </c>
      <c r="H66" s="920" t="s">
        <v>1092</v>
      </c>
      <c r="I66" s="920" t="s">
        <v>1092</v>
      </c>
      <c r="J66" s="920" t="s">
        <v>1092</v>
      </c>
      <c r="K66" s="920"/>
      <c r="L66" s="920"/>
      <c r="M66" s="920"/>
      <c r="N66" s="920"/>
      <c r="O66" s="920"/>
      <c r="P66" s="920"/>
      <c r="Q66" s="920"/>
      <c r="R66" s="920"/>
      <c r="S66" s="920"/>
      <c r="T66" s="920"/>
      <c r="U66" s="920"/>
      <c r="V66" s="920"/>
      <c r="W66" s="955"/>
      <c r="X66" s="920"/>
      <c r="Y66" s="956"/>
      <c r="Z66" s="957"/>
      <c r="AA66" s="956"/>
      <c r="AB66" s="957"/>
      <c r="AC66" s="956"/>
      <c r="AD66" s="957"/>
      <c r="AE66" s="958"/>
      <c r="AF66" s="920"/>
    </row>
    <row r="67" spans="1:32" ht="36" hidden="1" outlineLevel="1" x14ac:dyDescent="0.2">
      <c r="A67" s="918">
        <v>10</v>
      </c>
      <c r="B67" s="1039" t="s">
        <v>1933</v>
      </c>
      <c r="C67" s="918" t="s">
        <v>299</v>
      </c>
      <c r="D67" s="918" t="s">
        <v>299</v>
      </c>
      <c r="E67" s="918" t="s">
        <v>299</v>
      </c>
      <c r="F67" s="918" t="s">
        <v>1092</v>
      </c>
      <c r="G67" s="918" t="s">
        <v>1092</v>
      </c>
      <c r="H67" s="918" t="s">
        <v>1092</v>
      </c>
      <c r="I67" s="918" t="s">
        <v>1092</v>
      </c>
      <c r="J67" s="918" t="s">
        <v>1092</v>
      </c>
      <c r="K67" s="918"/>
      <c r="L67" s="918"/>
      <c r="M67" s="918"/>
      <c r="N67" s="918"/>
      <c r="O67" s="918"/>
      <c r="P67" s="918"/>
      <c r="Q67" s="918"/>
      <c r="R67" s="918"/>
      <c r="S67" s="918"/>
      <c r="T67" s="918"/>
      <c r="U67" s="918"/>
      <c r="V67" s="918"/>
      <c r="W67" s="951"/>
      <c r="X67" s="918"/>
      <c r="Y67" s="952"/>
      <c r="Z67" s="953"/>
      <c r="AA67" s="952"/>
      <c r="AB67" s="953"/>
      <c r="AC67" s="952"/>
      <c r="AD67" s="953"/>
      <c r="AE67" s="954"/>
      <c r="AF67" s="918"/>
    </row>
    <row r="68" spans="1:32" ht="24" hidden="1" outlineLevel="1" x14ac:dyDescent="0.2">
      <c r="A68" s="920">
        <v>11</v>
      </c>
      <c r="B68" s="1038" t="s">
        <v>2194</v>
      </c>
      <c r="C68" s="920" t="s">
        <v>299</v>
      </c>
      <c r="D68" s="920" t="s">
        <v>299</v>
      </c>
      <c r="E68" s="920" t="s">
        <v>299</v>
      </c>
      <c r="F68" s="920" t="s">
        <v>1092</v>
      </c>
      <c r="G68" s="920" t="s">
        <v>1092</v>
      </c>
      <c r="H68" s="920" t="s">
        <v>1092</v>
      </c>
      <c r="I68" s="920" t="s">
        <v>1092</v>
      </c>
      <c r="J68" s="920" t="s">
        <v>1092</v>
      </c>
      <c r="K68" s="920"/>
      <c r="L68" s="920"/>
      <c r="M68" s="920"/>
      <c r="N68" s="920"/>
      <c r="O68" s="920"/>
      <c r="P68" s="920"/>
      <c r="Q68" s="920"/>
      <c r="R68" s="920"/>
      <c r="S68" s="920"/>
      <c r="T68" s="920"/>
      <c r="U68" s="920"/>
      <c r="V68" s="920"/>
      <c r="W68" s="955"/>
      <c r="X68" s="920"/>
      <c r="Y68" s="956"/>
      <c r="Z68" s="957"/>
      <c r="AA68" s="956"/>
      <c r="AB68" s="957"/>
      <c r="AC68" s="956"/>
      <c r="AD68" s="957"/>
      <c r="AE68" s="958"/>
      <c r="AF68" s="920"/>
    </row>
    <row r="69" spans="1:32" ht="48" hidden="1" outlineLevel="1" x14ac:dyDescent="0.2">
      <c r="A69" s="918">
        <v>12</v>
      </c>
      <c r="B69" s="1039" t="s">
        <v>1934</v>
      </c>
      <c r="C69" s="918" t="s">
        <v>299</v>
      </c>
      <c r="D69" s="918" t="s">
        <v>299</v>
      </c>
      <c r="E69" s="918" t="s">
        <v>299</v>
      </c>
      <c r="F69" s="918" t="s">
        <v>1092</v>
      </c>
      <c r="G69" s="918" t="s">
        <v>1092</v>
      </c>
      <c r="H69" s="918" t="s">
        <v>1092</v>
      </c>
      <c r="I69" s="918" t="s">
        <v>1092</v>
      </c>
      <c r="J69" s="918" t="s">
        <v>1092</v>
      </c>
      <c r="K69" s="918"/>
      <c r="L69" s="918"/>
      <c r="M69" s="918"/>
      <c r="N69" s="918"/>
      <c r="O69" s="918"/>
      <c r="P69" s="918"/>
      <c r="Q69" s="918"/>
      <c r="R69" s="918"/>
      <c r="S69" s="918"/>
      <c r="T69" s="918"/>
      <c r="U69" s="918"/>
      <c r="V69" s="918"/>
      <c r="W69" s="951"/>
      <c r="X69" s="918"/>
      <c r="Y69" s="952"/>
      <c r="Z69" s="953"/>
      <c r="AA69" s="952"/>
      <c r="AB69" s="953"/>
      <c r="AC69" s="952"/>
      <c r="AD69" s="953"/>
      <c r="AE69" s="954"/>
      <c r="AF69" s="918"/>
    </row>
    <row r="70" spans="1:32" ht="48" hidden="1" outlineLevel="1" x14ac:dyDescent="0.2">
      <c r="A70" s="920">
        <v>13</v>
      </c>
      <c r="B70" s="1038" t="s">
        <v>2195</v>
      </c>
      <c r="C70" s="920" t="s">
        <v>299</v>
      </c>
      <c r="D70" s="920" t="s">
        <v>299</v>
      </c>
      <c r="E70" s="920" t="s">
        <v>299</v>
      </c>
      <c r="F70" s="920" t="s">
        <v>1092</v>
      </c>
      <c r="G70" s="920" t="s">
        <v>1092</v>
      </c>
      <c r="H70" s="920" t="s">
        <v>1092</v>
      </c>
      <c r="I70" s="920" t="s">
        <v>1092</v>
      </c>
      <c r="J70" s="920" t="s">
        <v>1092</v>
      </c>
      <c r="K70" s="920"/>
      <c r="L70" s="920"/>
      <c r="M70" s="920"/>
      <c r="N70" s="920"/>
      <c r="O70" s="920"/>
      <c r="P70" s="920"/>
      <c r="Q70" s="920"/>
      <c r="R70" s="920"/>
      <c r="S70" s="920"/>
      <c r="T70" s="920"/>
      <c r="U70" s="920"/>
      <c r="V70" s="920"/>
      <c r="W70" s="955"/>
      <c r="X70" s="920"/>
      <c r="Y70" s="956"/>
      <c r="Z70" s="957"/>
      <c r="AA70" s="956"/>
      <c r="AB70" s="957"/>
      <c r="AC70" s="956"/>
      <c r="AD70" s="957"/>
      <c r="AE70" s="958"/>
      <c r="AF70" s="920"/>
    </row>
    <row r="71" spans="1:32" ht="72" hidden="1" outlineLevel="1" x14ac:dyDescent="0.2">
      <c r="A71" s="918">
        <v>14</v>
      </c>
      <c r="B71" s="1039" t="s">
        <v>1935</v>
      </c>
      <c r="C71" s="918" t="s">
        <v>299</v>
      </c>
      <c r="D71" s="918" t="s">
        <v>299</v>
      </c>
      <c r="E71" s="918" t="s">
        <v>299</v>
      </c>
      <c r="F71" s="918" t="s">
        <v>1092</v>
      </c>
      <c r="G71" s="918" t="s">
        <v>1092</v>
      </c>
      <c r="H71" s="918" t="s">
        <v>1092</v>
      </c>
      <c r="I71" s="918" t="s">
        <v>1092</v>
      </c>
      <c r="J71" s="918" t="s">
        <v>1092</v>
      </c>
      <c r="K71" s="918"/>
      <c r="L71" s="918"/>
      <c r="M71" s="918"/>
      <c r="N71" s="918"/>
      <c r="O71" s="918"/>
      <c r="P71" s="918"/>
      <c r="Q71" s="918"/>
      <c r="R71" s="918"/>
      <c r="S71" s="918"/>
      <c r="T71" s="918"/>
      <c r="U71" s="918"/>
      <c r="V71" s="918"/>
      <c r="W71" s="951"/>
      <c r="X71" s="918"/>
      <c r="Y71" s="952"/>
      <c r="Z71" s="953"/>
      <c r="AA71" s="952"/>
      <c r="AB71" s="953"/>
      <c r="AC71" s="952"/>
      <c r="AD71" s="953"/>
      <c r="AE71" s="954"/>
      <c r="AF71" s="918"/>
    </row>
    <row r="72" spans="1:32" ht="48" hidden="1" outlineLevel="1" x14ac:dyDescent="0.2">
      <c r="A72" s="920">
        <v>15</v>
      </c>
      <c r="B72" s="1038" t="s">
        <v>1936</v>
      </c>
      <c r="C72" s="920" t="s">
        <v>299</v>
      </c>
      <c r="D72" s="920" t="s">
        <v>299</v>
      </c>
      <c r="E72" s="920" t="s">
        <v>299</v>
      </c>
      <c r="F72" s="920" t="s">
        <v>1092</v>
      </c>
      <c r="G72" s="920" t="s">
        <v>1092</v>
      </c>
      <c r="H72" s="920" t="s">
        <v>1092</v>
      </c>
      <c r="I72" s="920" t="s">
        <v>1092</v>
      </c>
      <c r="J72" s="920" t="s">
        <v>1092</v>
      </c>
      <c r="K72" s="920"/>
      <c r="L72" s="920"/>
      <c r="M72" s="920"/>
      <c r="N72" s="920"/>
      <c r="O72" s="920"/>
      <c r="P72" s="920"/>
      <c r="Q72" s="920"/>
      <c r="R72" s="920"/>
      <c r="S72" s="920"/>
      <c r="T72" s="920"/>
      <c r="U72" s="920"/>
      <c r="V72" s="920"/>
      <c r="W72" s="955"/>
      <c r="X72" s="920"/>
      <c r="Y72" s="956"/>
      <c r="Z72" s="957"/>
      <c r="AA72" s="956"/>
      <c r="AB72" s="957"/>
      <c r="AC72" s="956"/>
      <c r="AD72" s="957"/>
      <c r="AE72" s="958"/>
      <c r="AF72" s="920"/>
    </row>
    <row r="73" spans="1:32" ht="36" hidden="1" outlineLevel="1" x14ac:dyDescent="0.2">
      <c r="A73" s="918">
        <v>16</v>
      </c>
      <c r="B73" s="1039" t="s">
        <v>1937</v>
      </c>
      <c r="C73" s="918" t="s">
        <v>299</v>
      </c>
      <c r="D73" s="918" t="s">
        <v>299</v>
      </c>
      <c r="E73" s="918" t="s">
        <v>299</v>
      </c>
      <c r="F73" s="918" t="s">
        <v>1092</v>
      </c>
      <c r="G73" s="918" t="s">
        <v>1092</v>
      </c>
      <c r="H73" s="918" t="s">
        <v>1092</v>
      </c>
      <c r="I73" s="918" t="s">
        <v>1092</v>
      </c>
      <c r="J73" s="918" t="s">
        <v>1092</v>
      </c>
      <c r="K73" s="918"/>
      <c r="L73" s="918"/>
      <c r="M73" s="918"/>
      <c r="N73" s="918"/>
      <c r="O73" s="918"/>
      <c r="P73" s="918"/>
      <c r="Q73" s="918"/>
      <c r="R73" s="918"/>
      <c r="S73" s="918"/>
      <c r="T73" s="918"/>
      <c r="U73" s="918"/>
      <c r="V73" s="918"/>
      <c r="W73" s="951"/>
      <c r="X73" s="918"/>
      <c r="Y73" s="952"/>
      <c r="Z73" s="953"/>
      <c r="AA73" s="952"/>
      <c r="AB73" s="953"/>
      <c r="AC73" s="952"/>
      <c r="AD73" s="953"/>
      <c r="AE73" s="954"/>
      <c r="AF73" s="918"/>
    </row>
    <row r="74" spans="1:32" ht="24" hidden="1" outlineLevel="1" x14ac:dyDescent="0.2">
      <c r="A74" s="920">
        <v>17</v>
      </c>
      <c r="B74" s="1038" t="s">
        <v>2196</v>
      </c>
      <c r="C74" s="920" t="s">
        <v>299</v>
      </c>
      <c r="D74" s="920" t="s">
        <v>299</v>
      </c>
      <c r="E74" s="920" t="s">
        <v>299</v>
      </c>
      <c r="F74" s="920" t="s">
        <v>1092</v>
      </c>
      <c r="G74" s="920" t="s">
        <v>1092</v>
      </c>
      <c r="H74" s="920" t="s">
        <v>1092</v>
      </c>
      <c r="I74" s="920" t="s">
        <v>1092</v>
      </c>
      <c r="J74" s="920" t="s">
        <v>1092</v>
      </c>
      <c r="K74" s="920"/>
      <c r="L74" s="920"/>
      <c r="M74" s="920"/>
      <c r="N74" s="920"/>
      <c r="O74" s="920"/>
      <c r="P74" s="920"/>
      <c r="Q74" s="920"/>
      <c r="R74" s="920"/>
      <c r="S74" s="920"/>
      <c r="T74" s="920"/>
      <c r="U74" s="920"/>
      <c r="V74" s="920"/>
      <c r="W74" s="955"/>
      <c r="X74" s="920"/>
      <c r="Y74" s="956"/>
      <c r="Z74" s="957"/>
      <c r="AA74" s="956"/>
      <c r="AB74" s="957"/>
      <c r="AC74" s="956"/>
      <c r="AD74" s="957"/>
      <c r="AE74" s="958"/>
      <c r="AF74" s="920"/>
    </row>
    <row r="75" spans="1:32" ht="24" hidden="1" outlineLevel="1" x14ac:dyDescent="0.2">
      <c r="A75" s="918">
        <v>18</v>
      </c>
      <c r="B75" s="1039" t="s">
        <v>1938</v>
      </c>
      <c r="C75" s="918" t="s">
        <v>299</v>
      </c>
      <c r="D75" s="918" t="s">
        <v>299</v>
      </c>
      <c r="E75" s="918" t="s">
        <v>299</v>
      </c>
      <c r="F75" s="918" t="s">
        <v>1092</v>
      </c>
      <c r="G75" s="918" t="s">
        <v>1092</v>
      </c>
      <c r="H75" s="918" t="s">
        <v>1092</v>
      </c>
      <c r="I75" s="918" t="s">
        <v>1092</v>
      </c>
      <c r="J75" s="918" t="s">
        <v>1092</v>
      </c>
      <c r="K75" s="918"/>
      <c r="L75" s="918"/>
      <c r="M75" s="918"/>
      <c r="N75" s="918"/>
      <c r="O75" s="918"/>
      <c r="P75" s="918"/>
      <c r="Q75" s="918"/>
      <c r="R75" s="918"/>
      <c r="S75" s="918"/>
      <c r="T75" s="918"/>
      <c r="U75" s="918"/>
      <c r="V75" s="918"/>
      <c r="W75" s="951"/>
      <c r="X75" s="918"/>
      <c r="Y75" s="952"/>
      <c r="Z75" s="953"/>
      <c r="AA75" s="952"/>
      <c r="AB75" s="953"/>
      <c r="AC75" s="952"/>
      <c r="AD75" s="953"/>
      <c r="AE75" s="954"/>
      <c r="AF75" s="918"/>
    </row>
    <row r="76" spans="1:32" hidden="1" outlineLevel="1" x14ac:dyDescent="0.2">
      <c r="A76" s="920">
        <v>19</v>
      </c>
      <c r="B76" s="1038" t="s">
        <v>1939</v>
      </c>
      <c r="C76" s="920" t="s">
        <v>299</v>
      </c>
      <c r="D76" s="920" t="s">
        <v>299</v>
      </c>
      <c r="E76" s="920" t="s">
        <v>299</v>
      </c>
      <c r="F76" s="920" t="s">
        <v>1092</v>
      </c>
      <c r="G76" s="920" t="s">
        <v>1092</v>
      </c>
      <c r="H76" s="920" t="s">
        <v>1092</v>
      </c>
      <c r="I76" s="920" t="s">
        <v>1092</v>
      </c>
      <c r="J76" s="920" t="s">
        <v>1092</v>
      </c>
      <c r="K76" s="920"/>
      <c r="L76" s="920"/>
      <c r="M76" s="920"/>
      <c r="N76" s="920"/>
      <c r="O76" s="920"/>
      <c r="P76" s="920"/>
      <c r="Q76" s="920"/>
      <c r="R76" s="920"/>
      <c r="S76" s="920"/>
      <c r="T76" s="920"/>
      <c r="U76" s="920"/>
      <c r="V76" s="920"/>
      <c r="W76" s="955"/>
      <c r="X76" s="920"/>
      <c r="Y76" s="956"/>
      <c r="Z76" s="957"/>
      <c r="AA76" s="956"/>
      <c r="AB76" s="957"/>
      <c r="AC76" s="956"/>
      <c r="AD76" s="957"/>
      <c r="AE76" s="958"/>
      <c r="AF76" s="920"/>
    </row>
    <row r="77" spans="1:32" hidden="1" outlineLevel="1" x14ac:dyDescent="0.2">
      <c r="A77" s="918">
        <v>20</v>
      </c>
      <c r="B77" s="1039" t="s">
        <v>1940</v>
      </c>
      <c r="C77" s="918" t="s">
        <v>299</v>
      </c>
      <c r="D77" s="918" t="s">
        <v>299</v>
      </c>
      <c r="E77" s="918" t="s">
        <v>299</v>
      </c>
      <c r="F77" s="918" t="s">
        <v>1092</v>
      </c>
      <c r="G77" s="918" t="s">
        <v>1092</v>
      </c>
      <c r="H77" s="918" t="s">
        <v>1092</v>
      </c>
      <c r="I77" s="918" t="s">
        <v>1092</v>
      </c>
      <c r="J77" s="918" t="s">
        <v>1092</v>
      </c>
      <c r="K77" s="918"/>
      <c r="L77" s="918"/>
      <c r="M77" s="918"/>
      <c r="N77" s="918"/>
      <c r="O77" s="918"/>
      <c r="P77" s="918"/>
      <c r="Q77" s="918"/>
      <c r="R77" s="918"/>
      <c r="S77" s="918"/>
      <c r="T77" s="918"/>
      <c r="U77" s="918"/>
      <c r="V77" s="918"/>
      <c r="W77" s="951"/>
      <c r="X77" s="918"/>
      <c r="Y77" s="952"/>
      <c r="Z77" s="953"/>
      <c r="AA77" s="952"/>
      <c r="AB77" s="953"/>
      <c r="AC77" s="952"/>
      <c r="AD77" s="953"/>
      <c r="AE77" s="954"/>
      <c r="AF77" s="918"/>
    </row>
    <row r="78" spans="1:32" ht="36" hidden="1" outlineLevel="1" x14ac:dyDescent="0.2">
      <c r="A78" s="920">
        <v>21</v>
      </c>
      <c r="B78" s="1038" t="s">
        <v>1941</v>
      </c>
      <c r="C78" s="920" t="s">
        <v>299</v>
      </c>
      <c r="D78" s="920" t="s">
        <v>299</v>
      </c>
      <c r="E78" s="920" t="s">
        <v>299</v>
      </c>
      <c r="F78" s="920" t="s">
        <v>1092</v>
      </c>
      <c r="G78" s="920" t="s">
        <v>1092</v>
      </c>
      <c r="H78" s="920" t="s">
        <v>1092</v>
      </c>
      <c r="I78" s="920" t="s">
        <v>1092</v>
      </c>
      <c r="J78" s="920" t="s">
        <v>1092</v>
      </c>
      <c r="K78" s="920"/>
      <c r="L78" s="920"/>
      <c r="M78" s="920"/>
      <c r="N78" s="920"/>
      <c r="O78" s="920"/>
      <c r="P78" s="920"/>
      <c r="Q78" s="920"/>
      <c r="R78" s="920"/>
      <c r="S78" s="920"/>
      <c r="T78" s="920"/>
      <c r="U78" s="920"/>
      <c r="V78" s="920"/>
      <c r="W78" s="955"/>
      <c r="X78" s="920"/>
      <c r="Y78" s="956"/>
      <c r="Z78" s="957"/>
      <c r="AA78" s="956"/>
      <c r="AB78" s="957"/>
      <c r="AC78" s="956"/>
      <c r="AD78" s="957"/>
      <c r="AE78" s="958"/>
      <c r="AF78" s="920"/>
    </row>
    <row r="79" spans="1:32" hidden="1" outlineLevel="1" x14ac:dyDescent="0.2">
      <c r="A79" s="918">
        <v>22</v>
      </c>
      <c r="B79" s="1039" t="s">
        <v>1942</v>
      </c>
      <c r="C79" s="918" t="s">
        <v>299</v>
      </c>
      <c r="D79" s="918" t="s">
        <v>299</v>
      </c>
      <c r="E79" s="918" t="s">
        <v>299</v>
      </c>
      <c r="F79" s="918" t="s">
        <v>1092</v>
      </c>
      <c r="G79" s="918" t="s">
        <v>1092</v>
      </c>
      <c r="H79" s="918" t="s">
        <v>1092</v>
      </c>
      <c r="I79" s="918" t="s">
        <v>1092</v>
      </c>
      <c r="J79" s="918" t="s">
        <v>1092</v>
      </c>
      <c r="K79" s="918"/>
      <c r="L79" s="918"/>
      <c r="M79" s="918"/>
      <c r="N79" s="918"/>
      <c r="O79" s="918"/>
      <c r="P79" s="918"/>
      <c r="Q79" s="918"/>
      <c r="R79" s="918"/>
      <c r="S79" s="918"/>
      <c r="T79" s="918"/>
      <c r="U79" s="918"/>
      <c r="V79" s="918"/>
      <c r="W79" s="951"/>
      <c r="X79" s="918"/>
      <c r="Y79" s="952"/>
      <c r="Z79" s="953"/>
      <c r="AA79" s="952"/>
      <c r="AB79" s="953"/>
      <c r="AC79" s="952"/>
      <c r="AD79" s="953"/>
      <c r="AE79" s="954"/>
      <c r="AF79" s="918"/>
    </row>
    <row r="80" spans="1:32" ht="24" hidden="1" outlineLevel="1" x14ac:dyDescent="0.2">
      <c r="A80" s="920">
        <v>23</v>
      </c>
      <c r="B80" s="1038" t="s">
        <v>1943</v>
      </c>
      <c r="C80" s="920" t="s">
        <v>299</v>
      </c>
      <c r="D80" s="920" t="s">
        <v>299</v>
      </c>
      <c r="E80" s="920" t="s">
        <v>299</v>
      </c>
      <c r="F80" s="920" t="s">
        <v>1092</v>
      </c>
      <c r="G80" s="920" t="s">
        <v>1092</v>
      </c>
      <c r="H80" s="920" t="s">
        <v>1092</v>
      </c>
      <c r="I80" s="920" t="s">
        <v>1092</v>
      </c>
      <c r="J80" s="920" t="s">
        <v>1092</v>
      </c>
      <c r="K80" s="920"/>
      <c r="L80" s="920"/>
      <c r="M80" s="920"/>
      <c r="N80" s="920"/>
      <c r="O80" s="920"/>
      <c r="P80" s="920"/>
      <c r="Q80" s="920"/>
      <c r="R80" s="920"/>
      <c r="S80" s="920"/>
      <c r="T80" s="920"/>
      <c r="U80" s="920"/>
      <c r="V80" s="920"/>
      <c r="W80" s="955"/>
      <c r="X80" s="920"/>
      <c r="Y80" s="956"/>
      <c r="Z80" s="957"/>
      <c r="AA80" s="956"/>
      <c r="AB80" s="957"/>
      <c r="AC80" s="956"/>
      <c r="AD80" s="957"/>
      <c r="AE80" s="958"/>
      <c r="AF80" s="920"/>
    </row>
    <row r="81" spans="1:32" ht="24" hidden="1" outlineLevel="1" x14ac:dyDescent="0.2">
      <c r="A81" s="918">
        <v>24</v>
      </c>
      <c r="B81" s="1039" t="s">
        <v>1944</v>
      </c>
      <c r="C81" s="918" t="s">
        <v>299</v>
      </c>
      <c r="D81" s="918" t="s">
        <v>299</v>
      </c>
      <c r="E81" s="918" t="s">
        <v>299</v>
      </c>
      <c r="F81" s="918" t="s">
        <v>1092</v>
      </c>
      <c r="G81" s="918" t="s">
        <v>1092</v>
      </c>
      <c r="H81" s="918" t="s">
        <v>1092</v>
      </c>
      <c r="I81" s="918" t="s">
        <v>1092</v>
      </c>
      <c r="J81" s="918" t="s">
        <v>1092</v>
      </c>
      <c r="K81" s="918"/>
      <c r="L81" s="918"/>
      <c r="M81" s="918"/>
      <c r="N81" s="918"/>
      <c r="O81" s="918"/>
      <c r="P81" s="918"/>
      <c r="Q81" s="918"/>
      <c r="R81" s="918"/>
      <c r="S81" s="918"/>
      <c r="T81" s="918"/>
      <c r="U81" s="918"/>
      <c r="V81" s="918"/>
      <c r="W81" s="951"/>
      <c r="X81" s="918"/>
      <c r="Y81" s="952"/>
      <c r="Z81" s="953"/>
      <c r="AA81" s="952"/>
      <c r="AB81" s="953"/>
      <c r="AC81" s="952"/>
      <c r="AD81" s="953"/>
      <c r="AE81" s="954"/>
      <c r="AF81" s="918"/>
    </row>
    <row r="82" spans="1:32" ht="36" hidden="1" outlineLevel="1" x14ac:dyDescent="0.2">
      <c r="A82" s="920">
        <v>25</v>
      </c>
      <c r="B82" s="1038" t="s">
        <v>2197</v>
      </c>
      <c r="C82" s="920" t="s">
        <v>299</v>
      </c>
      <c r="D82" s="920" t="s">
        <v>299</v>
      </c>
      <c r="E82" s="920" t="s">
        <v>299</v>
      </c>
      <c r="F82" s="920" t="s">
        <v>1092</v>
      </c>
      <c r="G82" s="920" t="s">
        <v>1092</v>
      </c>
      <c r="H82" s="920" t="s">
        <v>1092</v>
      </c>
      <c r="I82" s="920" t="s">
        <v>1092</v>
      </c>
      <c r="J82" s="920" t="s">
        <v>1092</v>
      </c>
      <c r="K82" s="920"/>
      <c r="L82" s="920"/>
      <c r="M82" s="920"/>
      <c r="N82" s="920"/>
      <c r="O82" s="920"/>
      <c r="P82" s="920"/>
      <c r="Q82" s="920"/>
      <c r="R82" s="920"/>
      <c r="S82" s="920"/>
      <c r="T82" s="920"/>
      <c r="U82" s="920"/>
      <c r="V82" s="920"/>
      <c r="W82" s="955"/>
      <c r="X82" s="920"/>
      <c r="Y82" s="956"/>
      <c r="Z82" s="957"/>
      <c r="AA82" s="956"/>
      <c r="AB82" s="957"/>
      <c r="AC82" s="956"/>
      <c r="AD82" s="957"/>
      <c r="AE82" s="958"/>
      <c r="AF82" s="920"/>
    </row>
    <row r="83" spans="1:32" hidden="1" outlineLevel="1" x14ac:dyDescent="0.2">
      <c r="A83" s="918">
        <v>26</v>
      </c>
      <c r="B83" s="1039" t="s">
        <v>1945</v>
      </c>
      <c r="C83" s="918" t="s">
        <v>299</v>
      </c>
      <c r="D83" s="918" t="s">
        <v>299</v>
      </c>
      <c r="E83" s="918" t="s">
        <v>299</v>
      </c>
      <c r="F83" s="918" t="s">
        <v>1092</v>
      </c>
      <c r="G83" s="918" t="s">
        <v>1092</v>
      </c>
      <c r="H83" s="918" t="s">
        <v>1092</v>
      </c>
      <c r="I83" s="918" t="s">
        <v>1092</v>
      </c>
      <c r="J83" s="918" t="s">
        <v>1092</v>
      </c>
      <c r="K83" s="918"/>
      <c r="L83" s="918"/>
      <c r="M83" s="918"/>
      <c r="N83" s="918"/>
      <c r="O83" s="918"/>
      <c r="P83" s="918"/>
      <c r="Q83" s="918"/>
      <c r="R83" s="918"/>
      <c r="S83" s="918"/>
      <c r="T83" s="918"/>
      <c r="U83" s="918"/>
      <c r="V83" s="918"/>
      <c r="W83" s="951"/>
      <c r="X83" s="918"/>
      <c r="Y83" s="952"/>
      <c r="Z83" s="953"/>
      <c r="AA83" s="952"/>
      <c r="AB83" s="953"/>
      <c r="AC83" s="952"/>
      <c r="AD83" s="953"/>
      <c r="AE83" s="954"/>
      <c r="AF83" s="918"/>
    </row>
    <row r="84" spans="1:32" ht="36" hidden="1" outlineLevel="1" x14ac:dyDescent="0.2">
      <c r="A84" s="920">
        <v>27</v>
      </c>
      <c r="B84" s="1038" t="s">
        <v>1946</v>
      </c>
      <c r="C84" s="920" t="s">
        <v>299</v>
      </c>
      <c r="D84" s="920" t="s">
        <v>299</v>
      </c>
      <c r="E84" s="920" t="s">
        <v>299</v>
      </c>
      <c r="F84" s="920" t="s">
        <v>1092</v>
      </c>
      <c r="G84" s="920" t="s">
        <v>1092</v>
      </c>
      <c r="H84" s="920" t="s">
        <v>1092</v>
      </c>
      <c r="I84" s="920" t="s">
        <v>1092</v>
      </c>
      <c r="J84" s="920" t="s">
        <v>1092</v>
      </c>
      <c r="K84" s="920"/>
      <c r="L84" s="920"/>
      <c r="M84" s="920"/>
      <c r="N84" s="920"/>
      <c r="O84" s="920"/>
      <c r="P84" s="920"/>
      <c r="Q84" s="920"/>
      <c r="R84" s="920"/>
      <c r="S84" s="920"/>
      <c r="T84" s="920"/>
      <c r="U84" s="920"/>
      <c r="V84" s="920"/>
      <c r="W84" s="955"/>
      <c r="X84" s="920"/>
      <c r="Y84" s="956"/>
      <c r="Z84" s="957"/>
      <c r="AA84" s="956"/>
      <c r="AB84" s="957"/>
      <c r="AC84" s="956"/>
      <c r="AD84" s="957"/>
      <c r="AE84" s="958"/>
      <c r="AF84" s="920"/>
    </row>
    <row r="85" spans="1:32" ht="36" hidden="1" outlineLevel="1" x14ac:dyDescent="0.2">
      <c r="A85" s="918">
        <v>28</v>
      </c>
      <c r="B85" s="1039" t="s">
        <v>2198</v>
      </c>
      <c r="C85" s="918" t="s">
        <v>299</v>
      </c>
      <c r="D85" s="918" t="s">
        <v>299</v>
      </c>
      <c r="E85" s="918" t="s">
        <v>299</v>
      </c>
      <c r="F85" s="918" t="s">
        <v>1092</v>
      </c>
      <c r="G85" s="918" t="s">
        <v>1092</v>
      </c>
      <c r="H85" s="918" t="s">
        <v>1092</v>
      </c>
      <c r="I85" s="918" t="s">
        <v>1092</v>
      </c>
      <c r="J85" s="918" t="s">
        <v>1092</v>
      </c>
      <c r="K85" s="918"/>
      <c r="L85" s="918"/>
      <c r="M85" s="918"/>
      <c r="N85" s="918"/>
      <c r="O85" s="918"/>
      <c r="P85" s="918"/>
      <c r="Q85" s="918"/>
      <c r="R85" s="918"/>
      <c r="S85" s="918"/>
      <c r="T85" s="918"/>
      <c r="U85" s="918"/>
      <c r="V85" s="918"/>
      <c r="W85" s="951"/>
      <c r="X85" s="918"/>
      <c r="Y85" s="952"/>
      <c r="Z85" s="953"/>
      <c r="AA85" s="952"/>
      <c r="AB85" s="953"/>
      <c r="AC85" s="952"/>
      <c r="AD85" s="953"/>
      <c r="AE85" s="954"/>
      <c r="AF85" s="918"/>
    </row>
    <row r="86" spans="1:32" ht="24" hidden="1" outlineLevel="1" x14ac:dyDescent="0.2">
      <c r="A86" s="920">
        <v>29</v>
      </c>
      <c r="B86" s="1038" t="s">
        <v>2199</v>
      </c>
      <c r="C86" s="920" t="s">
        <v>299</v>
      </c>
      <c r="D86" s="920" t="s">
        <v>299</v>
      </c>
      <c r="E86" s="920" t="s">
        <v>299</v>
      </c>
      <c r="F86" s="920" t="s">
        <v>1092</v>
      </c>
      <c r="G86" s="920" t="s">
        <v>1092</v>
      </c>
      <c r="H86" s="920" t="s">
        <v>1092</v>
      </c>
      <c r="I86" s="920" t="s">
        <v>1092</v>
      </c>
      <c r="J86" s="920" t="s">
        <v>1092</v>
      </c>
      <c r="K86" s="920"/>
      <c r="L86" s="920"/>
      <c r="M86" s="920"/>
      <c r="N86" s="920"/>
      <c r="O86" s="920"/>
      <c r="P86" s="920"/>
      <c r="Q86" s="920"/>
      <c r="R86" s="920"/>
      <c r="S86" s="920"/>
      <c r="T86" s="920"/>
      <c r="U86" s="920"/>
      <c r="V86" s="920"/>
      <c r="W86" s="955"/>
      <c r="X86" s="920"/>
      <c r="Y86" s="956"/>
      <c r="Z86" s="957"/>
      <c r="AA86" s="956"/>
      <c r="AB86" s="957"/>
      <c r="AC86" s="956"/>
      <c r="AD86" s="957"/>
      <c r="AE86" s="958"/>
      <c r="AF86" s="920"/>
    </row>
    <row r="87" spans="1:32" ht="24" hidden="1" outlineLevel="1" x14ac:dyDescent="0.2">
      <c r="A87" s="918">
        <v>30</v>
      </c>
      <c r="B87" s="1039" t="s">
        <v>2200</v>
      </c>
      <c r="C87" s="918" t="s">
        <v>299</v>
      </c>
      <c r="D87" s="918" t="s">
        <v>299</v>
      </c>
      <c r="E87" s="918" t="s">
        <v>299</v>
      </c>
      <c r="F87" s="918" t="s">
        <v>299</v>
      </c>
      <c r="G87" s="918" t="s">
        <v>299</v>
      </c>
      <c r="H87" s="918" t="s">
        <v>1092</v>
      </c>
      <c r="I87" s="918" t="s">
        <v>299</v>
      </c>
      <c r="J87" s="918" t="s">
        <v>299</v>
      </c>
      <c r="K87" s="918"/>
      <c r="L87" s="918"/>
      <c r="M87" s="918"/>
      <c r="N87" s="918"/>
      <c r="O87" s="918"/>
      <c r="P87" s="918"/>
      <c r="Q87" s="918"/>
      <c r="R87" s="918"/>
      <c r="S87" s="918"/>
      <c r="T87" s="918"/>
      <c r="U87" s="918"/>
      <c r="V87" s="918"/>
      <c r="W87" s="951"/>
      <c r="X87" s="918"/>
      <c r="Y87" s="952"/>
      <c r="Z87" s="953"/>
      <c r="AA87" s="952"/>
      <c r="AB87" s="953"/>
      <c r="AC87" s="952"/>
      <c r="AD87" s="953"/>
      <c r="AE87" s="954"/>
      <c r="AF87" s="918"/>
    </row>
    <row r="88" spans="1:32" ht="24" hidden="1" outlineLevel="1" x14ac:dyDescent="0.2">
      <c r="A88" s="920">
        <v>31</v>
      </c>
      <c r="B88" s="1038" t="s">
        <v>1947</v>
      </c>
      <c r="C88" s="920" t="s">
        <v>299</v>
      </c>
      <c r="D88" s="920" t="s">
        <v>299</v>
      </c>
      <c r="E88" s="920" t="s">
        <v>299</v>
      </c>
      <c r="F88" s="920" t="s">
        <v>1092</v>
      </c>
      <c r="G88" s="920" t="s">
        <v>1092</v>
      </c>
      <c r="H88" s="920" t="s">
        <v>1092</v>
      </c>
      <c r="I88" s="920" t="s">
        <v>1092</v>
      </c>
      <c r="J88" s="920" t="s">
        <v>1092</v>
      </c>
      <c r="K88" s="920"/>
      <c r="L88" s="920"/>
      <c r="M88" s="920"/>
      <c r="N88" s="920"/>
      <c r="O88" s="920"/>
      <c r="P88" s="920"/>
      <c r="Q88" s="920"/>
      <c r="R88" s="920"/>
      <c r="S88" s="920"/>
      <c r="T88" s="920"/>
      <c r="U88" s="920"/>
      <c r="V88" s="920"/>
      <c r="W88" s="955"/>
      <c r="X88" s="920"/>
      <c r="Y88" s="956"/>
      <c r="Z88" s="957"/>
      <c r="AA88" s="956"/>
      <c r="AB88" s="957"/>
      <c r="AC88" s="956"/>
      <c r="AD88" s="957"/>
      <c r="AE88" s="958"/>
      <c r="AF88" s="920"/>
    </row>
    <row r="89" spans="1:32" ht="24" hidden="1" outlineLevel="1" x14ac:dyDescent="0.2">
      <c r="A89" s="918">
        <v>32</v>
      </c>
      <c r="B89" s="1039" t="s">
        <v>2167</v>
      </c>
      <c r="C89" s="918" t="s">
        <v>299</v>
      </c>
      <c r="D89" s="918" t="s">
        <v>299</v>
      </c>
      <c r="E89" s="918" t="s">
        <v>299</v>
      </c>
      <c r="F89" s="918" t="s">
        <v>299</v>
      </c>
      <c r="G89" s="918" t="s">
        <v>299</v>
      </c>
      <c r="H89" s="918" t="s">
        <v>299</v>
      </c>
      <c r="I89" s="918" t="s">
        <v>299</v>
      </c>
      <c r="J89" s="918" t="s">
        <v>299</v>
      </c>
      <c r="K89" s="918" t="s">
        <v>2168</v>
      </c>
      <c r="L89" s="918"/>
      <c r="M89" s="918"/>
      <c r="N89" s="918"/>
      <c r="O89" s="918"/>
      <c r="P89" s="918"/>
      <c r="Q89" s="918"/>
      <c r="R89" s="918"/>
      <c r="S89" s="918"/>
      <c r="T89" s="918"/>
      <c r="U89" s="918"/>
      <c r="V89" s="918"/>
      <c r="W89" s="951"/>
      <c r="X89" s="918"/>
      <c r="Y89" s="952"/>
      <c r="Z89" s="953"/>
      <c r="AA89" s="952"/>
      <c r="AB89" s="953"/>
      <c r="AC89" s="952"/>
      <c r="AD89" s="953"/>
      <c r="AE89" s="954"/>
      <c r="AF89" s="918"/>
    </row>
    <row r="90" spans="1:32" s="917" customFormat="1" collapsed="1" x14ac:dyDescent="0.2">
      <c r="A90" s="915">
        <v>8</v>
      </c>
      <c r="B90" s="916" t="s">
        <v>1948</v>
      </c>
      <c r="C90" s="915" t="s">
        <v>1884</v>
      </c>
      <c r="D90" s="915" t="s">
        <v>1884</v>
      </c>
      <c r="E90" s="915" t="s">
        <v>1884</v>
      </c>
      <c r="F90" s="915" t="s">
        <v>1884</v>
      </c>
      <c r="G90" s="915" t="s">
        <v>1884</v>
      </c>
      <c r="H90" s="915" t="s">
        <v>1092</v>
      </c>
      <c r="I90" s="915" t="s">
        <v>1092</v>
      </c>
      <c r="J90" s="915" t="s">
        <v>1092</v>
      </c>
      <c r="K90" s="915"/>
      <c r="L90" s="915" t="s">
        <v>299</v>
      </c>
      <c r="M90" s="947" t="s">
        <v>1884</v>
      </c>
      <c r="N90" s="915" t="s">
        <v>1092</v>
      </c>
      <c r="O90" s="915" t="s">
        <v>1092</v>
      </c>
      <c r="P90" s="915" t="s">
        <v>299</v>
      </c>
      <c r="Q90" s="915" t="s">
        <v>299</v>
      </c>
      <c r="R90" s="915" t="s">
        <v>1092</v>
      </c>
      <c r="S90" s="915" t="s">
        <v>299</v>
      </c>
      <c r="T90" s="915" t="s">
        <v>299</v>
      </c>
      <c r="U90" s="915" t="s">
        <v>299</v>
      </c>
      <c r="V90" s="915" t="s">
        <v>1092</v>
      </c>
      <c r="W90" s="947" t="s">
        <v>1092</v>
      </c>
      <c r="X90" s="915" t="s">
        <v>1092</v>
      </c>
      <c r="Y90" s="948"/>
      <c r="Z90" s="949"/>
      <c r="AA90" s="948"/>
      <c r="AB90" s="949"/>
      <c r="AC90" s="948"/>
      <c r="AD90" s="949"/>
      <c r="AE90" s="950"/>
      <c r="AF90" s="915"/>
    </row>
    <row r="91" spans="1:32" hidden="1" outlineLevel="1" x14ac:dyDescent="0.2">
      <c r="A91" s="918">
        <v>1</v>
      </c>
      <c r="B91" s="919" t="s">
        <v>1949</v>
      </c>
      <c r="C91" s="918" t="s">
        <v>1092</v>
      </c>
      <c r="D91" s="918" t="s">
        <v>1092</v>
      </c>
      <c r="E91" s="918" t="s">
        <v>1092</v>
      </c>
      <c r="F91" s="918" t="s">
        <v>1092</v>
      </c>
      <c r="G91" s="918" t="s">
        <v>1092</v>
      </c>
      <c r="H91" s="918" t="s">
        <v>1092</v>
      </c>
      <c r="I91" s="918" t="s">
        <v>1092</v>
      </c>
      <c r="J91" s="918" t="s">
        <v>1092</v>
      </c>
      <c r="K91" s="918"/>
      <c r="L91" s="918"/>
      <c r="M91" s="918"/>
      <c r="N91" s="918"/>
      <c r="O91" s="918"/>
      <c r="P91" s="918"/>
      <c r="Q91" s="918"/>
      <c r="R91" s="918"/>
      <c r="S91" s="918"/>
      <c r="T91" s="918"/>
      <c r="U91" s="918"/>
      <c r="V91" s="918"/>
      <c r="W91" s="951"/>
      <c r="X91" s="918"/>
      <c r="Y91" s="952"/>
      <c r="Z91" s="953"/>
      <c r="AA91" s="952"/>
      <c r="AB91" s="953"/>
      <c r="AC91" s="952"/>
      <c r="AD91" s="953"/>
      <c r="AE91" s="954"/>
      <c r="AF91" s="918"/>
    </row>
    <row r="92" spans="1:32" ht="24" hidden="1" outlineLevel="1" x14ac:dyDescent="0.2">
      <c r="A92" s="920">
        <v>2</v>
      </c>
      <c r="B92" s="921" t="s">
        <v>1950</v>
      </c>
      <c r="C92" s="920" t="s">
        <v>1092</v>
      </c>
      <c r="D92" s="920" t="s">
        <v>1092</v>
      </c>
      <c r="E92" s="920" t="s">
        <v>1092</v>
      </c>
      <c r="F92" s="920" t="s">
        <v>1092</v>
      </c>
      <c r="G92" s="920" t="s">
        <v>1092</v>
      </c>
      <c r="H92" s="920" t="s">
        <v>1092</v>
      </c>
      <c r="I92" s="920" t="s">
        <v>1092</v>
      </c>
      <c r="J92" s="920" t="s">
        <v>1092</v>
      </c>
      <c r="K92" s="920"/>
      <c r="L92" s="920"/>
      <c r="M92" s="920"/>
      <c r="N92" s="920"/>
      <c r="O92" s="920"/>
      <c r="P92" s="920"/>
      <c r="Q92" s="920"/>
      <c r="R92" s="920"/>
      <c r="S92" s="920"/>
      <c r="T92" s="920"/>
      <c r="U92" s="920"/>
      <c r="V92" s="920"/>
      <c r="W92" s="955"/>
      <c r="X92" s="920"/>
      <c r="Y92" s="956"/>
      <c r="Z92" s="957"/>
      <c r="AA92" s="956"/>
      <c r="AB92" s="957"/>
      <c r="AC92" s="956"/>
      <c r="AD92" s="957"/>
      <c r="AE92" s="958"/>
      <c r="AF92" s="920"/>
    </row>
    <row r="93" spans="1:32" ht="24" hidden="1" outlineLevel="1" x14ac:dyDescent="0.2">
      <c r="A93" s="918">
        <v>3</v>
      </c>
      <c r="B93" s="919" t="s">
        <v>1951</v>
      </c>
      <c r="C93" s="918" t="s">
        <v>299</v>
      </c>
      <c r="D93" s="918" t="s">
        <v>299</v>
      </c>
      <c r="E93" s="918" t="s">
        <v>299</v>
      </c>
      <c r="F93" s="918" t="s">
        <v>299</v>
      </c>
      <c r="G93" s="918" t="s">
        <v>1092</v>
      </c>
      <c r="H93" s="918" t="s">
        <v>1092</v>
      </c>
      <c r="I93" s="918" t="s">
        <v>1092</v>
      </c>
      <c r="J93" s="918" t="s">
        <v>1092</v>
      </c>
      <c r="K93" s="918"/>
      <c r="L93" s="918"/>
      <c r="M93" s="918"/>
      <c r="N93" s="918"/>
      <c r="O93" s="918"/>
      <c r="P93" s="918"/>
      <c r="Q93" s="918"/>
      <c r="R93" s="918"/>
      <c r="S93" s="918"/>
      <c r="T93" s="918"/>
      <c r="U93" s="918"/>
      <c r="V93" s="918"/>
      <c r="W93" s="951"/>
      <c r="X93" s="918"/>
      <c r="Y93" s="952"/>
      <c r="Z93" s="953"/>
      <c r="AA93" s="952"/>
      <c r="AB93" s="953"/>
      <c r="AC93" s="952"/>
      <c r="AD93" s="953"/>
      <c r="AE93" s="954"/>
      <c r="AF93" s="918"/>
    </row>
    <row r="94" spans="1:32" ht="24" hidden="1" outlineLevel="1" x14ac:dyDescent="0.2">
      <c r="A94" s="920">
        <v>4</v>
      </c>
      <c r="B94" s="921" t="s">
        <v>1952</v>
      </c>
      <c r="C94" s="920" t="s">
        <v>299</v>
      </c>
      <c r="D94" s="920" t="s">
        <v>299</v>
      </c>
      <c r="E94" s="920" t="s">
        <v>299</v>
      </c>
      <c r="F94" s="920" t="s">
        <v>1092</v>
      </c>
      <c r="G94" s="920" t="s">
        <v>1092</v>
      </c>
      <c r="H94" s="920" t="s">
        <v>1092</v>
      </c>
      <c r="I94" s="920" t="s">
        <v>1092</v>
      </c>
      <c r="J94" s="920" t="s">
        <v>1092</v>
      </c>
      <c r="K94" s="920"/>
      <c r="L94" s="920"/>
      <c r="M94" s="920"/>
      <c r="N94" s="920"/>
      <c r="O94" s="920"/>
      <c r="P94" s="920"/>
      <c r="Q94" s="920"/>
      <c r="R94" s="920"/>
      <c r="S94" s="920"/>
      <c r="T94" s="920"/>
      <c r="U94" s="920"/>
      <c r="V94" s="920"/>
      <c r="W94" s="955"/>
      <c r="X94" s="920"/>
      <c r="Y94" s="956"/>
      <c r="Z94" s="957"/>
      <c r="AA94" s="956"/>
      <c r="AB94" s="957"/>
      <c r="AC94" s="956"/>
      <c r="AD94" s="957"/>
      <c r="AE94" s="958"/>
      <c r="AF94" s="920"/>
    </row>
    <row r="95" spans="1:32" hidden="1" outlineLevel="1" x14ac:dyDescent="0.2">
      <c r="A95" s="918">
        <v>5</v>
      </c>
      <c r="B95" s="919" t="s">
        <v>1953</v>
      </c>
      <c r="C95" s="918" t="s">
        <v>299</v>
      </c>
      <c r="D95" s="918" t="s">
        <v>299</v>
      </c>
      <c r="E95" s="918" t="s">
        <v>299</v>
      </c>
      <c r="F95" s="918" t="s">
        <v>1092</v>
      </c>
      <c r="G95" s="918" t="s">
        <v>1092</v>
      </c>
      <c r="H95" s="918" t="s">
        <v>1092</v>
      </c>
      <c r="I95" s="918" t="s">
        <v>1092</v>
      </c>
      <c r="J95" s="918" t="s">
        <v>1092</v>
      </c>
      <c r="K95" s="918"/>
      <c r="L95" s="918"/>
      <c r="M95" s="918"/>
      <c r="N95" s="918"/>
      <c r="O95" s="918"/>
      <c r="P95" s="918"/>
      <c r="Q95" s="918"/>
      <c r="R95" s="918"/>
      <c r="S95" s="918"/>
      <c r="T95" s="918"/>
      <c r="U95" s="918"/>
      <c r="V95" s="918"/>
      <c r="W95" s="951"/>
      <c r="X95" s="918"/>
      <c r="Y95" s="952"/>
      <c r="Z95" s="953"/>
      <c r="AA95" s="952"/>
      <c r="AB95" s="953"/>
      <c r="AC95" s="952"/>
      <c r="AD95" s="953"/>
      <c r="AE95" s="954"/>
      <c r="AF95" s="918"/>
    </row>
    <row r="96" spans="1:32" ht="24" hidden="1" outlineLevel="1" x14ac:dyDescent="0.2">
      <c r="A96" s="920">
        <v>6</v>
      </c>
      <c r="B96" s="921" t="s">
        <v>1954</v>
      </c>
      <c r="C96" s="920" t="s">
        <v>299</v>
      </c>
      <c r="D96" s="920" t="s">
        <v>299</v>
      </c>
      <c r="E96" s="920" t="s">
        <v>299</v>
      </c>
      <c r="F96" s="920" t="s">
        <v>299</v>
      </c>
      <c r="G96" s="920" t="s">
        <v>299</v>
      </c>
      <c r="H96" s="920" t="s">
        <v>1092</v>
      </c>
      <c r="I96" s="920" t="s">
        <v>1092</v>
      </c>
      <c r="J96" s="920" t="s">
        <v>1092</v>
      </c>
      <c r="K96" s="920"/>
      <c r="L96" s="920"/>
      <c r="M96" s="920"/>
      <c r="N96" s="920"/>
      <c r="O96" s="920"/>
      <c r="P96" s="920"/>
      <c r="Q96" s="920"/>
      <c r="R96" s="920"/>
      <c r="S96" s="920"/>
      <c r="T96" s="920"/>
      <c r="U96" s="920"/>
      <c r="V96" s="920"/>
      <c r="W96" s="955"/>
      <c r="X96" s="920"/>
      <c r="Y96" s="956"/>
      <c r="Z96" s="957"/>
      <c r="AA96" s="956"/>
      <c r="AB96" s="957"/>
      <c r="AC96" s="956"/>
      <c r="AD96" s="957"/>
      <c r="AE96" s="958"/>
      <c r="AF96" s="920"/>
    </row>
    <row r="97" spans="1:32" hidden="1" outlineLevel="1" x14ac:dyDescent="0.2">
      <c r="A97" s="918">
        <v>7</v>
      </c>
      <c r="B97" s="919" t="s">
        <v>1955</v>
      </c>
      <c r="C97" s="918" t="s">
        <v>299</v>
      </c>
      <c r="D97" s="918" t="s">
        <v>299</v>
      </c>
      <c r="E97" s="918" t="s">
        <v>299</v>
      </c>
      <c r="F97" s="918" t="s">
        <v>299</v>
      </c>
      <c r="G97" s="918" t="s">
        <v>299</v>
      </c>
      <c r="H97" s="918" t="s">
        <v>1092</v>
      </c>
      <c r="I97" s="918" t="s">
        <v>1092</v>
      </c>
      <c r="J97" s="918" t="s">
        <v>1092</v>
      </c>
      <c r="K97" s="918"/>
      <c r="L97" s="918"/>
      <c r="M97" s="918"/>
      <c r="N97" s="918"/>
      <c r="O97" s="918"/>
      <c r="P97" s="918"/>
      <c r="Q97" s="918"/>
      <c r="R97" s="918"/>
      <c r="S97" s="918"/>
      <c r="T97" s="918"/>
      <c r="U97" s="918"/>
      <c r="V97" s="918"/>
      <c r="W97" s="951"/>
      <c r="X97" s="918"/>
      <c r="Y97" s="952"/>
      <c r="Z97" s="953"/>
      <c r="AA97" s="952"/>
      <c r="AB97" s="953"/>
      <c r="AC97" s="952"/>
      <c r="AD97" s="953"/>
      <c r="AE97" s="954"/>
      <c r="AF97" s="918"/>
    </row>
    <row r="98" spans="1:32" hidden="1" outlineLevel="1" x14ac:dyDescent="0.2">
      <c r="A98" s="920">
        <v>8</v>
      </c>
      <c r="B98" s="921" t="s">
        <v>1956</v>
      </c>
      <c r="C98" s="920" t="s">
        <v>299</v>
      </c>
      <c r="D98" s="920" t="s">
        <v>299</v>
      </c>
      <c r="E98" s="920" t="s">
        <v>299</v>
      </c>
      <c r="F98" s="920" t="s">
        <v>299</v>
      </c>
      <c r="G98" s="920" t="s">
        <v>1092</v>
      </c>
      <c r="H98" s="920" t="s">
        <v>1092</v>
      </c>
      <c r="I98" s="920" t="s">
        <v>1092</v>
      </c>
      <c r="J98" s="920" t="s">
        <v>1092</v>
      </c>
      <c r="K98" s="920"/>
      <c r="L98" s="920"/>
      <c r="M98" s="920"/>
      <c r="N98" s="920"/>
      <c r="O98" s="920"/>
      <c r="P98" s="920"/>
      <c r="Q98" s="920"/>
      <c r="R98" s="920"/>
      <c r="S98" s="920"/>
      <c r="T98" s="920"/>
      <c r="U98" s="920"/>
      <c r="V98" s="920"/>
      <c r="W98" s="955"/>
      <c r="X98" s="920"/>
      <c r="Y98" s="956"/>
      <c r="Z98" s="957"/>
      <c r="AA98" s="956"/>
      <c r="AB98" s="957"/>
      <c r="AC98" s="956"/>
      <c r="AD98" s="957"/>
      <c r="AE98" s="958"/>
      <c r="AF98" s="920"/>
    </row>
    <row r="99" spans="1:32" hidden="1" outlineLevel="1" x14ac:dyDescent="0.2">
      <c r="A99" s="918">
        <v>9</v>
      </c>
      <c r="B99" s="919" t="s">
        <v>1957</v>
      </c>
      <c r="C99" s="918" t="s">
        <v>299</v>
      </c>
      <c r="D99" s="918" t="s">
        <v>299</v>
      </c>
      <c r="E99" s="918" t="s">
        <v>299</v>
      </c>
      <c r="F99" s="918" t="s">
        <v>299</v>
      </c>
      <c r="G99" s="918" t="s">
        <v>299</v>
      </c>
      <c r="H99" s="918" t="s">
        <v>1092</v>
      </c>
      <c r="I99" s="918" t="s">
        <v>1092</v>
      </c>
      <c r="J99" s="918" t="s">
        <v>1092</v>
      </c>
      <c r="K99" s="918"/>
      <c r="L99" s="918"/>
      <c r="M99" s="918"/>
      <c r="N99" s="918"/>
      <c r="O99" s="918"/>
      <c r="P99" s="918"/>
      <c r="Q99" s="918"/>
      <c r="R99" s="918"/>
      <c r="S99" s="918"/>
      <c r="T99" s="918"/>
      <c r="U99" s="918"/>
      <c r="V99" s="918"/>
      <c r="W99" s="951"/>
      <c r="X99" s="918"/>
      <c r="Y99" s="952"/>
      <c r="Z99" s="953"/>
      <c r="AA99" s="952"/>
      <c r="AB99" s="953"/>
      <c r="AC99" s="952"/>
      <c r="AD99" s="953"/>
      <c r="AE99" s="954"/>
      <c r="AF99" s="918"/>
    </row>
    <row r="100" spans="1:32" s="917" customFormat="1" collapsed="1" x14ac:dyDescent="0.2">
      <c r="A100" s="915">
        <v>9</v>
      </c>
      <c r="B100" s="916" t="s">
        <v>1958</v>
      </c>
      <c r="C100" s="915" t="s">
        <v>1884</v>
      </c>
      <c r="D100" s="915" t="s">
        <v>1092</v>
      </c>
      <c r="E100" s="915" t="s">
        <v>1092</v>
      </c>
      <c r="F100" s="915" t="s">
        <v>1092</v>
      </c>
      <c r="G100" s="915" t="s">
        <v>1092</v>
      </c>
      <c r="H100" s="915" t="s">
        <v>1092</v>
      </c>
      <c r="I100" s="915" t="s">
        <v>1092</v>
      </c>
      <c r="J100" s="915" t="s">
        <v>1092</v>
      </c>
      <c r="K100" s="915"/>
      <c r="L100" s="915" t="s">
        <v>299</v>
      </c>
      <c r="M100" s="915" t="s">
        <v>1092</v>
      </c>
      <c r="N100" s="915" t="s">
        <v>1092</v>
      </c>
      <c r="O100" s="915" t="s">
        <v>1092</v>
      </c>
      <c r="P100" s="947" t="s">
        <v>1884</v>
      </c>
      <c r="Q100" s="947" t="s">
        <v>1884</v>
      </c>
      <c r="R100" s="915" t="s">
        <v>1092</v>
      </c>
      <c r="S100" s="915" t="s">
        <v>299</v>
      </c>
      <c r="T100" s="915" t="s">
        <v>299</v>
      </c>
      <c r="U100" s="915" t="s">
        <v>299</v>
      </c>
      <c r="V100" s="915" t="s">
        <v>1092</v>
      </c>
      <c r="W100" s="947" t="s">
        <v>1092</v>
      </c>
      <c r="X100" s="915"/>
      <c r="Y100" s="948"/>
      <c r="Z100" s="949"/>
      <c r="AA100" s="948"/>
      <c r="AB100" s="949"/>
      <c r="AC100" s="948"/>
      <c r="AD100" s="949"/>
      <c r="AE100" s="950"/>
      <c r="AF100" s="915"/>
    </row>
    <row r="101" spans="1:32" ht="12" hidden="1" customHeight="1" outlineLevel="1" x14ac:dyDescent="0.2">
      <c r="A101" s="918">
        <v>1</v>
      </c>
      <c r="B101" s="919" t="s">
        <v>1959</v>
      </c>
      <c r="C101" s="918" t="s">
        <v>299</v>
      </c>
      <c r="D101" s="918" t="s">
        <v>299</v>
      </c>
      <c r="E101" s="918" t="s">
        <v>299</v>
      </c>
      <c r="F101" s="918" t="s">
        <v>299</v>
      </c>
      <c r="G101" s="918" t="s">
        <v>299</v>
      </c>
      <c r="H101" s="918" t="s">
        <v>299</v>
      </c>
      <c r="I101" s="918" t="s">
        <v>299</v>
      </c>
      <c r="J101" s="918" t="s">
        <v>1092</v>
      </c>
      <c r="K101" s="918"/>
      <c r="L101" s="918"/>
      <c r="M101" s="918"/>
      <c r="N101" s="918"/>
      <c r="O101" s="918"/>
      <c r="P101" s="918"/>
      <c r="Q101" s="918"/>
      <c r="R101" s="918"/>
      <c r="S101" s="918"/>
      <c r="T101" s="918"/>
      <c r="U101" s="918"/>
      <c r="V101" s="918"/>
      <c r="W101" s="951"/>
      <c r="X101" s="918"/>
      <c r="Y101" s="952"/>
      <c r="Z101" s="953"/>
      <c r="AA101" s="952"/>
      <c r="AB101" s="953"/>
      <c r="AC101" s="952"/>
      <c r="AD101" s="953"/>
      <c r="AE101" s="954"/>
      <c r="AF101" s="918"/>
    </row>
    <row r="102" spans="1:32" ht="12" hidden="1" customHeight="1" outlineLevel="1" x14ac:dyDescent="0.2">
      <c r="A102" s="920">
        <v>2</v>
      </c>
      <c r="B102" s="921" t="s">
        <v>1960</v>
      </c>
      <c r="C102" s="920" t="s">
        <v>299</v>
      </c>
      <c r="D102" s="920" t="s">
        <v>299</v>
      </c>
      <c r="E102" s="920" t="s">
        <v>299</v>
      </c>
      <c r="F102" s="920" t="s">
        <v>299</v>
      </c>
      <c r="G102" s="920" t="s">
        <v>299</v>
      </c>
      <c r="H102" s="920" t="s">
        <v>299</v>
      </c>
      <c r="I102" s="920" t="s">
        <v>299</v>
      </c>
      <c r="J102" s="920" t="s">
        <v>1092</v>
      </c>
      <c r="K102" s="920"/>
      <c r="L102" s="920"/>
      <c r="M102" s="920"/>
      <c r="N102" s="920"/>
      <c r="O102" s="920"/>
      <c r="P102" s="920"/>
      <c r="Q102" s="920"/>
      <c r="R102" s="920"/>
      <c r="S102" s="920"/>
      <c r="T102" s="920"/>
      <c r="U102" s="920"/>
      <c r="V102" s="920"/>
      <c r="W102" s="955"/>
      <c r="X102" s="920"/>
      <c r="Y102" s="956"/>
      <c r="Z102" s="957"/>
      <c r="AA102" s="956"/>
      <c r="AB102" s="957"/>
      <c r="AC102" s="956"/>
      <c r="AD102" s="957"/>
      <c r="AE102" s="958"/>
      <c r="AF102" s="920"/>
    </row>
    <row r="103" spans="1:32" ht="24" hidden="1" outlineLevel="1" x14ac:dyDescent="0.2">
      <c r="A103" s="918">
        <v>3</v>
      </c>
      <c r="B103" s="919" t="s">
        <v>1961</v>
      </c>
      <c r="C103" s="918" t="s">
        <v>1092</v>
      </c>
      <c r="D103" s="918" t="s">
        <v>1092</v>
      </c>
      <c r="E103" s="918" t="s">
        <v>1092</v>
      </c>
      <c r="F103" s="918" t="s">
        <v>1092</v>
      </c>
      <c r="G103" s="918" t="s">
        <v>1092</v>
      </c>
      <c r="H103" s="918" t="s">
        <v>1092</v>
      </c>
      <c r="I103" s="918" t="s">
        <v>1092</v>
      </c>
      <c r="J103" s="918" t="s">
        <v>1092</v>
      </c>
      <c r="K103" s="918"/>
      <c r="L103" s="918"/>
      <c r="M103" s="918"/>
      <c r="N103" s="918"/>
      <c r="O103" s="918"/>
      <c r="P103" s="918"/>
      <c r="Q103" s="918"/>
      <c r="R103" s="918"/>
      <c r="S103" s="918"/>
      <c r="T103" s="918"/>
      <c r="U103" s="918"/>
      <c r="V103" s="918"/>
      <c r="W103" s="951"/>
      <c r="X103" s="918"/>
      <c r="Y103" s="952"/>
      <c r="Z103" s="953"/>
      <c r="AA103" s="952"/>
      <c r="AB103" s="953"/>
      <c r="AC103" s="952"/>
      <c r="AD103" s="953"/>
      <c r="AE103" s="954"/>
      <c r="AF103" s="918"/>
    </row>
    <row r="104" spans="1:32" ht="12" hidden="1" customHeight="1" outlineLevel="1" x14ac:dyDescent="0.2">
      <c r="A104" s="920">
        <v>4</v>
      </c>
      <c r="B104" s="921" t="s">
        <v>1962</v>
      </c>
      <c r="C104" s="920" t="s">
        <v>299</v>
      </c>
      <c r="D104" s="920" t="s">
        <v>299</v>
      </c>
      <c r="E104" s="920" t="s">
        <v>299</v>
      </c>
      <c r="F104" s="920" t="s">
        <v>299</v>
      </c>
      <c r="G104" s="920" t="s">
        <v>299</v>
      </c>
      <c r="H104" s="920" t="s">
        <v>299</v>
      </c>
      <c r="I104" s="920" t="s">
        <v>299</v>
      </c>
      <c r="J104" s="920" t="s">
        <v>1092</v>
      </c>
      <c r="K104" s="920"/>
      <c r="L104" s="920"/>
      <c r="M104" s="920"/>
      <c r="N104" s="920"/>
      <c r="O104" s="920"/>
      <c r="P104" s="920"/>
      <c r="Q104" s="920"/>
      <c r="R104" s="920"/>
      <c r="S104" s="920"/>
      <c r="T104" s="920"/>
      <c r="U104" s="920"/>
      <c r="V104" s="920"/>
      <c r="W104" s="955"/>
      <c r="X104" s="920"/>
      <c r="Y104" s="956"/>
      <c r="Z104" s="957"/>
      <c r="AA104" s="956"/>
      <c r="AB104" s="957"/>
      <c r="AC104" s="956"/>
      <c r="AD104" s="957"/>
      <c r="AE104" s="958"/>
      <c r="AF104" s="920"/>
    </row>
    <row r="105" spans="1:32" ht="12" hidden="1" customHeight="1" outlineLevel="1" x14ac:dyDescent="0.2">
      <c r="A105" s="918">
        <v>5</v>
      </c>
      <c r="B105" s="919" t="s">
        <v>1963</v>
      </c>
      <c r="C105" s="918" t="s">
        <v>299</v>
      </c>
      <c r="D105" s="918" t="s">
        <v>299</v>
      </c>
      <c r="E105" s="918" t="s">
        <v>299</v>
      </c>
      <c r="F105" s="918" t="s">
        <v>299</v>
      </c>
      <c r="G105" s="918" t="s">
        <v>299</v>
      </c>
      <c r="H105" s="918" t="s">
        <v>299</v>
      </c>
      <c r="I105" s="918" t="s">
        <v>299</v>
      </c>
      <c r="J105" s="918" t="s">
        <v>1092</v>
      </c>
      <c r="K105" s="918"/>
      <c r="L105" s="918"/>
      <c r="M105" s="918"/>
      <c r="N105" s="918"/>
      <c r="O105" s="918"/>
      <c r="P105" s="918"/>
      <c r="Q105" s="918"/>
      <c r="R105" s="918"/>
      <c r="S105" s="918"/>
      <c r="T105" s="918"/>
      <c r="U105" s="918"/>
      <c r="V105" s="918"/>
      <c r="W105" s="951"/>
      <c r="X105" s="918"/>
      <c r="Y105" s="952"/>
      <c r="Z105" s="953"/>
      <c r="AA105" s="952"/>
      <c r="AB105" s="953"/>
      <c r="AC105" s="952"/>
      <c r="AD105" s="953"/>
      <c r="AE105" s="954"/>
      <c r="AF105" s="918"/>
    </row>
    <row r="106" spans="1:32" ht="12" hidden="1" customHeight="1" outlineLevel="1" x14ac:dyDescent="0.2">
      <c r="A106" s="920">
        <v>6</v>
      </c>
      <c r="B106" s="921" t="s">
        <v>1964</v>
      </c>
      <c r="C106" s="920" t="s">
        <v>299</v>
      </c>
      <c r="D106" s="920" t="s">
        <v>299</v>
      </c>
      <c r="E106" s="920" t="s">
        <v>299</v>
      </c>
      <c r="F106" s="920" t="s">
        <v>299</v>
      </c>
      <c r="G106" s="920" t="s">
        <v>299</v>
      </c>
      <c r="H106" s="920" t="s">
        <v>299</v>
      </c>
      <c r="I106" s="920" t="s">
        <v>299</v>
      </c>
      <c r="J106" s="920" t="s">
        <v>1092</v>
      </c>
      <c r="K106" s="920"/>
      <c r="L106" s="920"/>
      <c r="M106" s="920"/>
      <c r="N106" s="920"/>
      <c r="O106" s="920"/>
      <c r="P106" s="920"/>
      <c r="Q106" s="920"/>
      <c r="R106" s="920"/>
      <c r="S106" s="920"/>
      <c r="T106" s="920"/>
      <c r="U106" s="920"/>
      <c r="V106" s="920"/>
      <c r="W106" s="955"/>
      <c r="X106" s="920"/>
      <c r="Y106" s="956"/>
      <c r="Z106" s="957"/>
      <c r="AA106" s="956"/>
      <c r="AB106" s="957"/>
      <c r="AC106" s="956"/>
      <c r="AD106" s="957"/>
      <c r="AE106" s="958"/>
      <c r="AF106" s="920"/>
    </row>
    <row r="107" spans="1:32" s="917" customFormat="1" collapsed="1" x14ac:dyDescent="0.2">
      <c r="A107" s="915">
        <v>10</v>
      </c>
      <c r="B107" s="916" t="s">
        <v>1965</v>
      </c>
      <c r="C107" s="915" t="s">
        <v>1884</v>
      </c>
      <c r="D107" s="915" t="s">
        <v>1092</v>
      </c>
      <c r="E107" s="915" t="s">
        <v>1092</v>
      </c>
      <c r="F107" s="915" t="s">
        <v>1092</v>
      </c>
      <c r="G107" s="915" t="s">
        <v>1092</v>
      </c>
      <c r="H107" s="915" t="s">
        <v>1092</v>
      </c>
      <c r="I107" s="915" t="s">
        <v>1092</v>
      </c>
      <c r="J107" s="915" t="s">
        <v>1092</v>
      </c>
      <c r="K107" s="915"/>
      <c r="L107" s="915" t="s">
        <v>299</v>
      </c>
      <c r="M107" s="915" t="s">
        <v>299</v>
      </c>
      <c r="N107" s="915" t="s">
        <v>299</v>
      </c>
      <c r="O107" s="947" t="s">
        <v>1884</v>
      </c>
      <c r="P107" s="915" t="s">
        <v>1092</v>
      </c>
      <c r="Q107" s="915" t="s">
        <v>1092</v>
      </c>
      <c r="R107" s="915" t="s">
        <v>1092</v>
      </c>
      <c r="S107" s="915" t="s">
        <v>299</v>
      </c>
      <c r="T107" s="915" t="s">
        <v>299</v>
      </c>
      <c r="U107" s="915" t="s">
        <v>299</v>
      </c>
      <c r="V107" s="915" t="s">
        <v>1092</v>
      </c>
      <c r="W107" s="947" t="s">
        <v>1092</v>
      </c>
      <c r="X107" s="915"/>
      <c r="Y107" s="948"/>
      <c r="Z107" s="949"/>
      <c r="AA107" s="948"/>
      <c r="AB107" s="949"/>
      <c r="AC107" s="948"/>
      <c r="AD107" s="949"/>
      <c r="AE107" s="950"/>
      <c r="AF107" s="915"/>
    </row>
    <row r="108" spans="1:32" ht="12" hidden="1" customHeight="1" outlineLevel="1" x14ac:dyDescent="0.2">
      <c r="A108" s="918">
        <v>1</v>
      </c>
      <c r="B108" s="919" t="s">
        <v>1966</v>
      </c>
      <c r="C108" s="918" t="s">
        <v>1092</v>
      </c>
      <c r="D108" s="918" t="s">
        <v>1092</v>
      </c>
      <c r="E108" s="918" t="s">
        <v>1092</v>
      </c>
      <c r="F108" s="918" t="s">
        <v>1092</v>
      </c>
      <c r="G108" s="918" t="s">
        <v>1092</v>
      </c>
      <c r="H108" s="918" t="s">
        <v>1092</v>
      </c>
      <c r="I108" s="918" t="s">
        <v>1092</v>
      </c>
      <c r="J108" s="918" t="s">
        <v>1092</v>
      </c>
      <c r="K108" s="918"/>
      <c r="L108" s="918"/>
      <c r="M108" s="918"/>
      <c r="N108" s="918"/>
      <c r="O108" s="918"/>
      <c r="P108" s="918"/>
      <c r="Q108" s="918"/>
      <c r="R108" s="918"/>
      <c r="S108" s="918"/>
      <c r="T108" s="918"/>
      <c r="U108" s="918"/>
      <c r="V108" s="918"/>
      <c r="W108" s="951"/>
      <c r="X108" s="918"/>
      <c r="Y108" s="952"/>
      <c r="Z108" s="953"/>
      <c r="AA108" s="952"/>
      <c r="AB108" s="953"/>
      <c r="AC108" s="952"/>
      <c r="AD108" s="953"/>
      <c r="AE108" s="954"/>
      <c r="AF108" s="918"/>
    </row>
    <row r="109" spans="1:32" ht="12" hidden="1" customHeight="1" outlineLevel="1" x14ac:dyDescent="0.2">
      <c r="A109" s="920">
        <v>2</v>
      </c>
      <c r="B109" s="921" t="s">
        <v>1967</v>
      </c>
      <c r="C109" s="920" t="s">
        <v>299</v>
      </c>
      <c r="D109" s="920" t="s">
        <v>1092</v>
      </c>
      <c r="E109" s="920" t="s">
        <v>1092</v>
      </c>
      <c r="F109" s="920" t="s">
        <v>1092</v>
      </c>
      <c r="G109" s="920" t="s">
        <v>1092</v>
      </c>
      <c r="H109" s="920" t="s">
        <v>1092</v>
      </c>
      <c r="I109" s="920" t="s">
        <v>1092</v>
      </c>
      <c r="J109" s="920" t="s">
        <v>1092</v>
      </c>
      <c r="K109" s="920"/>
      <c r="L109" s="920"/>
      <c r="M109" s="920"/>
      <c r="N109" s="920"/>
      <c r="O109" s="920"/>
      <c r="P109" s="920"/>
      <c r="Q109" s="920"/>
      <c r="R109" s="920"/>
      <c r="S109" s="920"/>
      <c r="T109" s="920"/>
      <c r="U109" s="920"/>
      <c r="V109" s="920"/>
      <c r="W109" s="955"/>
      <c r="X109" s="920"/>
      <c r="Y109" s="956"/>
      <c r="Z109" s="957"/>
      <c r="AA109" s="956"/>
      <c r="AB109" s="957"/>
      <c r="AC109" s="956"/>
      <c r="AD109" s="957"/>
      <c r="AE109" s="958"/>
      <c r="AF109" s="920"/>
    </row>
    <row r="110" spans="1:32" ht="12" hidden="1" customHeight="1" outlineLevel="1" x14ac:dyDescent="0.2">
      <c r="A110" s="918">
        <v>3</v>
      </c>
      <c r="B110" s="919" t="s">
        <v>1968</v>
      </c>
      <c r="C110" s="918" t="s">
        <v>299</v>
      </c>
      <c r="D110" s="918" t="s">
        <v>1092</v>
      </c>
      <c r="E110" s="918" t="s">
        <v>1092</v>
      </c>
      <c r="F110" s="918" t="s">
        <v>1092</v>
      </c>
      <c r="G110" s="918" t="s">
        <v>1092</v>
      </c>
      <c r="H110" s="918" t="s">
        <v>1092</v>
      </c>
      <c r="I110" s="918" t="s">
        <v>1092</v>
      </c>
      <c r="J110" s="918" t="s">
        <v>1092</v>
      </c>
      <c r="K110" s="918"/>
      <c r="L110" s="918"/>
      <c r="M110" s="918"/>
      <c r="N110" s="918"/>
      <c r="O110" s="918"/>
      <c r="P110" s="918"/>
      <c r="Q110" s="918"/>
      <c r="R110" s="918"/>
      <c r="S110" s="918"/>
      <c r="T110" s="918"/>
      <c r="U110" s="918"/>
      <c r="V110" s="918"/>
      <c r="W110" s="951"/>
      <c r="X110" s="918"/>
      <c r="Y110" s="952"/>
      <c r="Z110" s="953"/>
      <c r="AA110" s="952"/>
      <c r="AB110" s="953"/>
      <c r="AC110" s="952"/>
      <c r="AD110" s="953"/>
      <c r="AE110" s="954"/>
      <c r="AF110" s="918"/>
    </row>
    <row r="111" spans="1:32" hidden="1" outlineLevel="1" x14ac:dyDescent="0.2">
      <c r="A111" s="920">
        <v>4</v>
      </c>
      <c r="B111" s="921" t="s">
        <v>1969</v>
      </c>
      <c r="C111" s="920" t="s">
        <v>299</v>
      </c>
      <c r="D111" s="920" t="s">
        <v>1092</v>
      </c>
      <c r="E111" s="920" t="s">
        <v>1092</v>
      </c>
      <c r="F111" s="920" t="s">
        <v>1092</v>
      </c>
      <c r="G111" s="920" t="s">
        <v>1092</v>
      </c>
      <c r="H111" s="920" t="s">
        <v>1092</v>
      </c>
      <c r="I111" s="920" t="s">
        <v>1092</v>
      </c>
      <c r="J111" s="920" t="s">
        <v>1092</v>
      </c>
      <c r="K111" s="920"/>
      <c r="L111" s="920"/>
      <c r="M111" s="920"/>
      <c r="N111" s="920"/>
      <c r="O111" s="920"/>
      <c r="P111" s="920"/>
      <c r="Q111" s="920"/>
      <c r="R111" s="920"/>
      <c r="S111" s="920"/>
      <c r="T111" s="920"/>
      <c r="U111" s="920"/>
      <c r="V111" s="920"/>
      <c r="W111" s="955"/>
      <c r="X111" s="920"/>
      <c r="Y111" s="956"/>
      <c r="Z111" s="957"/>
      <c r="AA111" s="956"/>
      <c r="AB111" s="957"/>
      <c r="AC111" s="956"/>
      <c r="AD111" s="957"/>
      <c r="AE111" s="958"/>
      <c r="AF111" s="920"/>
    </row>
    <row r="112" spans="1:32" hidden="1" outlineLevel="1" x14ac:dyDescent="0.2">
      <c r="A112" s="918">
        <v>5</v>
      </c>
      <c r="B112" s="919" t="s">
        <v>1970</v>
      </c>
      <c r="C112" s="918" t="s">
        <v>1884</v>
      </c>
      <c r="D112" s="918" t="s">
        <v>1092</v>
      </c>
      <c r="E112" s="918" t="s">
        <v>1092</v>
      </c>
      <c r="F112" s="918" t="s">
        <v>1092</v>
      </c>
      <c r="G112" s="918" t="s">
        <v>1092</v>
      </c>
      <c r="H112" s="918" t="s">
        <v>1092</v>
      </c>
      <c r="I112" s="918" t="s">
        <v>1092</v>
      </c>
      <c r="J112" s="918" t="s">
        <v>1092</v>
      </c>
      <c r="K112" s="918"/>
      <c r="L112" s="918"/>
      <c r="M112" s="918"/>
      <c r="N112" s="918"/>
      <c r="O112" s="918"/>
      <c r="P112" s="918"/>
      <c r="Q112" s="918"/>
      <c r="R112" s="918"/>
      <c r="S112" s="918"/>
      <c r="T112" s="918"/>
      <c r="U112" s="918"/>
      <c r="V112" s="918"/>
      <c r="W112" s="951"/>
      <c r="X112" s="918"/>
      <c r="Y112" s="952"/>
      <c r="Z112" s="953"/>
      <c r="AA112" s="952"/>
      <c r="AB112" s="953"/>
      <c r="AC112" s="952"/>
      <c r="AD112" s="953"/>
      <c r="AE112" s="954"/>
      <c r="AF112" s="918"/>
    </row>
    <row r="113" spans="1:32" s="917" customFormat="1" collapsed="1" x14ac:dyDescent="0.2">
      <c r="A113" s="915">
        <v>11</v>
      </c>
      <c r="B113" s="916" t="s">
        <v>1971</v>
      </c>
      <c r="C113" s="915" t="s">
        <v>1884</v>
      </c>
      <c r="D113" s="915" t="s">
        <v>1884</v>
      </c>
      <c r="E113" s="915" t="s">
        <v>1884</v>
      </c>
      <c r="F113" s="915" t="s">
        <v>1884</v>
      </c>
      <c r="G113" s="915" t="s">
        <v>1884</v>
      </c>
      <c r="H113" s="915" t="s">
        <v>1884</v>
      </c>
      <c r="I113" s="915" t="s">
        <v>1884</v>
      </c>
      <c r="J113" s="915" t="s">
        <v>1884</v>
      </c>
      <c r="K113" s="915" t="s">
        <v>1092</v>
      </c>
      <c r="L113" s="947" t="s">
        <v>1884</v>
      </c>
      <c r="M113" s="915" t="s">
        <v>1092</v>
      </c>
      <c r="N113" s="915" t="s">
        <v>1092</v>
      </c>
      <c r="O113" s="915" t="s">
        <v>1092</v>
      </c>
      <c r="P113" s="947" t="s">
        <v>1092</v>
      </c>
      <c r="Q113" s="947" t="s">
        <v>1884</v>
      </c>
      <c r="R113" s="947" t="s">
        <v>1884</v>
      </c>
      <c r="S113" s="947" t="s">
        <v>1884</v>
      </c>
      <c r="T113" s="915" t="s">
        <v>299</v>
      </c>
      <c r="U113" s="915" t="s">
        <v>299</v>
      </c>
      <c r="V113" s="915" t="s">
        <v>1092</v>
      </c>
      <c r="W113" s="947" t="s">
        <v>1092</v>
      </c>
      <c r="X113" s="915"/>
      <c r="Y113" s="948"/>
      <c r="Z113" s="949"/>
      <c r="AA113" s="948"/>
      <c r="AB113" s="949"/>
      <c r="AC113" s="948"/>
      <c r="AD113" s="949"/>
      <c r="AE113" s="950"/>
      <c r="AF113" s="915"/>
    </row>
    <row r="114" spans="1:32" hidden="1" outlineLevel="1" x14ac:dyDescent="0.2">
      <c r="A114" s="918">
        <v>1</v>
      </c>
      <c r="B114" s="919" t="s">
        <v>1972</v>
      </c>
      <c r="C114" s="918" t="s">
        <v>1092</v>
      </c>
      <c r="D114" s="918" t="s">
        <v>1092</v>
      </c>
      <c r="E114" s="918" t="s">
        <v>1092</v>
      </c>
      <c r="F114" s="918" t="s">
        <v>1092</v>
      </c>
      <c r="G114" s="918" t="s">
        <v>1092</v>
      </c>
      <c r="H114" s="918" t="s">
        <v>1092</v>
      </c>
      <c r="I114" s="918" t="s">
        <v>1092</v>
      </c>
      <c r="J114" s="918" t="s">
        <v>1092</v>
      </c>
      <c r="K114" s="918"/>
      <c r="L114" s="918"/>
      <c r="M114" s="918"/>
      <c r="N114" s="918"/>
      <c r="O114" s="918"/>
      <c r="P114" s="918"/>
      <c r="Q114" s="918"/>
      <c r="R114" s="918"/>
      <c r="S114" s="918"/>
      <c r="T114" s="918"/>
      <c r="U114" s="918"/>
      <c r="V114" s="918"/>
      <c r="W114" s="951"/>
      <c r="X114" s="918"/>
      <c r="Y114" s="952"/>
      <c r="Z114" s="953"/>
      <c r="AA114" s="952"/>
      <c r="AB114" s="953"/>
      <c r="AC114" s="952"/>
      <c r="AD114" s="953"/>
      <c r="AE114" s="954"/>
      <c r="AF114" s="918"/>
    </row>
    <row r="115" spans="1:32" hidden="1" outlineLevel="1" x14ac:dyDescent="0.2">
      <c r="A115" s="918">
        <v>2</v>
      </c>
      <c r="B115" s="921" t="s">
        <v>1973</v>
      </c>
      <c r="C115" s="920" t="s">
        <v>1092</v>
      </c>
      <c r="D115" s="920" t="s">
        <v>1092</v>
      </c>
      <c r="E115" s="920" t="s">
        <v>1092</v>
      </c>
      <c r="F115" s="920" t="s">
        <v>1092</v>
      </c>
      <c r="G115" s="920" t="s">
        <v>1092</v>
      </c>
      <c r="H115" s="920" t="s">
        <v>1092</v>
      </c>
      <c r="I115" s="920" t="s">
        <v>1092</v>
      </c>
      <c r="J115" s="920" t="s">
        <v>1092</v>
      </c>
      <c r="K115" s="920"/>
      <c r="L115" s="920"/>
      <c r="M115" s="920"/>
      <c r="N115" s="920"/>
      <c r="O115" s="920"/>
      <c r="P115" s="920"/>
      <c r="Q115" s="920"/>
      <c r="R115" s="920"/>
      <c r="S115" s="920"/>
      <c r="T115" s="920"/>
      <c r="U115" s="920"/>
      <c r="V115" s="920"/>
      <c r="W115" s="955"/>
      <c r="X115" s="920"/>
      <c r="Y115" s="956"/>
      <c r="Z115" s="957"/>
      <c r="AA115" s="956"/>
      <c r="AB115" s="957"/>
      <c r="AC115" s="956"/>
      <c r="AD115" s="957"/>
      <c r="AE115" s="958"/>
      <c r="AF115" s="920"/>
    </row>
    <row r="116" spans="1:32" hidden="1" outlineLevel="1" x14ac:dyDescent="0.2">
      <c r="A116" s="920">
        <v>3</v>
      </c>
      <c r="B116" s="919" t="s">
        <v>1974</v>
      </c>
      <c r="C116" s="918" t="s">
        <v>299</v>
      </c>
      <c r="D116" s="918" t="s">
        <v>1884</v>
      </c>
      <c r="E116" s="918" t="s">
        <v>1884</v>
      </c>
      <c r="F116" s="918" t="s">
        <v>1884</v>
      </c>
      <c r="G116" s="918" t="s">
        <v>1884</v>
      </c>
      <c r="H116" s="918" t="s">
        <v>1884</v>
      </c>
      <c r="I116" s="918" t="s">
        <v>1884</v>
      </c>
      <c r="J116" s="918" t="s">
        <v>1884</v>
      </c>
      <c r="K116" s="918" t="s">
        <v>1975</v>
      </c>
      <c r="L116" s="918"/>
      <c r="M116" s="918"/>
      <c r="N116" s="918"/>
      <c r="O116" s="918"/>
      <c r="P116" s="918"/>
      <c r="Q116" s="918"/>
      <c r="R116" s="918"/>
      <c r="S116" s="918"/>
      <c r="T116" s="918"/>
      <c r="U116" s="918"/>
      <c r="V116" s="918"/>
      <c r="W116" s="951"/>
      <c r="X116" s="918"/>
      <c r="Y116" s="952"/>
      <c r="Z116" s="953"/>
      <c r="AA116" s="952"/>
      <c r="AB116" s="953"/>
      <c r="AC116" s="952"/>
      <c r="AD116" s="953"/>
      <c r="AE116" s="954"/>
      <c r="AF116" s="918"/>
    </row>
    <row r="117" spans="1:32" hidden="1" outlineLevel="1" x14ac:dyDescent="0.2">
      <c r="A117" s="918">
        <v>4</v>
      </c>
      <c r="B117" s="921" t="s">
        <v>1976</v>
      </c>
      <c r="C117" s="920" t="s">
        <v>1884</v>
      </c>
      <c r="D117" s="920" t="s">
        <v>1092</v>
      </c>
      <c r="E117" s="920" t="s">
        <v>1092</v>
      </c>
      <c r="F117" s="920" t="s">
        <v>1092</v>
      </c>
      <c r="G117" s="920" t="s">
        <v>1092</v>
      </c>
      <c r="H117" s="920" t="s">
        <v>1092</v>
      </c>
      <c r="I117" s="920" t="s">
        <v>1092</v>
      </c>
      <c r="J117" s="920" t="s">
        <v>1092</v>
      </c>
      <c r="K117" s="920"/>
      <c r="L117" s="920"/>
      <c r="M117" s="920"/>
      <c r="N117" s="920"/>
      <c r="O117" s="920"/>
      <c r="P117" s="920"/>
      <c r="Q117" s="920"/>
      <c r="R117" s="920"/>
      <c r="S117" s="920"/>
      <c r="T117" s="920"/>
      <c r="U117" s="920"/>
      <c r="V117" s="920"/>
      <c r="W117" s="955"/>
      <c r="X117" s="920"/>
      <c r="Y117" s="956"/>
      <c r="Z117" s="957"/>
      <c r="AA117" s="956"/>
      <c r="AB117" s="957"/>
      <c r="AC117" s="956"/>
      <c r="AD117" s="957"/>
      <c r="AE117" s="958"/>
      <c r="AF117" s="920"/>
    </row>
    <row r="118" spans="1:32" ht="15" customHeight="1" collapsed="1" x14ac:dyDescent="0.2">
      <c r="A118" s="915">
        <v>12</v>
      </c>
      <c r="B118" s="916" t="s">
        <v>1977</v>
      </c>
      <c r="C118" s="915" t="s">
        <v>299</v>
      </c>
      <c r="D118" s="915" t="s">
        <v>1884</v>
      </c>
      <c r="E118" s="915" t="s">
        <v>299</v>
      </c>
      <c r="F118" s="915" t="s">
        <v>1884</v>
      </c>
      <c r="G118" s="915" t="s">
        <v>1092</v>
      </c>
      <c r="H118" s="915" t="s">
        <v>1092</v>
      </c>
      <c r="I118" s="915" t="s">
        <v>1092</v>
      </c>
      <c r="J118" s="915" t="s">
        <v>1092</v>
      </c>
      <c r="K118" s="915" t="s">
        <v>1092</v>
      </c>
      <c r="L118" s="915" t="s">
        <v>299</v>
      </c>
      <c r="M118" s="915" t="s">
        <v>299</v>
      </c>
      <c r="N118" s="915" t="s">
        <v>299</v>
      </c>
      <c r="O118" s="915" t="s">
        <v>299</v>
      </c>
      <c r="P118" s="915" t="s">
        <v>299</v>
      </c>
      <c r="Q118" s="915" t="s">
        <v>299</v>
      </c>
      <c r="R118" s="915" t="s">
        <v>299</v>
      </c>
      <c r="S118" s="915" t="s">
        <v>1092</v>
      </c>
      <c r="T118" s="915" t="s">
        <v>299</v>
      </c>
      <c r="U118" s="915" t="s">
        <v>299</v>
      </c>
      <c r="V118" s="915" t="s">
        <v>1092</v>
      </c>
      <c r="W118" s="947" t="s">
        <v>1092</v>
      </c>
      <c r="X118" s="915"/>
      <c r="Y118" s="956"/>
      <c r="Z118" s="957"/>
      <c r="AA118" s="956"/>
      <c r="AB118" s="957"/>
      <c r="AC118" s="956"/>
      <c r="AD118" s="957"/>
      <c r="AE118" s="958"/>
      <c r="AF118" s="920"/>
    </row>
    <row r="119" spans="1:32" hidden="1" outlineLevel="1" x14ac:dyDescent="0.2">
      <c r="A119" s="918">
        <v>1</v>
      </c>
      <c r="B119" s="919" t="s">
        <v>1978</v>
      </c>
      <c r="C119" s="918" t="s">
        <v>299</v>
      </c>
      <c r="D119" s="918" t="s">
        <v>299</v>
      </c>
      <c r="E119" s="918" t="s">
        <v>299</v>
      </c>
      <c r="F119" s="918" t="s">
        <v>299</v>
      </c>
      <c r="G119" s="918" t="s">
        <v>1092</v>
      </c>
      <c r="H119" s="918" t="s">
        <v>1092</v>
      </c>
      <c r="I119" s="918" t="s">
        <v>1092</v>
      </c>
      <c r="J119" s="918" t="s">
        <v>1092</v>
      </c>
      <c r="K119" s="918"/>
      <c r="L119" s="918"/>
      <c r="M119" s="918"/>
      <c r="N119" s="918"/>
      <c r="O119" s="918"/>
      <c r="P119" s="918"/>
      <c r="Q119" s="918"/>
      <c r="R119" s="918"/>
      <c r="S119" s="918"/>
      <c r="T119" s="918"/>
      <c r="U119" s="918"/>
      <c r="V119" s="918"/>
      <c r="W119" s="951"/>
      <c r="X119" s="918"/>
      <c r="Y119" s="952"/>
      <c r="Z119" s="953"/>
      <c r="AA119" s="952"/>
      <c r="AB119" s="953"/>
      <c r="AC119" s="952"/>
      <c r="AD119" s="953"/>
      <c r="AE119" s="954"/>
      <c r="AF119" s="918"/>
    </row>
    <row r="120" spans="1:32" hidden="1" outlineLevel="1" x14ac:dyDescent="0.2">
      <c r="A120" s="920">
        <v>2</v>
      </c>
      <c r="B120" s="921" t="s">
        <v>1979</v>
      </c>
      <c r="C120" s="920" t="s">
        <v>299</v>
      </c>
      <c r="D120" s="920" t="s">
        <v>299</v>
      </c>
      <c r="E120" s="920" t="s">
        <v>299</v>
      </c>
      <c r="F120" s="920" t="s">
        <v>299</v>
      </c>
      <c r="G120" s="920" t="s">
        <v>1092</v>
      </c>
      <c r="H120" s="920" t="s">
        <v>1092</v>
      </c>
      <c r="I120" s="920" t="s">
        <v>1092</v>
      </c>
      <c r="J120" s="920" t="s">
        <v>1092</v>
      </c>
      <c r="K120" s="920"/>
      <c r="L120" s="920"/>
      <c r="M120" s="920"/>
      <c r="N120" s="920"/>
      <c r="O120" s="920"/>
      <c r="P120" s="920"/>
      <c r="Q120" s="920"/>
      <c r="R120" s="920"/>
      <c r="S120" s="920"/>
      <c r="T120" s="920"/>
      <c r="U120" s="920"/>
      <c r="V120" s="920"/>
      <c r="W120" s="955"/>
      <c r="X120" s="920"/>
      <c r="Y120" s="956"/>
      <c r="Z120" s="957"/>
      <c r="AA120" s="956"/>
      <c r="AB120" s="957"/>
      <c r="AC120" s="956"/>
      <c r="AD120" s="957"/>
      <c r="AE120" s="958"/>
      <c r="AF120" s="920"/>
    </row>
    <row r="121" spans="1:32" hidden="1" outlineLevel="1" x14ac:dyDescent="0.2">
      <c r="A121" s="918">
        <v>3</v>
      </c>
      <c r="B121" s="919" t="s">
        <v>1980</v>
      </c>
      <c r="C121" s="918" t="s">
        <v>299</v>
      </c>
      <c r="D121" s="918" t="s">
        <v>299</v>
      </c>
      <c r="E121" s="918" t="s">
        <v>299</v>
      </c>
      <c r="F121" s="918" t="s">
        <v>299</v>
      </c>
      <c r="G121" s="918" t="s">
        <v>1092</v>
      </c>
      <c r="H121" s="918" t="s">
        <v>1092</v>
      </c>
      <c r="I121" s="918" t="s">
        <v>1092</v>
      </c>
      <c r="J121" s="918" t="s">
        <v>1092</v>
      </c>
      <c r="K121" s="918"/>
      <c r="L121" s="918"/>
      <c r="M121" s="918"/>
      <c r="N121" s="918"/>
      <c r="O121" s="918"/>
      <c r="P121" s="918"/>
      <c r="Q121" s="918"/>
      <c r="R121" s="918"/>
      <c r="S121" s="918"/>
      <c r="T121" s="918"/>
      <c r="U121" s="918"/>
      <c r="V121" s="918"/>
      <c r="W121" s="951"/>
      <c r="X121" s="918"/>
      <c r="Y121" s="952"/>
      <c r="Z121" s="953"/>
      <c r="AA121" s="952"/>
      <c r="AB121" s="953"/>
      <c r="AC121" s="952"/>
      <c r="AD121" s="953"/>
      <c r="AE121" s="954"/>
      <c r="AF121" s="918"/>
    </row>
    <row r="122" spans="1:32" ht="36" hidden="1" outlineLevel="1" x14ac:dyDescent="0.2">
      <c r="A122" s="920">
        <v>4</v>
      </c>
      <c r="B122" s="921" t="s">
        <v>1981</v>
      </c>
      <c r="C122" s="920" t="s">
        <v>299</v>
      </c>
      <c r="D122" s="920" t="s">
        <v>299</v>
      </c>
      <c r="E122" s="920" t="s">
        <v>299</v>
      </c>
      <c r="F122" s="920" t="s">
        <v>299</v>
      </c>
      <c r="G122" s="920" t="s">
        <v>1092</v>
      </c>
      <c r="H122" s="920" t="s">
        <v>1092</v>
      </c>
      <c r="I122" s="920" t="s">
        <v>1092</v>
      </c>
      <c r="J122" s="920" t="s">
        <v>1092</v>
      </c>
      <c r="K122" s="920"/>
      <c r="L122" s="920"/>
      <c r="M122" s="920"/>
      <c r="N122" s="920"/>
      <c r="O122" s="920"/>
      <c r="P122" s="920"/>
      <c r="Q122" s="920"/>
      <c r="R122" s="920"/>
      <c r="S122" s="920"/>
      <c r="T122" s="920"/>
      <c r="U122" s="920"/>
      <c r="V122" s="920"/>
      <c r="W122" s="955"/>
      <c r="X122" s="920"/>
      <c r="Y122" s="956"/>
      <c r="Z122" s="957"/>
      <c r="AA122" s="956"/>
      <c r="AB122" s="957"/>
      <c r="AC122" s="956"/>
      <c r="AD122" s="957"/>
      <c r="AE122" s="958"/>
      <c r="AF122" s="920"/>
    </row>
    <row r="123" spans="1:32" hidden="1" outlineLevel="1" x14ac:dyDescent="0.2">
      <c r="A123" s="918">
        <v>5</v>
      </c>
      <c r="B123" s="919" t="s">
        <v>1982</v>
      </c>
      <c r="C123" s="918" t="s">
        <v>299</v>
      </c>
      <c r="D123" s="918" t="s">
        <v>299</v>
      </c>
      <c r="E123" s="918" t="s">
        <v>299</v>
      </c>
      <c r="F123" s="918" t="s">
        <v>299</v>
      </c>
      <c r="G123" s="918" t="s">
        <v>1092</v>
      </c>
      <c r="H123" s="918" t="s">
        <v>1092</v>
      </c>
      <c r="I123" s="918" t="s">
        <v>1092</v>
      </c>
      <c r="J123" s="918" t="s">
        <v>1092</v>
      </c>
      <c r="K123" s="918"/>
      <c r="L123" s="918"/>
      <c r="M123" s="918"/>
      <c r="N123" s="918"/>
      <c r="O123" s="918"/>
      <c r="P123" s="918"/>
      <c r="Q123" s="918"/>
      <c r="R123" s="918"/>
      <c r="S123" s="918"/>
      <c r="T123" s="918"/>
      <c r="U123" s="918"/>
      <c r="V123" s="918"/>
      <c r="W123" s="951"/>
      <c r="X123" s="918"/>
      <c r="Y123" s="952"/>
      <c r="Z123" s="953"/>
      <c r="AA123" s="952"/>
      <c r="AB123" s="953"/>
      <c r="AC123" s="952"/>
      <c r="AD123" s="953"/>
      <c r="AE123" s="954"/>
      <c r="AF123" s="918"/>
    </row>
    <row r="124" spans="1:32" hidden="1" outlineLevel="1" x14ac:dyDescent="0.2">
      <c r="A124" s="920">
        <v>6</v>
      </c>
      <c r="B124" s="921" t="s">
        <v>1983</v>
      </c>
      <c r="C124" s="920" t="s">
        <v>299</v>
      </c>
      <c r="D124" s="920" t="s">
        <v>299</v>
      </c>
      <c r="E124" s="920" t="s">
        <v>299</v>
      </c>
      <c r="F124" s="920" t="s">
        <v>299</v>
      </c>
      <c r="G124" s="920" t="s">
        <v>1092</v>
      </c>
      <c r="H124" s="920" t="s">
        <v>1092</v>
      </c>
      <c r="I124" s="920" t="s">
        <v>1092</v>
      </c>
      <c r="J124" s="920" t="s">
        <v>1092</v>
      </c>
      <c r="K124" s="920"/>
      <c r="L124" s="920"/>
      <c r="M124" s="920"/>
      <c r="N124" s="920"/>
      <c r="O124" s="920"/>
      <c r="P124" s="920"/>
      <c r="Q124" s="920"/>
      <c r="R124" s="920"/>
      <c r="S124" s="920"/>
      <c r="T124" s="920"/>
      <c r="U124" s="920"/>
      <c r="V124" s="920"/>
      <c r="W124" s="955"/>
      <c r="X124" s="920"/>
      <c r="Y124" s="956"/>
      <c r="Z124" s="957"/>
      <c r="AA124" s="956"/>
      <c r="AB124" s="957"/>
      <c r="AC124" s="956"/>
      <c r="AD124" s="957"/>
      <c r="AE124" s="958"/>
      <c r="AF124" s="920"/>
    </row>
    <row r="125" spans="1:32" hidden="1" outlineLevel="1" x14ac:dyDescent="0.2">
      <c r="A125" s="918">
        <v>7</v>
      </c>
      <c r="B125" s="919" t="s">
        <v>1984</v>
      </c>
      <c r="C125" s="918" t="s">
        <v>299</v>
      </c>
      <c r="D125" s="918" t="s">
        <v>299</v>
      </c>
      <c r="E125" s="918" t="s">
        <v>299</v>
      </c>
      <c r="F125" s="918" t="s">
        <v>299</v>
      </c>
      <c r="G125" s="918" t="s">
        <v>1092</v>
      </c>
      <c r="H125" s="918" t="s">
        <v>1092</v>
      </c>
      <c r="I125" s="918" t="s">
        <v>1092</v>
      </c>
      <c r="J125" s="918" t="s">
        <v>1092</v>
      </c>
      <c r="K125" s="918"/>
      <c r="L125" s="918"/>
      <c r="M125" s="918"/>
      <c r="N125" s="918"/>
      <c r="O125" s="918"/>
      <c r="P125" s="918"/>
      <c r="Q125" s="918"/>
      <c r="R125" s="918"/>
      <c r="S125" s="918"/>
      <c r="T125" s="918"/>
      <c r="U125" s="918"/>
      <c r="V125" s="918"/>
      <c r="W125" s="951"/>
      <c r="X125" s="918"/>
      <c r="Y125" s="952"/>
      <c r="Z125" s="953"/>
      <c r="AA125" s="952"/>
      <c r="AB125" s="953"/>
      <c r="AC125" s="952"/>
      <c r="AD125" s="953"/>
      <c r="AE125" s="954"/>
      <c r="AF125" s="918"/>
    </row>
    <row r="126" spans="1:32" hidden="1" outlineLevel="1" x14ac:dyDescent="0.2">
      <c r="A126" s="920">
        <v>8</v>
      </c>
      <c r="B126" s="921" t="s">
        <v>1985</v>
      </c>
      <c r="C126" s="920" t="s">
        <v>299</v>
      </c>
      <c r="D126" s="920" t="s">
        <v>299</v>
      </c>
      <c r="E126" s="920" t="s">
        <v>299</v>
      </c>
      <c r="F126" s="920" t="s">
        <v>299</v>
      </c>
      <c r="G126" s="920" t="s">
        <v>1092</v>
      </c>
      <c r="H126" s="920" t="s">
        <v>1092</v>
      </c>
      <c r="I126" s="920" t="s">
        <v>1092</v>
      </c>
      <c r="J126" s="920" t="s">
        <v>1092</v>
      </c>
      <c r="K126" s="920"/>
      <c r="L126" s="920"/>
      <c r="M126" s="920"/>
      <c r="N126" s="920"/>
      <c r="O126" s="920"/>
      <c r="P126" s="920"/>
      <c r="Q126" s="920"/>
      <c r="R126" s="920"/>
      <c r="S126" s="920"/>
      <c r="T126" s="920"/>
      <c r="U126" s="920"/>
      <c r="V126" s="920"/>
      <c r="W126" s="955"/>
      <c r="X126" s="920"/>
      <c r="Y126" s="956"/>
      <c r="Z126" s="957"/>
      <c r="AA126" s="956"/>
      <c r="AB126" s="957"/>
      <c r="AC126" s="956"/>
      <c r="AD126" s="957"/>
      <c r="AE126" s="958"/>
      <c r="AF126" s="920"/>
    </row>
    <row r="127" spans="1:32" hidden="1" outlineLevel="1" x14ac:dyDescent="0.2">
      <c r="A127" s="918">
        <v>9</v>
      </c>
      <c r="B127" s="919" t="s">
        <v>1986</v>
      </c>
      <c r="C127" s="918" t="s">
        <v>299</v>
      </c>
      <c r="D127" s="918" t="s">
        <v>299</v>
      </c>
      <c r="E127" s="918" t="s">
        <v>299</v>
      </c>
      <c r="F127" s="918" t="s">
        <v>299</v>
      </c>
      <c r="G127" s="918" t="s">
        <v>1092</v>
      </c>
      <c r="H127" s="918" t="s">
        <v>1092</v>
      </c>
      <c r="I127" s="918" t="s">
        <v>1092</v>
      </c>
      <c r="J127" s="918" t="s">
        <v>1092</v>
      </c>
      <c r="K127" s="918"/>
      <c r="L127" s="918"/>
      <c r="M127" s="918"/>
      <c r="N127" s="918"/>
      <c r="O127" s="918"/>
      <c r="P127" s="918"/>
      <c r="Q127" s="918"/>
      <c r="R127" s="918"/>
      <c r="S127" s="918"/>
      <c r="T127" s="918"/>
      <c r="U127" s="918"/>
      <c r="V127" s="918"/>
      <c r="W127" s="951"/>
      <c r="X127" s="918"/>
      <c r="Y127" s="952"/>
      <c r="Z127" s="953"/>
      <c r="AA127" s="952"/>
      <c r="AB127" s="953"/>
      <c r="AC127" s="952"/>
      <c r="AD127" s="953"/>
      <c r="AE127" s="954"/>
      <c r="AF127" s="918"/>
    </row>
    <row r="128" spans="1:32" hidden="1" outlineLevel="1" x14ac:dyDescent="0.2">
      <c r="A128" s="920">
        <v>10</v>
      </c>
      <c r="B128" s="921" t="s">
        <v>1987</v>
      </c>
      <c r="C128" s="920" t="s">
        <v>299</v>
      </c>
      <c r="D128" s="920" t="s">
        <v>299</v>
      </c>
      <c r="E128" s="920" t="s">
        <v>299</v>
      </c>
      <c r="F128" s="920" t="s">
        <v>299</v>
      </c>
      <c r="G128" s="920" t="s">
        <v>1092</v>
      </c>
      <c r="H128" s="920" t="s">
        <v>1092</v>
      </c>
      <c r="I128" s="920" t="s">
        <v>1092</v>
      </c>
      <c r="J128" s="920" t="s">
        <v>1092</v>
      </c>
      <c r="K128" s="920"/>
      <c r="L128" s="920"/>
      <c r="M128" s="920"/>
      <c r="N128" s="920"/>
      <c r="O128" s="920"/>
      <c r="P128" s="920"/>
      <c r="Q128" s="920"/>
      <c r="R128" s="920"/>
      <c r="S128" s="920"/>
      <c r="T128" s="920"/>
      <c r="U128" s="920"/>
      <c r="V128" s="920"/>
      <c r="W128" s="955"/>
      <c r="X128" s="920"/>
      <c r="Y128" s="956"/>
      <c r="Z128" s="957"/>
      <c r="AA128" s="956"/>
      <c r="AB128" s="957"/>
      <c r="AC128" s="956"/>
      <c r="AD128" s="957"/>
      <c r="AE128" s="958"/>
      <c r="AF128" s="920"/>
    </row>
    <row r="129" spans="1:32" hidden="1" outlineLevel="1" x14ac:dyDescent="0.2">
      <c r="A129" s="918">
        <v>11</v>
      </c>
      <c r="B129" s="919" t="s">
        <v>1988</v>
      </c>
      <c r="C129" s="918" t="s">
        <v>299</v>
      </c>
      <c r="D129" s="918" t="s">
        <v>299</v>
      </c>
      <c r="E129" s="918" t="s">
        <v>299</v>
      </c>
      <c r="F129" s="918" t="s">
        <v>299</v>
      </c>
      <c r="G129" s="918" t="s">
        <v>1092</v>
      </c>
      <c r="H129" s="918" t="s">
        <v>1092</v>
      </c>
      <c r="I129" s="918" t="s">
        <v>1092</v>
      </c>
      <c r="J129" s="918" t="s">
        <v>1092</v>
      </c>
      <c r="K129" s="918"/>
      <c r="L129" s="918"/>
      <c r="M129" s="918"/>
      <c r="N129" s="918"/>
      <c r="O129" s="918"/>
      <c r="P129" s="918"/>
      <c r="Q129" s="918"/>
      <c r="R129" s="918"/>
      <c r="S129" s="918"/>
      <c r="T129" s="918"/>
      <c r="U129" s="918"/>
      <c r="V129" s="918"/>
      <c r="W129" s="951"/>
      <c r="X129" s="918"/>
      <c r="Y129" s="952"/>
      <c r="Z129" s="953"/>
      <c r="AA129" s="952"/>
      <c r="AB129" s="953"/>
      <c r="AC129" s="952"/>
      <c r="AD129" s="953"/>
      <c r="AE129" s="954"/>
      <c r="AF129" s="918"/>
    </row>
    <row r="130" spans="1:32" hidden="1" outlineLevel="1" x14ac:dyDescent="0.2">
      <c r="A130" s="920">
        <v>12</v>
      </c>
      <c r="B130" s="921" t="s">
        <v>1989</v>
      </c>
      <c r="C130" s="920" t="s">
        <v>299</v>
      </c>
      <c r="D130" s="920" t="s">
        <v>299</v>
      </c>
      <c r="E130" s="920" t="s">
        <v>299</v>
      </c>
      <c r="F130" s="920" t="s">
        <v>299</v>
      </c>
      <c r="G130" s="920" t="s">
        <v>1092</v>
      </c>
      <c r="H130" s="920" t="s">
        <v>1092</v>
      </c>
      <c r="I130" s="920" t="s">
        <v>1092</v>
      </c>
      <c r="J130" s="920" t="s">
        <v>1092</v>
      </c>
      <c r="K130" s="920"/>
      <c r="L130" s="920"/>
      <c r="M130" s="920"/>
      <c r="N130" s="920"/>
      <c r="O130" s="920"/>
      <c r="P130" s="920"/>
      <c r="Q130" s="920"/>
      <c r="R130" s="920"/>
      <c r="S130" s="920"/>
      <c r="T130" s="920"/>
      <c r="U130" s="920"/>
      <c r="V130" s="920"/>
      <c r="W130" s="955"/>
      <c r="X130" s="920"/>
      <c r="Y130" s="956"/>
      <c r="Z130" s="957"/>
      <c r="AA130" s="956"/>
      <c r="AB130" s="957"/>
      <c r="AC130" s="956"/>
      <c r="AD130" s="957"/>
      <c r="AE130" s="958"/>
      <c r="AF130" s="920"/>
    </row>
    <row r="131" spans="1:32" hidden="1" outlineLevel="1" x14ac:dyDescent="0.2">
      <c r="A131" s="918">
        <v>13</v>
      </c>
      <c r="B131" s="919" t="s">
        <v>1990</v>
      </c>
      <c r="C131" s="918" t="s">
        <v>299</v>
      </c>
      <c r="D131" s="918" t="s">
        <v>299</v>
      </c>
      <c r="E131" s="918" t="s">
        <v>299</v>
      </c>
      <c r="F131" s="918" t="s">
        <v>299</v>
      </c>
      <c r="G131" s="918" t="s">
        <v>1092</v>
      </c>
      <c r="H131" s="918" t="s">
        <v>1092</v>
      </c>
      <c r="I131" s="918" t="s">
        <v>1092</v>
      </c>
      <c r="J131" s="918" t="s">
        <v>1092</v>
      </c>
      <c r="K131" s="918"/>
      <c r="L131" s="918"/>
      <c r="M131" s="918"/>
      <c r="N131" s="918"/>
      <c r="O131" s="918"/>
      <c r="P131" s="918"/>
      <c r="Q131" s="918"/>
      <c r="R131" s="918"/>
      <c r="S131" s="918"/>
      <c r="T131" s="918"/>
      <c r="U131" s="918"/>
      <c r="V131" s="918"/>
      <c r="W131" s="951"/>
      <c r="X131" s="918"/>
      <c r="Y131" s="952"/>
      <c r="Z131" s="953"/>
      <c r="AA131" s="952"/>
      <c r="AB131" s="953"/>
      <c r="AC131" s="952"/>
      <c r="AD131" s="953"/>
      <c r="AE131" s="954"/>
      <c r="AF131" s="918"/>
    </row>
    <row r="132" spans="1:32" ht="24" hidden="1" outlineLevel="1" x14ac:dyDescent="0.2">
      <c r="A132" s="920">
        <v>14</v>
      </c>
      <c r="B132" s="921" t="s">
        <v>1991</v>
      </c>
      <c r="C132" s="920" t="s">
        <v>299</v>
      </c>
      <c r="D132" s="920" t="s">
        <v>299</v>
      </c>
      <c r="E132" s="920" t="s">
        <v>299</v>
      </c>
      <c r="F132" s="920" t="s">
        <v>299</v>
      </c>
      <c r="G132" s="920" t="s">
        <v>1092</v>
      </c>
      <c r="H132" s="920" t="s">
        <v>1092</v>
      </c>
      <c r="I132" s="920" t="s">
        <v>1092</v>
      </c>
      <c r="J132" s="920" t="s">
        <v>1092</v>
      </c>
      <c r="K132" s="920"/>
      <c r="L132" s="920"/>
      <c r="M132" s="920"/>
      <c r="N132" s="920"/>
      <c r="O132" s="920"/>
      <c r="P132" s="920"/>
      <c r="Q132" s="920"/>
      <c r="R132" s="920"/>
      <c r="S132" s="920"/>
      <c r="T132" s="920"/>
      <c r="U132" s="920"/>
      <c r="V132" s="920"/>
      <c r="W132" s="955"/>
      <c r="X132" s="920"/>
      <c r="Y132" s="956"/>
      <c r="Z132" s="957"/>
      <c r="AA132" s="956"/>
      <c r="AB132" s="957"/>
      <c r="AC132" s="956"/>
      <c r="AD132" s="957"/>
      <c r="AE132" s="958"/>
      <c r="AF132" s="920"/>
    </row>
    <row r="133" spans="1:32" hidden="1" outlineLevel="1" x14ac:dyDescent="0.2">
      <c r="A133" s="918">
        <v>15</v>
      </c>
      <c r="B133" s="919" t="s">
        <v>1992</v>
      </c>
      <c r="C133" s="918" t="s">
        <v>299</v>
      </c>
      <c r="D133" s="918" t="s">
        <v>299</v>
      </c>
      <c r="E133" s="918" t="s">
        <v>299</v>
      </c>
      <c r="F133" s="918" t="s">
        <v>299</v>
      </c>
      <c r="G133" s="918" t="s">
        <v>1092</v>
      </c>
      <c r="H133" s="918" t="s">
        <v>1092</v>
      </c>
      <c r="I133" s="918" t="s">
        <v>1092</v>
      </c>
      <c r="J133" s="918" t="s">
        <v>1092</v>
      </c>
      <c r="K133" s="918"/>
      <c r="L133" s="918"/>
      <c r="M133" s="918"/>
      <c r="N133" s="918"/>
      <c r="O133" s="918"/>
      <c r="P133" s="918"/>
      <c r="Q133" s="918"/>
      <c r="R133" s="918"/>
      <c r="S133" s="918"/>
      <c r="T133" s="918"/>
      <c r="U133" s="918"/>
      <c r="V133" s="918"/>
      <c r="W133" s="951"/>
      <c r="X133" s="918"/>
      <c r="Y133" s="952"/>
      <c r="Z133" s="953"/>
      <c r="AA133" s="952"/>
      <c r="AB133" s="953"/>
      <c r="AC133" s="952"/>
      <c r="AD133" s="953"/>
      <c r="AE133" s="954"/>
      <c r="AF133" s="918"/>
    </row>
    <row r="134" spans="1:32" ht="48" hidden="1" outlineLevel="1" x14ac:dyDescent="0.2">
      <c r="A134" s="920">
        <v>18</v>
      </c>
      <c r="B134" s="921" t="s">
        <v>1993</v>
      </c>
      <c r="C134" s="920" t="s">
        <v>299</v>
      </c>
      <c r="D134" s="920" t="s">
        <v>299</v>
      </c>
      <c r="E134" s="920" t="s">
        <v>299</v>
      </c>
      <c r="F134" s="920" t="s">
        <v>299</v>
      </c>
      <c r="G134" s="920" t="s">
        <v>299</v>
      </c>
      <c r="H134" s="920" t="s">
        <v>299</v>
      </c>
      <c r="I134" s="920" t="s">
        <v>299</v>
      </c>
      <c r="J134" s="920" t="s">
        <v>299</v>
      </c>
      <c r="K134" s="920" t="s">
        <v>1994</v>
      </c>
      <c r="L134" s="920"/>
      <c r="M134" s="920"/>
      <c r="N134" s="920"/>
      <c r="O134" s="920"/>
      <c r="P134" s="920"/>
      <c r="Q134" s="920"/>
      <c r="R134" s="920"/>
      <c r="S134" s="920"/>
      <c r="T134" s="920"/>
      <c r="U134" s="920"/>
      <c r="V134" s="920"/>
      <c r="W134" s="955"/>
      <c r="X134" s="920"/>
      <c r="Y134" s="956"/>
      <c r="Z134" s="957"/>
      <c r="AA134" s="956"/>
      <c r="AB134" s="957"/>
      <c r="AC134" s="956"/>
      <c r="AD134" s="957"/>
      <c r="AE134" s="958"/>
      <c r="AF134" s="920"/>
    </row>
    <row r="135" spans="1:32" ht="36" hidden="1" outlineLevel="1" x14ac:dyDescent="0.2">
      <c r="A135" s="918">
        <v>19</v>
      </c>
      <c r="B135" s="919" t="s">
        <v>1995</v>
      </c>
      <c r="C135" s="918" t="s">
        <v>299</v>
      </c>
      <c r="D135" s="918" t="s">
        <v>299</v>
      </c>
      <c r="E135" s="918" t="s">
        <v>299</v>
      </c>
      <c r="F135" s="918" t="s">
        <v>299</v>
      </c>
      <c r="G135" s="918" t="s">
        <v>299</v>
      </c>
      <c r="H135" s="918" t="s">
        <v>299</v>
      </c>
      <c r="I135" s="918" t="s">
        <v>299</v>
      </c>
      <c r="J135" s="918" t="s">
        <v>299</v>
      </c>
      <c r="K135" s="918" t="s">
        <v>1994</v>
      </c>
      <c r="L135" s="918"/>
      <c r="M135" s="918"/>
      <c r="N135" s="918"/>
      <c r="O135" s="918"/>
      <c r="P135" s="918"/>
      <c r="Q135" s="918"/>
      <c r="R135" s="918"/>
      <c r="S135" s="918"/>
      <c r="T135" s="918"/>
      <c r="U135" s="918"/>
      <c r="V135" s="918"/>
      <c r="W135" s="951"/>
      <c r="X135" s="918"/>
      <c r="Y135" s="952"/>
      <c r="Z135" s="953"/>
      <c r="AA135" s="952"/>
      <c r="AB135" s="953"/>
      <c r="AC135" s="952"/>
      <c r="AD135" s="953"/>
      <c r="AE135" s="954"/>
      <c r="AF135" s="918"/>
    </row>
    <row r="136" spans="1:32" ht="36" hidden="1" outlineLevel="1" x14ac:dyDescent="0.2">
      <c r="A136" s="920">
        <v>20</v>
      </c>
      <c r="B136" s="921" t="s">
        <v>1996</v>
      </c>
      <c r="C136" s="920" t="s">
        <v>299</v>
      </c>
      <c r="D136" s="920" t="s">
        <v>299</v>
      </c>
      <c r="E136" s="920" t="s">
        <v>299</v>
      </c>
      <c r="F136" s="920" t="s">
        <v>299</v>
      </c>
      <c r="G136" s="920" t="s">
        <v>299</v>
      </c>
      <c r="H136" s="920" t="s">
        <v>299</v>
      </c>
      <c r="I136" s="920" t="s">
        <v>299</v>
      </c>
      <c r="J136" s="920" t="s">
        <v>299</v>
      </c>
      <c r="K136" s="920" t="s">
        <v>1994</v>
      </c>
      <c r="L136" s="920"/>
      <c r="M136" s="920"/>
      <c r="N136" s="920"/>
      <c r="O136" s="920"/>
      <c r="P136" s="920"/>
      <c r="Q136" s="920"/>
      <c r="R136" s="920"/>
      <c r="S136" s="920"/>
      <c r="T136" s="920"/>
      <c r="U136" s="920"/>
      <c r="V136" s="920"/>
      <c r="W136" s="955"/>
      <c r="X136" s="920"/>
      <c r="Y136" s="956"/>
      <c r="Z136" s="957"/>
      <c r="AA136" s="956"/>
      <c r="AB136" s="957"/>
      <c r="AC136" s="956"/>
      <c r="AD136" s="957"/>
      <c r="AE136" s="958"/>
      <c r="AF136" s="920"/>
    </row>
    <row r="137" spans="1:32" ht="24" hidden="1" outlineLevel="1" x14ac:dyDescent="0.2">
      <c r="A137" s="918">
        <v>21</v>
      </c>
      <c r="B137" s="919" t="s">
        <v>1997</v>
      </c>
      <c r="C137" s="918" t="s">
        <v>299</v>
      </c>
      <c r="D137" s="918" t="s">
        <v>299</v>
      </c>
      <c r="E137" s="918" t="s">
        <v>299</v>
      </c>
      <c r="F137" s="918" t="s">
        <v>299</v>
      </c>
      <c r="G137" s="918" t="s">
        <v>299</v>
      </c>
      <c r="H137" s="918" t="s">
        <v>299</v>
      </c>
      <c r="I137" s="918" t="s">
        <v>299</v>
      </c>
      <c r="J137" s="918" t="s">
        <v>299</v>
      </c>
      <c r="K137" s="918" t="s">
        <v>1994</v>
      </c>
      <c r="L137" s="918"/>
      <c r="M137" s="918"/>
      <c r="N137" s="918"/>
      <c r="O137" s="918"/>
      <c r="P137" s="918"/>
      <c r="Q137" s="918"/>
      <c r="R137" s="918"/>
      <c r="S137" s="918"/>
      <c r="T137" s="918"/>
      <c r="U137" s="918"/>
      <c r="V137" s="918"/>
      <c r="W137" s="951"/>
      <c r="X137" s="918"/>
      <c r="Y137" s="952"/>
      <c r="Z137" s="953"/>
      <c r="AA137" s="952"/>
      <c r="AB137" s="953"/>
      <c r="AC137" s="952"/>
      <c r="AD137" s="953"/>
      <c r="AE137" s="954"/>
      <c r="AF137" s="918"/>
    </row>
    <row r="138" spans="1:32" hidden="1" outlineLevel="1" x14ac:dyDescent="0.2">
      <c r="A138" s="920">
        <v>22</v>
      </c>
      <c r="B138" s="921" t="s">
        <v>1998</v>
      </c>
      <c r="C138" s="920" t="s">
        <v>299</v>
      </c>
      <c r="D138" s="920" t="s">
        <v>299</v>
      </c>
      <c r="E138" s="920" t="s">
        <v>299</v>
      </c>
      <c r="F138" s="920" t="s">
        <v>299</v>
      </c>
      <c r="G138" s="920" t="s">
        <v>299</v>
      </c>
      <c r="H138" s="920" t="s">
        <v>299</v>
      </c>
      <c r="I138" s="920" t="s">
        <v>299</v>
      </c>
      <c r="J138" s="920" t="s">
        <v>299</v>
      </c>
      <c r="K138" s="920" t="s">
        <v>1994</v>
      </c>
      <c r="L138" s="920"/>
      <c r="M138" s="920"/>
      <c r="N138" s="920"/>
      <c r="O138" s="920"/>
      <c r="P138" s="920"/>
      <c r="Q138" s="920"/>
      <c r="R138" s="920"/>
      <c r="S138" s="920"/>
      <c r="T138" s="920"/>
      <c r="U138" s="920"/>
      <c r="V138" s="920"/>
      <c r="W138" s="955"/>
      <c r="X138" s="920"/>
      <c r="Y138" s="956"/>
      <c r="Z138" s="957"/>
      <c r="AA138" s="956"/>
      <c r="AB138" s="957"/>
      <c r="AC138" s="956"/>
      <c r="AD138" s="957"/>
      <c r="AE138" s="958"/>
      <c r="AF138" s="920"/>
    </row>
    <row r="139" spans="1:32" ht="15" customHeight="1" collapsed="1" x14ac:dyDescent="0.2">
      <c r="A139" s="915" t="s">
        <v>1999</v>
      </c>
      <c r="B139" s="916" t="s">
        <v>2169</v>
      </c>
      <c r="C139" s="915" t="s">
        <v>1884</v>
      </c>
      <c r="D139" s="915" t="s">
        <v>1884</v>
      </c>
      <c r="E139" s="915" t="s">
        <v>1884</v>
      </c>
      <c r="F139" s="915" t="s">
        <v>1884</v>
      </c>
      <c r="G139" s="915" t="s">
        <v>1884</v>
      </c>
      <c r="H139" s="915" t="s">
        <v>1092</v>
      </c>
      <c r="I139" s="915" t="s">
        <v>1092</v>
      </c>
      <c r="J139" s="915" t="s">
        <v>1092</v>
      </c>
      <c r="K139" s="915"/>
      <c r="L139" s="915" t="s">
        <v>299</v>
      </c>
      <c r="M139" s="915" t="s">
        <v>299</v>
      </c>
      <c r="N139" s="915" t="s">
        <v>299</v>
      </c>
      <c r="O139" s="947" t="s">
        <v>1884</v>
      </c>
      <c r="P139" s="915" t="s">
        <v>299</v>
      </c>
      <c r="Q139" s="915" t="s">
        <v>299</v>
      </c>
      <c r="R139" s="915" t="s">
        <v>1092</v>
      </c>
      <c r="S139" s="915" t="s">
        <v>1092</v>
      </c>
      <c r="T139" s="947" t="s">
        <v>299</v>
      </c>
      <c r="U139" s="947" t="s">
        <v>1884</v>
      </c>
      <c r="V139" s="915" t="s">
        <v>1092</v>
      </c>
      <c r="W139" s="947" t="s">
        <v>1092</v>
      </c>
      <c r="X139" s="915"/>
      <c r="Y139" s="956"/>
      <c r="Z139" s="957"/>
      <c r="AA139" s="956"/>
      <c r="AB139" s="957"/>
      <c r="AC139" s="956"/>
      <c r="AD139" s="957"/>
      <c r="AE139" s="958"/>
      <c r="AF139" s="920"/>
    </row>
    <row r="140" spans="1:32" hidden="1" outlineLevel="1" x14ac:dyDescent="0.2">
      <c r="A140" s="918" t="s">
        <v>2000</v>
      </c>
      <c r="B140" s="919" t="s">
        <v>2170</v>
      </c>
      <c r="C140" s="918" t="s">
        <v>299</v>
      </c>
      <c r="D140" s="918" t="s">
        <v>299</v>
      </c>
      <c r="E140" s="918" t="s">
        <v>299</v>
      </c>
      <c r="F140" s="918" t="s">
        <v>299</v>
      </c>
      <c r="G140" s="918" t="s">
        <v>299</v>
      </c>
      <c r="H140" s="918" t="s">
        <v>299</v>
      </c>
      <c r="I140" s="918" t="s">
        <v>299</v>
      </c>
      <c r="J140" s="918" t="s">
        <v>1092</v>
      </c>
      <c r="K140" s="918"/>
      <c r="L140" s="918"/>
      <c r="M140" s="918"/>
      <c r="N140" s="918"/>
      <c r="O140" s="918"/>
      <c r="P140" s="918"/>
      <c r="Q140" s="918"/>
      <c r="R140" s="918"/>
      <c r="S140" s="918"/>
      <c r="T140" s="918"/>
      <c r="U140" s="918"/>
      <c r="V140" s="918"/>
      <c r="W140" s="951"/>
      <c r="X140" s="918"/>
      <c r="Y140" s="952"/>
      <c r="Z140" s="953"/>
      <c r="AA140" s="952"/>
      <c r="AB140" s="953"/>
      <c r="AC140" s="952"/>
      <c r="AD140" s="953"/>
      <c r="AE140" s="954"/>
      <c r="AF140" s="918"/>
    </row>
    <row r="141" spans="1:32" hidden="1" outlineLevel="1" x14ac:dyDescent="0.2">
      <c r="A141" s="920" t="s">
        <v>2002</v>
      </c>
      <c r="B141" s="921" t="s">
        <v>2171</v>
      </c>
      <c r="C141" s="920" t="s">
        <v>299</v>
      </c>
      <c r="D141" s="920" t="s">
        <v>299</v>
      </c>
      <c r="E141" s="920" t="s">
        <v>299</v>
      </c>
      <c r="F141" s="920" t="s">
        <v>299</v>
      </c>
      <c r="G141" s="920" t="s">
        <v>299</v>
      </c>
      <c r="H141" s="920" t="s">
        <v>299</v>
      </c>
      <c r="I141" s="920" t="s">
        <v>299</v>
      </c>
      <c r="J141" s="920" t="s">
        <v>1092</v>
      </c>
      <c r="K141" s="920"/>
      <c r="L141" s="920"/>
      <c r="M141" s="920"/>
      <c r="N141" s="920"/>
      <c r="O141" s="920"/>
      <c r="P141" s="920"/>
      <c r="Q141" s="920"/>
      <c r="R141" s="920"/>
      <c r="S141" s="920"/>
      <c r="T141" s="920"/>
      <c r="U141" s="920"/>
      <c r="V141" s="920"/>
      <c r="W141" s="955"/>
      <c r="X141" s="920"/>
      <c r="Y141" s="956"/>
      <c r="Z141" s="957"/>
      <c r="AA141" s="956"/>
      <c r="AB141" s="957"/>
      <c r="AC141" s="956"/>
      <c r="AD141" s="957"/>
      <c r="AE141" s="958"/>
      <c r="AF141" s="920"/>
    </row>
    <row r="142" spans="1:32" hidden="1" outlineLevel="1" x14ac:dyDescent="0.2">
      <c r="A142" s="918" t="s">
        <v>2004</v>
      </c>
      <c r="B142" s="919" t="s">
        <v>2172</v>
      </c>
      <c r="C142" s="918" t="s">
        <v>299</v>
      </c>
      <c r="D142" s="918" t="s">
        <v>299</v>
      </c>
      <c r="E142" s="918" t="s">
        <v>299</v>
      </c>
      <c r="F142" s="918" t="s">
        <v>299</v>
      </c>
      <c r="G142" s="918" t="s">
        <v>299</v>
      </c>
      <c r="H142" s="918" t="s">
        <v>299</v>
      </c>
      <c r="I142" s="918" t="s">
        <v>299</v>
      </c>
      <c r="J142" s="918" t="s">
        <v>1092</v>
      </c>
      <c r="K142" s="918"/>
      <c r="L142" s="918"/>
      <c r="M142" s="918"/>
      <c r="N142" s="918"/>
      <c r="O142" s="918"/>
      <c r="P142" s="918"/>
      <c r="Q142" s="918"/>
      <c r="R142" s="918"/>
      <c r="S142" s="918"/>
      <c r="T142" s="918"/>
      <c r="U142" s="918"/>
      <c r="V142" s="918"/>
      <c r="W142" s="951"/>
      <c r="X142" s="918"/>
      <c r="Y142" s="952"/>
      <c r="Z142" s="953"/>
      <c r="AA142" s="952"/>
      <c r="AB142" s="953"/>
      <c r="AC142" s="952"/>
      <c r="AD142" s="953"/>
      <c r="AE142" s="954"/>
      <c r="AF142" s="918"/>
    </row>
    <row r="143" spans="1:32" hidden="1" outlineLevel="1" x14ac:dyDescent="0.2">
      <c r="A143" s="920" t="s">
        <v>2006</v>
      </c>
      <c r="B143" s="921" t="s">
        <v>2173</v>
      </c>
      <c r="C143" s="920" t="s">
        <v>299</v>
      </c>
      <c r="D143" s="920" t="s">
        <v>299</v>
      </c>
      <c r="E143" s="920" t="s">
        <v>299</v>
      </c>
      <c r="F143" s="920" t="s">
        <v>299</v>
      </c>
      <c r="G143" s="920" t="s">
        <v>299</v>
      </c>
      <c r="H143" s="920" t="s">
        <v>299</v>
      </c>
      <c r="I143" s="920" t="s">
        <v>299</v>
      </c>
      <c r="J143" s="920" t="s">
        <v>1092</v>
      </c>
      <c r="K143" s="920"/>
      <c r="L143" s="920"/>
      <c r="M143" s="920"/>
      <c r="N143" s="920"/>
      <c r="O143" s="920"/>
      <c r="P143" s="920"/>
      <c r="Q143" s="920"/>
      <c r="R143" s="920"/>
      <c r="S143" s="920"/>
      <c r="T143" s="920"/>
      <c r="U143" s="920"/>
      <c r="V143" s="920"/>
      <c r="W143" s="955"/>
      <c r="X143" s="920"/>
      <c r="Y143" s="956"/>
      <c r="Z143" s="957"/>
      <c r="AA143" s="956"/>
      <c r="AB143" s="957"/>
      <c r="AC143" s="956"/>
      <c r="AD143" s="957"/>
      <c r="AE143" s="958"/>
      <c r="AF143" s="920"/>
    </row>
    <row r="144" spans="1:32" hidden="1" outlineLevel="1" x14ac:dyDescent="0.2">
      <c r="A144" s="918" t="s">
        <v>2008</v>
      </c>
      <c r="B144" s="919" t="s">
        <v>2174</v>
      </c>
      <c r="C144" s="918" t="s">
        <v>299</v>
      </c>
      <c r="D144" s="918" t="s">
        <v>299</v>
      </c>
      <c r="E144" s="918" t="s">
        <v>299</v>
      </c>
      <c r="F144" s="918" t="s">
        <v>299</v>
      </c>
      <c r="G144" s="918" t="s">
        <v>299</v>
      </c>
      <c r="H144" s="918" t="s">
        <v>299</v>
      </c>
      <c r="I144" s="918" t="s">
        <v>299</v>
      </c>
      <c r="J144" s="918" t="s">
        <v>1092</v>
      </c>
      <c r="K144" s="918"/>
      <c r="L144" s="918"/>
      <c r="M144" s="918"/>
      <c r="N144" s="918"/>
      <c r="O144" s="918"/>
      <c r="P144" s="918"/>
      <c r="Q144" s="918"/>
      <c r="R144" s="918"/>
      <c r="S144" s="918"/>
      <c r="T144" s="918"/>
      <c r="U144" s="918"/>
      <c r="V144" s="918"/>
      <c r="W144" s="951"/>
      <c r="X144" s="918"/>
      <c r="Y144" s="952"/>
      <c r="Z144" s="953"/>
      <c r="AA144" s="952"/>
      <c r="AB144" s="953"/>
      <c r="AC144" s="952"/>
      <c r="AD144" s="953"/>
      <c r="AE144" s="954"/>
      <c r="AF144" s="918"/>
    </row>
    <row r="145" spans="1:32" hidden="1" outlineLevel="1" x14ac:dyDescent="0.2">
      <c r="A145" s="920" t="s">
        <v>2017</v>
      </c>
      <c r="B145" s="921" t="s">
        <v>2175</v>
      </c>
      <c r="C145" s="920" t="s">
        <v>299</v>
      </c>
      <c r="D145" s="920" t="s">
        <v>299</v>
      </c>
      <c r="E145" s="920" t="s">
        <v>299</v>
      </c>
      <c r="F145" s="920" t="s">
        <v>299</v>
      </c>
      <c r="G145" s="920" t="s">
        <v>299</v>
      </c>
      <c r="H145" s="920" t="s">
        <v>299</v>
      </c>
      <c r="I145" s="920" t="s">
        <v>299</v>
      </c>
      <c r="J145" s="920" t="s">
        <v>1092</v>
      </c>
      <c r="K145" s="920"/>
      <c r="L145" s="920"/>
      <c r="M145" s="920"/>
      <c r="N145" s="920"/>
      <c r="O145" s="920"/>
      <c r="P145" s="920"/>
      <c r="Q145" s="920"/>
      <c r="R145" s="920"/>
      <c r="S145" s="920"/>
      <c r="T145" s="920"/>
      <c r="U145" s="920"/>
      <c r="V145" s="920"/>
      <c r="W145" s="955"/>
      <c r="X145" s="920"/>
      <c r="Y145" s="956"/>
      <c r="Z145" s="957"/>
      <c r="AA145" s="956"/>
      <c r="AB145" s="957"/>
      <c r="AC145" s="956"/>
      <c r="AD145" s="957"/>
      <c r="AE145" s="958"/>
      <c r="AF145" s="920"/>
    </row>
    <row r="146" spans="1:32" hidden="1" outlineLevel="1" x14ac:dyDescent="0.2">
      <c r="A146" s="918" t="s">
        <v>2019</v>
      </c>
      <c r="B146" s="919" t="s">
        <v>2176</v>
      </c>
      <c r="C146" s="918" t="s">
        <v>299</v>
      </c>
      <c r="D146" s="918" t="s">
        <v>299</v>
      </c>
      <c r="E146" s="918" t="s">
        <v>299</v>
      </c>
      <c r="F146" s="918" t="s">
        <v>299</v>
      </c>
      <c r="G146" s="918" t="s">
        <v>299</v>
      </c>
      <c r="H146" s="918" t="s">
        <v>299</v>
      </c>
      <c r="I146" s="918" t="s">
        <v>299</v>
      </c>
      <c r="J146" s="918" t="s">
        <v>1092</v>
      </c>
      <c r="K146" s="918"/>
      <c r="L146" s="918"/>
      <c r="M146" s="918"/>
      <c r="N146" s="918"/>
      <c r="O146" s="918"/>
      <c r="P146" s="918"/>
      <c r="Q146" s="918"/>
      <c r="R146" s="918"/>
      <c r="S146" s="918"/>
      <c r="T146" s="918"/>
      <c r="U146" s="918"/>
      <c r="V146" s="918"/>
      <c r="W146" s="951"/>
      <c r="X146" s="918"/>
      <c r="Y146" s="952"/>
      <c r="Z146" s="953"/>
      <c r="AA146" s="952"/>
      <c r="AB146" s="953"/>
      <c r="AC146" s="952"/>
      <c r="AD146" s="953"/>
      <c r="AE146" s="954"/>
      <c r="AF146" s="918"/>
    </row>
    <row r="147" spans="1:32" hidden="1" outlineLevel="1" x14ac:dyDescent="0.2">
      <c r="A147" s="920" t="s">
        <v>2021</v>
      </c>
      <c r="B147" s="921" t="s">
        <v>2177</v>
      </c>
      <c r="C147" s="920" t="s">
        <v>299</v>
      </c>
      <c r="D147" s="920" t="s">
        <v>299</v>
      </c>
      <c r="E147" s="920" t="s">
        <v>299</v>
      </c>
      <c r="F147" s="920" t="s">
        <v>299</v>
      </c>
      <c r="G147" s="920" t="s">
        <v>299</v>
      </c>
      <c r="H147" s="920" t="s">
        <v>299</v>
      </c>
      <c r="I147" s="920" t="s">
        <v>299</v>
      </c>
      <c r="J147" s="920" t="s">
        <v>1092</v>
      </c>
      <c r="K147" s="920"/>
      <c r="L147" s="920"/>
      <c r="M147" s="920"/>
      <c r="N147" s="920"/>
      <c r="O147" s="920"/>
      <c r="P147" s="920"/>
      <c r="Q147" s="920"/>
      <c r="R147" s="920"/>
      <c r="S147" s="920"/>
      <c r="T147" s="920"/>
      <c r="U147" s="920"/>
      <c r="V147" s="920"/>
      <c r="W147" s="955"/>
      <c r="X147" s="920"/>
      <c r="Y147" s="956"/>
      <c r="Z147" s="957"/>
      <c r="AA147" s="956"/>
      <c r="AB147" s="957"/>
      <c r="AC147" s="956"/>
      <c r="AD147" s="957"/>
      <c r="AE147" s="958"/>
      <c r="AF147" s="920"/>
    </row>
    <row r="148" spans="1:32" s="917" customFormat="1" collapsed="1" x14ac:dyDescent="0.2">
      <c r="A148" s="922" t="s">
        <v>2010</v>
      </c>
      <c r="B148" s="916" t="s">
        <v>1955</v>
      </c>
      <c r="C148" s="915" t="s">
        <v>1884</v>
      </c>
      <c r="D148" s="915" t="s">
        <v>1884</v>
      </c>
      <c r="E148" s="915" t="s">
        <v>1884</v>
      </c>
      <c r="F148" s="915" t="s">
        <v>1884</v>
      </c>
      <c r="G148" s="915" t="s">
        <v>1884</v>
      </c>
      <c r="H148" s="915" t="s">
        <v>1092</v>
      </c>
      <c r="I148" s="915" t="s">
        <v>1092</v>
      </c>
      <c r="J148" s="915" t="s">
        <v>1092</v>
      </c>
      <c r="K148" s="915"/>
      <c r="L148" s="915" t="s">
        <v>299</v>
      </c>
      <c r="M148" s="915" t="s">
        <v>1092</v>
      </c>
      <c r="N148" s="915" t="s">
        <v>1092</v>
      </c>
      <c r="O148" s="915" t="s">
        <v>1092</v>
      </c>
      <c r="P148" s="915" t="s">
        <v>299</v>
      </c>
      <c r="Q148" s="915" t="s">
        <v>299</v>
      </c>
      <c r="R148" s="947" t="s">
        <v>1884</v>
      </c>
      <c r="S148" s="915" t="s">
        <v>299</v>
      </c>
      <c r="T148" s="947" t="s">
        <v>299</v>
      </c>
      <c r="U148" s="947" t="s">
        <v>1884</v>
      </c>
      <c r="V148" s="915" t="s">
        <v>1092</v>
      </c>
      <c r="W148" s="947" t="s">
        <v>1092</v>
      </c>
      <c r="X148" s="915" t="s">
        <v>1092</v>
      </c>
      <c r="Y148" s="948"/>
      <c r="Z148" s="949"/>
      <c r="AA148" s="948"/>
      <c r="AB148" s="949"/>
      <c r="AC148" s="948"/>
      <c r="AD148" s="949"/>
      <c r="AE148" s="950"/>
      <c r="AF148" s="915"/>
    </row>
    <row r="149" spans="1:32" hidden="1" outlineLevel="1" x14ac:dyDescent="0.2">
      <c r="A149" s="918" t="s">
        <v>2000</v>
      </c>
      <c r="B149" s="919" t="s">
        <v>2001</v>
      </c>
      <c r="C149" s="918" t="s">
        <v>299</v>
      </c>
      <c r="D149" s="918" t="s">
        <v>299</v>
      </c>
      <c r="E149" s="918" t="s">
        <v>299</v>
      </c>
      <c r="F149" s="918" t="s">
        <v>299</v>
      </c>
      <c r="G149" s="918" t="s">
        <v>299</v>
      </c>
      <c r="H149" s="918" t="s">
        <v>299</v>
      </c>
      <c r="I149" s="918" t="s">
        <v>299</v>
      </c>
      <c r="J149" s="918" t="s">
        <v>1092</v>
      </c>
      <c r="K149" s="918"/>
      <c r="L149" s="918"/>
      <c r="M149" s="918"/>
      <c r="N149" s="918"/>
      <c r="O149" s="918"/>
      <c r="P149" s="918"/>
      <c r="Q149" s="918"/>
      <c r="R149" s="918"/>
      <c r="S149" s="918"/>
      <c r="T149" s="918"/>
      <c r="U149" s="918"/>
      <c r="V149" s="918"/>
      <c r="W149" s="951"/>
      <c r="X149" s="918"/>
      <c r="Y149" s="952"/>
      <c r="Z149" s="953"/>
      <c r="AA149" s="952"/>
      <c r="AB149" s="953"/>
      <c r="AC149" s="952"/>
      <c r="AD149" s="953"/>
      <c r="AE149" s="954"/>
      <c r="AF149" s="918"/>
    </row>
    <row r="150" spans="1:32" hidden="1" outlineLevel="1" x14ac:dyDescent="0.2">
      <c r="A150" s="920" t="s">
        <v>2002</v>
      </c>
      <c r="B150" s="921" t="s">
        <v>2003</v>
      </c>
      <c r="C150" s="920" t="s">
        <v>299</v>
      </c>
      <c r="D150" s="920" t="s">
        <v>299</v>
      </c>
      <c r="E150" s="920" t="s">
        <v>299</v>
      </c>
      <c r="F150" s="920" t="s">
        <v>299</v>
      </c>
      <c r="G150" s="920" t="s">
        <v>299</v>
      </c>
      <c r="H150" s="920" t="s">
        <v>299</v>
      </c>
      <c r="I150" s="920" t="s">
        <v>299</v>
      </c>
      <c r="J150" s="920" t="s">
        <v>1092</v>
      </c>
      <c r="K150" s="920"/>
      <c r="L150" s="920"/>
      <c r="M150" s="920"/>
      <c r="N150" s="920"/>
      <c r="O150" s="920"/>
      <c r="P150" s="920"/>
      <c r="Q150" s="920"/>
      <c r="R150" s="920"/>
      <c r="S150" s="920"/>
      <c r="T150" s="920"/>
      <c r="U150" s="920"/>
      <c r="V150" s="920"/>
      <c r="W150" s="955"/>
      <c r="X150" s="920"/>
      <c r="Y150" s="956"/>
      <c r="Z150" s="957"/>
      <c r="AA150" s="956"/>
      <c r="AB150" s="957"/>
      <c r="AC150" s="956"/>
      <c r="AD150" s="957"/>
      <c r="AE150" s="958"/>
      <c r="AF150" s="920"/>
    </row>
    <row r="151" spans="1:32" hidden="1" outlineLevel="1" x14ac:dyDescent="0.2">
      <c r="A151" s="918" t="s">
        <v>2004</v>
      </c>
      <c r="B151" s="919" t="s">
        <v>2005</v>
      </c>
      <c r="C151" s="918" t="s">
        <v>299</v>
      </c>
      <c r="D151" s="918" t="s">
        <v>299</v>
      </c>
      <c r="E151" s="918" t="s">
        <v>299</v>
      </c>
      <c r="F151" s="918" t="s">
        <v>299</v>
      </c>
      <c r="G151" s="918" t="s">
        <v>299</v>
      </c>
      <c r="H151" s="918" t="s">
        <v>299</v>
      </c>
      <c r="I151" s="918" t="s">
        <v>299</v>
      </c>
      <c r="J151" s="918" t="s">
        <v>1092</v>
      </c>
      <c r="K151" s="918"/>
      <c r="L151" s="918"/>
      <c r="M151" s="918"/>
      <c r="N151" s="918"/>
      <c r="O151" s="918"/>
      <c r="P151" s="918"/>
      <c r="Q151" s="918"/>
      <c r="R151" s="918"/>
      <c r="S151" s="918"/>
      <c r="T151" s="918"/>
      <c r="U151" s="918"/>
      <c r="V151" s="918"/>
      <c r="W151" s="951"/>
      <c r="X151" s="918"/>
      <c r="Y151" s="952"/>
      <c r="Z151" s="953"/>
      <c r="AA151" s="952"/>
      <c r="AB151" s="953"/>
      <c r="AC151" s="952"/>
      <c r="AD151" s="953"/>
      <c r="AE151" s="954"/>
      <c r="AF151" s="918"/>
    </row>
    <row r="152" spans="1:32" hidden="1" outlineLevel="1" x14ac:dyDescent="0.2">
      <c r="A152" s="920" t="s">
        <v>2006</v>
      </c>
      <c r="B152" s="921" t="s">
        <v>2007</v>
      </c>
      <c r="C152" s="920" t="s">
        <v>299</v>
      </c>
      <c r="D152" s="920" t="s">
        <v>299</v>
      </c>
      <c r="E152" s="920" t="s">
        <v>299</v>
      </c>
      <c r="F152" s="920" t="s">
        <v>299</v>
      </c>
      <c r="G152" s="920" t="s">
        <v>299</v>
      </c>
      <c r="H152" s="920" t="s">
        <v>299</v>
      </c>
      <c r="I152" s="920" t="s">
        <v>299</v>
      </c>
      <c r="J152" s="920" t="s">
        <v>1092</v>
      </c>
      <c r="K152" s="920"/>
      <c r="L152" s="920"/>
      <c r="M152" s="920"/>
      <c r="N152" s="920"/>
      <c r="O152" s="920"/>
      <c r="P152" s="920"/>
      <c r="Q152" s="920"/>
      <c r="R152" s="920"/>
      <c r="S152" s="920"/>
      <c r="T152" s="920"/>
      <c r="U152" s="920"/>
      <c r="V152" s="920"/>
      <c r="W152" s="955"/>
      <c r="X152" s="920"/>
      <c r="Y152" s="956"/>
      <c r="Z152" s="957"/>
      <c r="AA152" s="956"/>
      <c r="AB152" s="957"/>
      <c r="AC152" s="956"/>
      <c r="AD152" s="957"/>
      <c r="AE152" s="958"/>
      <c r="AF152" s="920"/>
    </row>
    <row r="153" spans="1:32" hidden="1" outlineLevel="1" x14ac:dyDescent="0.2">
      <c r="A153" s="918" t="s">
        <v>2008</v>
      </c>
      <c r="B153" s="919" t="s">
        <v>2009</v>
      </c>
      <c r="C153" s="918" t="s">
        <v>299</v>
      </c>
      <c r="D153" s="918" t="s">
        <v>299</v>
      </c>
      <c r="E153" s="918" t="s">
        <v>299</v>
      </c>
      <c r="F153" s="918" t="s">
        <v>299</v>
      </c>
      <c r="G153" s="918" t="s">
        <v>299</v>
      </c>
      <c r="H153" s="918" t="s">
        <v>299</v>
      </c>
      <c r="I153" s="918" t="s">
        <v>299</v>
      </c>
      <c r="J153" s="918" t="s">
        <v>1092</v>
      </c>
      <c r="K153" s="918"/>
      <c r="L153" s="918"/>
      <c r="M153" s="918"/>
      <c r="N153" s="918"/>
      <c r="O153" s="918"/>
      <c r="P153" s="918"/>
      <c r="Q153" s="918"/>
      <c r="R153" s="918"/>
      <c r="S153" s="918"/>
      <c r="T153" s="918"/>
      <c r="U153" s="918"/>
      <c r="V153" s="918"/>
      <c r="W153" s="951"/>
      <c r="X153" s="918"/>
      <c r="Y153" s="952"/>
      <c r="Z153" s="953"/>
      <c r="AA153" s="952"/>
      <c r="AB153" s="953"/>
      <c r="AC153" s="952"/>
      <c r="AD153" s="953"/>
      <c r="AE153" s="954"/>
      <c r="AF153" s="918"/>
    </row>
    <row r="154" spans="1:32" s="917" customFormat="1" collapsed="1" x14ac:dyDescent="0.2">
      <c r="A154" s="922" t="s">
        <v>2178</v>
      </c>
      <c r="B154" s="916" t="s">
        <v>2011</v>
      </c>
      <c r="C154" s="915" t="s">
        <v>1884</v>
      </c>
      <c r="D154" s="915" t="s">
        <v>1884</v>
      </c>
      <c r="E154" s="915" t="s">
        <v>1884</v>
      </c>
      <c r="F154" s="915" t="s">
        <v>1884</v>
      </c>
      <c r="G154" s="915" t="s">
        <v>1884</v>
      </c>
      <c r="H154" s="915" t="s">
        <v>1092</v>
      </c>
      <c r="I154" s="915" t="s">
        <v>1092</v>
      </c>
      <c r="J154" s="915" t="s">
        <v>1092</v>
      </c>
      <c r="K154" s="915"/>
      <c r="L154" s="915" t="s">
        <v>299</v>
      </c>
      <c r="M154" s="915" t="s">
        <v>299</v>
      </c>
      <c r="N154" s="915" t="s">
        <v>299</v>
      </c>
      <c r="O154" s="947" t="s">
        <v>1884</v>
      </c>
      <c r="P154" s="915" t="s">
        <v>299</v>
      </c>
      <c r="Q154" s="915" t="s">
        <v>299</v>
      </c>
      <c r="R154" s="915" t="s">
        <v>1092</v>
      </c>
      <c r="S154" s="915" t="s">
        <v>299</v>
      </c>
      <c r="T154" s="915" t="s">
        <v>299</v>
      </c>
      <c r="U154" s="915" t="s">
        <v>299</v>
      </c>
      <c r="V154" s="915" t="s">
        <v>1092</v>
      </c>
      <c r="W154" s="947" t="s">
        <v>1092</v>
      </c>
      <c r="X154" s="915"/>
      <c r="Y154" s="948"/>
      <c r="Z154" s="949"/>
      <c r="AA154" s="948"/>
      <c r="AB154" s="949"/>
      <c r="AC154" s="948"/>
      <c r="AD154" s="949"/>
      <c r="AE154" s="950"/>
      <c r="AF154" s="915"/>
    </row>
    <row r="155" spans="1:32" hidden="1" outlineLevel="1" x14ac:dyDescent="0.2">
      <c r="A155" s="918" t="s">
        <v>2000</v>
      </c>
      <c r="B155" s="919" t="s">
        <v>2012</v>
      </c>
      <c r="C155" s="918" t="s">
        <v>1092</v>
      </c>
      <c r="D155" s="918" t="s">
        <v>1092</v>
      </c>
      <c r="E155" s="918" t="s">
        <v>1092</v>
      </c>
      <c r="F155" s="918" t="s">
        <v>1092</v>
      </c>
      <c r="G155" s="918" t="s">
        <v>1092</v>
      </c>
      <c r="H155" s="918" t="s">
        <v>1092</v>
      </c>
      <c r="I155" s="918" t="s">
        <v>1092</v>
      </c>
      <c r="J155" s="918" t="s">
        <v>1092</v>
      </c>
      <c r="K155" s="918"/>
      <c r="L155" s="918"/>
      <c r="M155" s="918"/>
      <c r="N155" s="918"/>
      <c r="O155" s="918"/>
      <c r="P155" s="918"/>
      <c r="Q155" s="918"/>
      <c r="R155" s="918"/>
      <c r="S155" s="918"/>
      <c r="T155" s="918"/>
      <c r="U155" s="918"/>
      <c r="V155" s="918"/>
      <c r="W155" s="951"/>
      <c r="X155" s="918"/>
      <c r="Y155" s="952"/>
      <c r="Z155" s="953"/>
      <c r="AA155" s="952"/>
      <c r="AB155" s="953"/>
      <c r="AC155" s="952"/>
      <c r="AD155" s="953"/>
      <c r="AE155" s="954"/>
      <c r="AF155" s="918"/>
    </row>
    <row r="156" spans="1:32" ht="24" hidden="1" outlineLevel="1" x14ac:dyDescent="0.2">
      <c r="A156" s="920" t="s">
        <v>2002</v>
      </c>
      <c r="B156" s="921" t="s">
        <v>2013</v>
      </c>
      <c r="C156" s="920" t="s">
        <v>299</v>
      </c>
      <c r="D156" s="920" t="s">
        <v>299</v>
      </c>
      <c r="E156" s="920" t="s">
        <v>299</v>
      </c>
      <c r="F156" s="920" t="s">
        <v>299</v>
      </c>
      <c r="G156" s="920" t="s">
        <v>299</v>
      </c>
      <c r="H156" s="920" t="s">
        <v>1092</v>
      </c>
      <c r="I156" s="920" t="s">
        <v>1092</v>
      </c>
      <c r="J156" s="920" t="s">
        <v>1092</v>
      </c>
      <c r="K156" s="920"/>
      <c r="L156" s="920"/>
      <c r="M156" s="920"/>
      <c r="N156" s="920"/>
      <c r="O156" s="920"/>
      <c r="P156" s="920"/>
      <c r="Q156" s="920"/>
      <c r="R156" s="920"/>
      <c r="S156" s="920"/>
      <c r="T156" s="920"/>
      <c r="U156" s="920"/>
      <c r="V156" s="920"/>
      <c r="W156" s="955"/>
      <c r="X156" s="920"/>
      <c r="Y156" s="956"/>
      <c r="Z156" s="957"/>
      <c r="AA156" s="956"/>
      <c r="AB156" s="957"/>
      <c r="AC156" s="956"/>
      <c r="AD156" s="957"/>
      <c r="AE156" s="958"/>
      <c r="AF156" s="920"/>
    </row>
    <row r="157" spans="1:32" ht="96" hidden="1" outlineLevel="1" x14ac:dyDescent="0.2">
      <c r="A157" s="918" t="s">
        <v>2004</v>
      </c>
      <c r="B157" s="919" t="s">
        <v>2014</v>
      </c>
      <c r="C157" s="918" t="s">
        <v>299</v>
      </c>
      <c r="D157" s="918" t="s">
        <v>299</v>
      </c>
      <c r="E157" s="918" t="s">
        <v>299</v>
      </c>
      <c r="F157" s="918" t="s">
        <v>299</v>
      </c>
      <c r="G157" s="918" t="s">
        <v>299</v>
      </c>
      <c r="H157" s="918" t="s">
        <v>1092</v>
      </c>
      <c r="I157" s="918" t="s">
        <v>1092</v>
      </c>
      <c r="J157" s="918" t="s">
        <v>1092</v>
      </c>
      <c r="K157" s="918"/>
      <c r="L157" s="918"/>
      <c r="M157" s="918"/>
      <c r="N157" s="918"/>
      <c r="O157" s="918"/>
      <c r="P157" s="918"/>
      <c r="Q157" s="918"/>
      <c r="R157" s="918"/>
      <c r="S157" s="918"/>
      <c r="T157" s="918"/>
      <c r="U157" s="918"/>
      <c r="V157" s="918"/>
      <c r="W157" s="951"/>
      <c r="X157" s="918"/>
      <c r="Y157" s="952"/>
      <c r="Z157" s="953"/>
      <c r="AA157" s="952"/>
      <c r="AB157" s="953"/>
      <c r="AC157" s="952"/>
      <c r="AD157" s="953"/>
      <c r="AE157" s="954"/>
      <c r="AF157" s="918"/>
    </row>
    <row r="158" spans="1:32" ht="24" hidden="1" outlineLevel="1" x14ac:dyDescent="0.2">
      <c r="A158" s="920" t="s">
        <v>2006</v>
      </c>
      <c r="B158" s="921" t="s">
        <v>2015</v>
      </c>
      <c r="C158" s="920" t="s">
        <v>299</v>
      </c>
      <c r="D158" s="920" t="s">
        <v>299</v>
      </c>
      <c r="E158" s="920" t="s">
        <v>299</v>
      </c>
      <c r="F158" s="920" t="s">
        <v>299</v>
      </c>
      <c r="G158" s="920" t="s">
        <v>299</v>
      </c>
      <c r="H158" s="920" t="s">
        <v>1092</v>
      </c>
      <c r="I158" s="920" t="s">
        <v>1092</v>
      </c>
      <c r="J158" s="920" t="s">
        <v>1092</v>
      </c>
      <c r="K158" s="920"/>
      <c r="L158" s="920"/>
      <c r="M158" s="920"/>
      <c r="N158" s="920"/>
      <c r="O158" s="920"/>
      <c r="P158" s="920"/>
      <c r="Q158" s="920"/>
      <c r="R158" s="920"/>
      <c r="S158" s="920"/>
      <c r="T158" s="920"/>
      <c r="U158" s="920"/>
      <c r="V158" s="920"/>
      <c r="W158" s="955"/>
      <c r="X158" s="920"/>
      <c r="Y158" s="956"/>
      <c r="Z158" s="957"/>
      <c r="AA158" s="956"/>
      <c r="AB158" s="957"/>
      <c r="AC158" s="956"/>
      <c r="AD158" s="957"/>
      <c r="AE158" s="958"/>
      <c r="AF158" s="920"/>
    </row>
    <row r="159" spans="1:32" hidden="1" outlineLevel="1" x14ac:dyDescent="0.2">
      <c r="A159" s="918" t="s">
        <v>2008</v>
      </c>
      <c r="B159" s="919" t="s">
        <v>2016</v>
      </c>
      <c r="C159" s="918" t="s">
        <v>299</v>
      </c>
      <c r="D159" s="918" t="s">
        <v>299</v>
      </c>
      <c r="E159" s="918" t="s">
        <v>299</v>
      </c>
      <c r="F159" s="918" t="s">
        <v>299</v>
      </c>
      <c r="G159" s="918" t="s">
        <v>299</v>
      </c>
      <c r="H159" s="918" t="s">
        <v>1092</v>
      </c>
      <c r="I159" s="918" t="s">
        <v>1092</v>
      </c>
      <c r="J159" s="918" t="s">
        <v>1092</v>
      </c>
      <c r="K159" s="918"/>
      <c r="L159" s="918"/>
      <c r="M159" s="918"/>
      <c r="N159" s="918"/>
      <c r="O159" s="918"/>
      <c r="P159" s="918"/>
      <c r="Q159" s="918"/>
      <c r="R159" s="918"/>
      <c r="S159" s="918"/>
      <c r="T159" s="918"/>
      <c r="U159" s="918"/>
      <c r="V159" s="918"/>
      <c r="W159" s="951"/>
      <c r="X159" s="918"/>
      <c r="Y159" s="952"/>
      <c r="Z159" s="953"/>
      <c r="AA159" s="952"/>
      <c r="AB159" s="953"/>
      <c r="AC159" s="952"/>
      <c r="AD159" s="953"/>
      <c r="AE159" s="954"/>
      <c r="AF159" s="918"/>
    </row>
    <row r="160" spans="1:32" hidden="1" outlineLevel="1" x14ac:dyDescent="0.2">
      <c r="A160" s="918" t="s">
        <v>2017</v>
      </c>
      <c r="B160" s="919" t="s">
        <v>2018</v>
      </c>
      <c r="C160" s="918" t="s">
        <v>299</v>
      </c>
      <c r="D160" s="918" t="s">
        <v>299</v>
      </c>
      <c r="E160" s="918" t="s">
        <v>299</v>
      </c>
      <c r="F160" s="918" t="s">
        <v>299</v>
      </c>
      <c r="G160" s="918" t="s">
        <v>299</v>
      </c>
      <c r="H160" s="918" t="s">
        <v>1092</v>
      </c>
      <c r="I160" s="918" t="s">
        <v>1092</v>
      </c>
      <c r="J160" s="918" t="s">
        <v>1092</v>
      </c>
      <c r="K160" s="918"/>
      <c r="L160" s="918"/>
      <c r="M160" s="918"/>
      <c r="N160" s="918"/>
      <c r="O160" s="918"/>
      <c r="P160" s="918"/>
      <c r="Q160" s="918"/>
      <c r="R160" s="918"/>
      <c r="S160" s="918"/>
      <c r="T160" s="918"/>
      <c r="U160" s="918"/>
      <c r="V160" s="918"/>
      <c r="W160" s="951"/>
      <c r="X160" s="918"/>
      <c r="Y160" s="952"/>
      <c r="Z160" s="953"/>
      <c r="AA160" s="952"/>
      <c r="AB160" s="953"/>
      <c r="AC160" s="952"/>
      <c r="AD160" s="953"/>
      <c r="AE160" s="954"/>
      <c r="AF160" s="918"/>
    </row>
    <row r="161" spans="1:32" hidden="1" outlineLevel="1" x14ac:dyDescent="0.2">
      <c r="A161" s="920" t="s">
        <v>2019</v>
      </c>
      <c r="B161" s="921" t="s">
        <v>2020</v>
      </c>
      <c r="C161" s="920" t="s">
        <v>299</v>
      </c>
      <c r="D161" s="920" t="s">
        <v>299</v>
      </c>
      <c r="E161" s="920" t="s">
        <v>299</v>
      </c>
      <c r="F161" s="920" t="s">
        <v>299</v>
      </c>
      <c r="G161" s="920" t="s">
        <v>299</v>
      </c>
      <c r="H161" s="920" t="s">
        <v>1092</v>
      </c>
      <c r="I161" s="920" t="s">
        <v>1092</v>
      </c>
      <c r="J161" s="920" t="s">
        <v>1092</v>
      </c>
      <c r="K161" s="920"/>
      <c r="L161" s="920"/>
      <c r="M161" s="920"/>
      <c r="N161" s="920"/>
      <c r="O161" s="920"/>
      <c r="P161" s="920"/>
      <c r="Q161" s="920"/>
      <c r="R161" s="920"/>
      <c r="S161" s="920"/>
      <c r="T161" s="920"/>
      <c r="U161" s="920"/>
      <c r="V161" s="920"/>
      <c r="W161" s="955"/>
      <c r="X161" s="920"/>
      <c r="Y161" s="956"/>
      <c r="Z161" s="957"/>
      <c r="AA161" s="956"/>
      <c r="AB161" s="957"/>
      <c r="AC161" s="956"/>
      <c r="AD161" s="957"/>
      <c r="AE161" s="958"/>
      <c r="AF161" s="920"/>
    </row>
    <row r="162" spans="1:32" ht="24" hidden="1" outlineLevel="1" x14ac:dyDescent="0.2">
      <c r="A162" s="918" t="s">
        <v>2021</v>
      </c>
      <c r="B162" s="919" t="s">
        <v>2022</v>
      </c>
      <c r="C162" s="918" t="s">
        <v>299</v>
      </c>
      <c r="D162" s="918" t="s">
        <v>299</v>
      </c>
      <c r="E162" s="918" t="s">
        <v>299</v>
      </c>
      <c r="F162" s="918" t="s">
        <v>299</v>
      </c>
      <c r="G162" s="918" t="s">
        <v>299</v>
      </c>
      <c r="H162" s="918" t="s">
        <v>1092</v>
      </c>
      <c r="I162" s="918" t="s">
        <v>1092</v>
      </c>
      <c r="J162" s="918" t="s">
        <v>1092</v>
      </c>
      <c r="K162" s="918"/>
      <c r="L162" s="918"/>
      <c r="M162" s="918"/>
      <c r="N162" s="918"/>
      <c r="O162" s="918"/>
      <c r="P162" s="918"/>
      <c r="Q162" s="918"/>
      <c r="R162" s="918"/>
      <c r="S162" s="918"/>
      <c r="T162" s="918"/>
      <c r="U162" s="918"/>
      <c r="V162" s="918"/>
      <c r="W162" s="951"/>
      <c r="X162" s="918"/>
      <c r="Y162" s="952"/>
      <c r="Z162" s="953"/>
      <c r="AA162" s="952"/>
      <c r="AB162" s="953"/>
      <c r="AC162" s="952"/>
      <c r="AD162" s="953"/>
      <c r="AE162" s="954"/>
      <c r="AF162" s="918"/>
    </row>
    <row r="163" spans="1:32" ht="36" hidden="1" outlineLevel="1" x14ac:dyDescent="0.2">
      <c r="A163" s="920" t="s">
        <v>2023</v>
      </c>
      <c r="B163" s="921" t="s">
        <v>2024</v>
      </c>
      <c r="C163" s="920" t="s">
        <v>299</v>
      </c>
      <c r="D163" s="920" t="s">
        <v>299</v>
      </c>
      <c r="E163" s="920" t="s">
        <v>299</v>
      </c>
      <c r="F163" s="920" t="s">
        <v>299</v>
      </c>
      <c r="G163" s="920" t="s">
        <v>299</v>
      </c>
      <c r="H163" s="920" t="s">
        <v>1092</v>
      </c>
      <c r="I163" s="920" t="s">
        <v>1092</v>
      </c>
      <c r="J163" s="920" t="s">
        <v>1092</v>
      </c>
      <c r="K163" s="920"/>
      <c r="L163" s="920"/>
      <c r="M163" s="920"/>
      <c r="N163" s="920"/>
      <c r="O163" s="920"/>
      <c r="P163" s="920"/>
      <c r="Q163" s="920"/>
      <c r="R163" s="920"/>
      <c r="S163" s="920"/>
      <c r="T163" s="920"/>
      <c r="U163" s="920"/>
      <c r="V163" s="920"/>
      <c r="W163" s="955"/>
      <c r="X163" s="920"/>
      <c r="Y163" s="956"/>
      <c r="Z163" s="957"/>
      <c r="AA163" s="956"/>
      <c r="AB163" s="957"/>
      <c r="AC163" s="956"/>
      <c r="AD163" s="957"/>
      <c r="AE163" s="958"/>
      <c r="AF163" s="920"/>
    </row>
    <row r="164" spans="1:32" hidden="1" outlineLevel="1" x14ac:dyDescent="0.2">
      <c r="A164" s="918" t="s">
        <v>2025</v>
      </c>
      <c r="B164" s="919" t="s">
        <v>2026</v>
      </c>
      <c r="C164" s="918" t="s">
        <v>299</v>
      </c>
      <c r="D164" s="918" t="s">
        <v>299</v>
      </c>
      <c r="E164" s="918" t="s">
        <v>299</v>
      </c>
      <c r="F164" s="918" t="s">
        <v>299</v>
      </c>
      <c r="G164" s="918" t="s">
        <v>299</v>
      </c>
      <c r="H164" s="918" t="s">
        <v>1092</v>
      </c>
      <c r="I164" s="918" t="s">
        <v>1092</v>
      </c>
      <c r="J164" s="918" t="s">
        <v>1092</v>
      </c>
      <c r="K164" s="918"/>
      <c r="L164" s="918"/>
      <c r="M164" s="918"/>
      <c r="N164" s="918"/>
      <c r="O164" s="918"/>
      <c r="P164" s="918"/>
      <c r="Q164" s="918"/>
      <c r="R164" s="918"/>
      <c r="S164" s="918"/>
      <c r="T164" s="918"/>
      <c r="U164" s="918"/>
      <c r="V164" s="918"/>
      <c r="W164" s="951"/>
      <c r="X164" s="918"/>
      <c r="Y164" s="952"/>
      <c r="Z164" s="953"/>
      <c r="AA164" s="952"/>
      <c r="AB164" s="953"/>
      <c r="AC164" s="952"/>
      <c r="AD164" s="953"/>
      <c r="AE164" s="954"/>
      <c r="AF164" s="918"/>
    </row>
    <row r="165" spans="1:32" ht="24" hidden="1" outlineLevel="1" x14ac:dyDescent="0.2">
      <c r="A165" s="918" t="s">
        <v>2027</v>
      </c>
      <c r="B165" s="919" t="s">
        <v>2028</v>
      </c>
      <c r="C165" s="918" t="s">
        <v>299</v>
      </c>
      <c r="D165" s="918" t="s">
        <v>299</v>
      </c>
      <c r="E165" s="918" t="s">
        <v>299</v>
      </c>
      <c r="F165" s="918" t="s">
        <v>299</v>
      </c>
      <c r="G165" s="918" t="s">
        <v>299</v>
      </c>
      <c r="H165" s="918" t="s">
        <v>1092</v>
      </c>
      <c r="I165" s="918" t="s">
        <v>1092</v>
      </c>
      <c r="J165" s="918" t="s">
        <v>1092</v>
      </c>
      <c r="K165" s="918"/>
      <c r="L165" s="918"/>
      <c r="M165" s="918"/>
      <c r="N165" s="918"/>
      <c r="O165" s="918"/>
      <c r="P165" s="918"/>
      <c r="Q165" s="918"/>
      <c r="R165" s="918"/>
      <c r="S165" s="918"/>
      <c r="T165" s="918"/>
      <c r="U165" s="918"/>
      <c r="V165" s="918"/>
      <c r="W165" s="951"/>
      <c r="X165" s="918"/>
      <c r="Y165" s="952"/>
      <c r="Z165" s="953"/>
      <c r="AA165" s="952"/>
      <c r="AB165" s="953"/>
      <c r="AC165" s="952"/>
      <c r="AD165" s="953"/>
      <c r="AE165" s="954"/>
      <c r="AF165" s="918"/>
    </row>
    <row r="166" spans="1:32" ht="24" hidden="1" outlineLevel="1" x14ac:dyDescent="0.2">
      <c r="A166" s="920" t="s">
        <v>2029</v>
      </c>
      <c r="B166" s="921" t="s">
        <v>2030</v>
      </c>
      <c r="C166" s="920" t="s">
        <v>299</v>
      </c>
      <c r="D166" s="920" t="s">
        <v>299</v>
      </c>
      <c r="E166" s="920" t="s">
        <v>299</v>
      </c>
      <c r="F166" s="920" t="s">
        <v>299</v>
      </c>
      <c r="G166" s="920" t="s">
        <v>299</v>
      </c>
      <c r="H166" s="920" t="s">
        <v>1092</v>
      </c>
      <c r="I166" s="920" t="s">
        <v>1092</v>
      </c>
      <c r="J166" s="920" t="s">
        <v>1092</v>
      </c>
      <c r="K166" s="920"/>
      <c r="L166" s="920"/>
      <c r="M166" s="920"/>
      <c r="N166" s="920"/>
      <c r="O166" s="920"/>
      <c r="P166" s="920"/>
      <c r="Q166" s="920"/>
      <c r="R166" s="920"/>
      <c r="S166" s="920"/>
      <c r="T166" s="920"/>
      <c r="U166" s="920"/>
      <c r="V166" s="920"/>
      <c r="W166" s="955"/>
      <c r="X166" s="920"/>
      <c r="Y166" s="956"/>
      <c r="Z166" s="957"/>
      <c r="AA166" s="956"/>
      <c r="AB166" s="957"/>
      <c r="AC166" s="956"/>
      <c r="AD166" s="957"/>
      <c r="AE166" s="958"/>
      <c r="AF166" s="920"/>
    </row>
    <row r="167" spans="1:32" ht="24" hidden="1" outlineLevel="1" x14ac:dyDescent="0.2">
      <c r="A167" s="918" t="s">
        <v>1999</v>
      </c>
      <c r="B167" s="919" t="s">
        <v>2031</v>
      </c>
      <c r="C167" s="918" t="s">
        <v>299</v>
      </c>
      <c r="D167" s="918" t="s">
        <v>299</v>
      </c>
      <c r="E167" s="918" t="s">
        <v>299</v>
      </c>
      <c r="F167" s="918" t="s">
        <v>299</v>
      </c>
      <c r="G167" s="918" t="s">
        <v>299</v>
      </c>
      <c r="H167" s="918" t="s">
        <v>1092</v>
      </c>
      <c r="I167" s="918" t="s">
        <v>1092</v>
      </c>
      <c r="J167" s="918" t="s">
        <v>1092</v>
      </c>
      <c r="K167" s="918"/>
      <c r="L167" s="918"/>
      <c r="M167" s="918"/>
      <c r="N167" s="918"/>
      <c r="O167" s="918"/>
      <c r="P167" s="918"/>
      <c r="Q167" s="918"/>
      <c r="R167" s="918"/>
      <c r="S167" s="918"/>
      <c r="T167" s="918"/>
      <c r="U167" s="918"/>
      <c r="V167" s="918"/>
      <c r="W167" s="951"/>
      <c r="X167" s="918"/>
      <c r="Y167" s="952"/>
      <c r="Z167" s="953"/>
      <c r="AA167" s="952"/>
      <c r="AB167" s="953"/>
      <c r="AC167" s="952"/>
      <c r="AD167" s="953"/>
      <c r="AE167" s="954"/>
      <c r="AF167" s="918"/>
    </row>
    <row r="168" spans="1:32" s="917" customFormat="1" collapsed="1" x14ac:dyDescent="0.2">
      <c r="A168" s="915">
        <v>16</v>
      </c>
      <c r="B168" s="916" t="s">
        <v>2032</v>
      </c>
      <c r="C168" s="915" t="s">
        <v>1884</v>
      </c>
      <c r="D168" s="915" t="s">
        <v>1884</v>
      </c>
      <c r="E168" s="915" t="s">
        <v>1884</v>
      </c>
      <c r="F168" s="915" t="s">
        <v>1884</v>
      </c>
      <c r="G168" s="915" t="s">
        <v>1092</v>
      </c>
      <c r="H168" s="915" t="s">
        <v>1092</v>
      </c>
      <c r="I168" s="915" t="s">
        <v>1092</v>
      </c>
      <c r="J168" s="915" t="s">
        <v>1092</v>
      </c>
      <c r="K168" s="915"/>
      <c r="L168" s="915" t="s">
        <v>299</v>
      </c>
      <c r="M168" s="915" t="s">
        <v>299</v>
      </c>
      <c r="N168" s="915" t="s">
        <v>299</v>
      </c>
      <c r="O168" s="947" t="s">
        <v>1884</v>
      </c>
      <c r="P168" s="915" t="s">
        <v>299</v>
      </c>
      <c r="Q168" s="915" t="s">
        <v>299</v>
      </c>
      <c r="R168" s="915" t="s">
        <v>1092</v>
      </c>
      <c r="S168" s="915" t="s">
        <v>1092</v>
      </c>
      <c r="T168" s="947" t="s">
        <v>299</v>
      </c>
      <c r="U168" s="947" t="s">
        <v>1884</v>
      </c>
      <c r="V168" s="915" t="s">
        <v>1092</v>
      </c>
      <c r="W168" s="947" t="s">
        <v>1092</v>
      </c>
      <c r="X168" s="915"/>
      <c r="Y168" s="948"/>
      <c r="Z168" s="949"/>
      <c r="AA168" s="948"/>
      <c r="AB168" s="949"/>
      <c r="AC168" s="948"/>
      <c r="AD168" s="949"/>
      <c r="AE168" s="950"/>
      <c r="AF168" s="915"/>
    </row>
    <row r="169" spans="1:32" hidden="1" outlineLevel="1" x14ac:dyDescent="0.2">
      <c r="A169" s="918">
        <v>1</v>
      </c>
      <c r="B169" s="919" t="s">
        <v>2033</v>
      </c>
      <c r="C169" s="918" t="s">
        <v>1092</v>
      </c>
      <c r="D169" s="918" t="s">
        <v>1092</v>
      </c>
      <c r="E169" s="918" t="s">
        <v>1092</v>
      </c>
      <c r="F169" s="918" t="s">
        <v>1092</v>
      </c>
      <c r="G169" s="918" t="s">
        <v>1092</v>
      </c>
      <c r="H169" s="918" t="s">
        <v>1092</v>
      </c>
      <c r="I169" s="918" t="s">
        <v>1092</v>
      </c>
      <c r="J169" s="918" t="s">
        <v>1092</v>
      </c>
      <c r="K169" s="918"/>
      <c r="L169" s="918"/>
      <c r="M169" s="918"/>
      <c r="N169" s="918"/>
      <c r="O169" s="918"/>
      <c r="P169" s="918"/>
      <c r="Q169" s="918"/>
      <c r="R169" s="918"/>
      <c r="S169" s="918"/>
      <c r="T169" s="918"/>
      <c r="U169" s="918"/>
      <c r="V169" s="918"/>
      <c r="W169" s="951"/>
      <c r="X169" s="918"/>
      <c r="Y169" s="952"/>
      <c r="Z169" s="953"/>
      <c r="AA169" s="952"/>
      <c r="AB169" s="953"/>
      <c r="AC169" s="952"/>
      <c r="AD169" s="953"/>
      <c r="AE169" s="954"/>
      <c r="AF169" s="918"/>
    </row>
    <row r="170" spans="1:32" hidden="1" outlineLevel="1" x14ac:dyDescent="0.2">
      <c r="A170" s="920">
        <v>2</v>
      </c>
      <c r="B170" s="921" t="s">
        <v>2034</v>
      </c>
      <c r="C170" s="920" t="s">
        <v>299</v>
      </c>
      <c r="D170" s="920" t="s">
        <v>1092</v>
      </c>
      <c r="E170" s="920" t="s">
        <v>1092</v>
      </c>
      <c r="F170" s="920" t="s">
        <v>1092</v>
      </c>
      <c r="G170" s="920" t="s">
        <v>1092</v>
      </c>
      <c r="H170" s="920" t="s">
        <v>1092</v>
      </c>
      <c r="I170" s="920" t="s">
        <v>1092</v>
      </c>
      <c r="J170" s="920" t="s">
        <v>1092</v>
      </c>
      <c r="K170" s="920"/>
      <c r="L170" s="920"/>
      <c r="M170" s="920"/>
      <c r="N170" s="920"/>
      <c r="O170" s="920"/>
      <c r="P170" s="920"/>
      <c r="Q170" s="920"/>
      <c r="R170" s="920"/>
      <c r="S170" s="920"/>
      <c r="T170" s="920"/>
      <c r="U170" s="920"/>
      <c r="V170" s="920"/>
      <c r="W170" s="955"/>
      <c r="X170" s="920"/>
      <c r="Y170" s="956"/>
      <c r="Z170" s="957"/>
      <c r="AA170" s="956"/>
      <c r="AB170" s="957"/>
      <c r="AC170" s="956"/>
      <c r="AD170" s="957"/>
      <c r="AE170" s="958"/>
      <c r="AF170" s="920"/>
    </row>
    <row r="171" spans="1:32" hidden="1" outlineLevel="1" x14ac:dyDescent="0.2">
      <c r="A171" s="918">
        <v>3</v>
      </c>
      <c r="B171" s="919" t="s">
        <v>2035</v>
      </c>
      <c r="C171" s="918" t="s">
        <v>1092</v>
      </c>
      <c r="D171" s="918" t="s">
        <v>1092</v>
      </c>
      <c r="E171" s="918" t="s">
        <v>1092</v>
      </c>
      <c r="F171" s="918" t="s">
        <v>1092</v>
      </c>
      <c r="G171" s="918" t="s">
        <v>1092</v>
      </c>
      <c r="H171" s="918" t="s">
        <v>1092</v>
      </c>
      <c r="I171" s="918" t="s">
        <v>1092</v>
      </c>
      <c r="J171" s="918" t="s">
        <v>1092</v>
      </c>
      <c r="K171" s="918"/>
      <c r="L171" s="918"/>
      <c r="M171" s="918"/>
      <c r="N171" s="918"/>
      <c r="O171" s="918"/>
      <c r="P171" s="918"/>
      <c r="Q171" s="918"/>
      <c r="R171" s="918"/>
      <c r="S171" s="918"/>
      <c r="T171" s="918"/>
      <c r="U171" s="918"/>
      <c r="V171" s="918"/>
      <c r="W171" s="951"/>
      <c r="X171" s="918"/>
      <c r="Y171" s="952"/>
      <c r="Z171" s="953"/>
      <c r="AA171" s="952"/>
      <c r="AB171" s="953"/>
      <c r="AC171" s="952"/>
      <c r="AD171" s="953"/>
      <c r="AE171" s="954"/>
      <c r="AF171" s="918"/>
    </row>
    <row r="172" spans="1:32" ht="24" hidden="1" outlineLevel="1" x14ac:dyDescent="0.2">
      <c r="A172" s="920">
        <v>4</v>
      </c>
      <c r="B172" s="921" t="s">
        <v>2036</v>
      </c>
      <c r="C172" s="920" t="s">
        <v>299</v>
      </c>
      <c r="D172" s="920" t="s">
        <v>299</v>
      </c>
      <c r="E172" s="920" t="s">
        <v>299</v>
      </c>
      <c r="F172" s="920" t="s">
        <v>299</v>
      </c>
      <c r="G172" s="920" t="s">
        <v>1092</v>
      </c>
      <c r="H172" s="920" t="s">
        <v>1092</v>
      </c>
      <c r="I172" s="920" t="s">
        <v>1092</v>
      </c>
      <c r="J172" s="920" t="s">
        <v>1092</v>
      </c>
      <c r="K172" s="920"/>
      <c r="L172" s="920"/>
      <c r="M172" s="920"/>
      <c r="N172" s="920"/>
      <c r="O172" s="920"/>
      <c r="P172" s="920"/>
      <c r="Q172" s="920"/>
      <c r="R172" s="920"/>
      <c r="S172" s="920"/>
      <c r="T172" s="920"/>
      <c r="U172" s="920"/>
      <c r="V172" s="920"/>
      <c r="W172" s="955"/>
      <c r="X172" s="920"/>
      <c r="Y172" s="956"/>
      <c r="Z172" s="957"/>
      <c r="AA172" s="956"/>
      <c r="AB172" s="957"/>
      <c r="AC172" s="956"/>
      <c r="AD172" s="957"/>
      <c r="AE172" s="958"/>
      <c r="AF172" s="920"/>
    </row>
    <row r="173" spans="1:32" hidden="1" outlineLevel="1" x14ac:dyDescent="0.2">
      <c r="A173" s="918">
        <v>5</v>
      </c>
      <c r="B173" s="919" t="s">
        <v>2037</v>
      </c>
      <c r="C173" s="918" t="s">
        <v>299</v>
      </c>
      <c r="D173" s="918" t="s">
        <v>299</v>
      </c>
      <c r="E173" s="918" t="s">
        <v>299</v>
      </c>
      <c r="F173" s="918" t="s">
        <v>299</v>
      </c>
      <c r="G173" s="918" t="s">
        <v>1092</v>
      </c>
      <c r="H173" s="918" t="s">
        <v>1092</v>
      </c>
      <c r="I173" s="918" t="s">
        <v>1092</v>
      </c>
      <c r="J173" s="918" t="s">
        <v>1092</v>
      </c>
      <c r="K173" s="918"/>
      <c r="L173" s="918"/>
      <c r="M173" s="918"/>
      <c r="N173" s="918"/>
      <c r="O173" s="918"/>
      <c r="P173" s="918"/>
      <c r="Q173" s="918"/>
      <c r="R173" s="918"/>
      <c r="S173" s="918"/>
      <c r="T173" s="918"/>
      <c r="U173" s="918"/>
      <c r="V173" s="918"/>
      <c r="W173" s="951"/>
      <c r="X173" s="918"/>
      <c r="Y173" s="952"/>
      <c r="Z173" s="953"/>
      <c r="AA173" s="952"/>
      <c r="AB173" s="953"/>
      <c r="AC173" s="952"/>
      <c r="AD173" s="953"/>
      <c r="AE173" s="954"/>
      <c r="AF173" s="918"/>
    </row>
    <row r="174" spans="1:32" ht="24" hidden="1" outlineLevel="1" x14ac:dyDescent="0.2">
      <c r="A174" s="918">
        <v>6</v>
      </c>
      <c r="B174" s="919" t="s">
        <v>2038</v>
      </c>
      <c r="C174" s="918" t="s">
        <v>299</v>
      </c>
      <c r="D174" s="918" t="s">
        <v>299</v>
      </c>
      <c r="E174" s="918" t="s">
        <v>299</v>
      </c>
      <c r="F174" s="918" t="s">
        <v>299</v>
      </c>
      <c r="G174" s="918" t="s">
        <v>1092</v>
      </c>
      <c r="H174" s="918" t="s">
        <v>1092</v>
      </c>
      <c r="I174" s="918" t="s">
        <v>1092</v>
      </c>
      <c r="J174" s="918" t="s">
        <v>1092</v>
      </c>
      <c r="K174" s="918"/>
      <c r="L174" s="918"/>
      <c r="M174" s="918"/>
      <c r="N174" s="918"/>
      <c r="O174" s="918"/>
      <c r="P174" s="918"/>
      <c r="Q174" s="918"/>
      <c r="R174" s="918"/>
      <c r="S174" s="918"/>
      <c r="T174" s="918"/>
      <c r="U174" s="918"/>
      <c r="V174" s="918"/>
      <c r="W174" s="951"/>
      <c r="X174" s="918"/>
      <c r="Y174" s="952"/>
      <c r="Z174" s="953"/>
      <c r="AA174" s="952"/>
      <c r="AB174" s="953"/>
      <c r="AC174" s="952"/>
      <c r="AD174" s="953"/>
      <c r="AE174" s="954"/>
      <c r="AF174" s="918"/>
    </row>
    <row r="175" spans="1:32" hidden="1" outlineLevel="1" x14ac:dyDescent="0.2">
      <c r="A175" s="920">
        <v>7</v>
      </c>
      <c r="B175" s="921" t="s">
        <v>2039</v>
      </c>
      <c r="C175" s="920" t="s">
        <v>299</v>
      </c>
      <c r="D175" s="920" t="s">
        <v>299</v>
      </c>
      <c r="E175" s="920" t="s">
        <v>299</v>
      </c>
      <c r="F175" s="920" t="s">
        <v>299</v>
      </c>
      <c r="G175" s="920" t="s">
        <v>1092</v>
      </c>
      <c r="H175" s="920" t="s">
        <v>1092</v>
      </c>
      <c r="I175" s="920" t="s">
        <v>1092</v>
      </c>
      <c r="J175" s="920" t="s">
        <v>1092</v>
      </c>
      <c r="K175" s="920"/>
      <c r="L175" s="920"/>
      <c r="M175" s="920"/>
      <c r="N175" s="920"/>
      <c r="O175" s="920"/>
      <c r="P175" s="920"/>
      <c r="Q175" s="920"/>
      <c r="R175" s="920"/>
      <c r="S175" s="920"/>
      <c r="T175" s="920"/>
      <c r="U175" s="920"/>
      <c r="V175" s="920"/>
      <c r="W175" s="955"/>
      <c r="X175" s="920"/>
      <c r="Y175" s="956"/>
      <c r="Z175" s="957"/>
      <c r="AA175" s="956"/>
      <c r="AB175" s="957"/>
      <c r="AC175" s="956"/>
      <c r="AD175" s="957"/>
      <c r="AE175" s="958"/>
      <c r="AF175" s="920"/>
    </row>
    <row r="176" spans="1:32" hidden="1" outlineLevel="1" x14ac:dyDescent="0.2">
      <c r="A176" s="918">
        <v>8</v>
      </c>
      <c r="B176" s="919" t="s">
        <v>2040</v>
      </c>
      <c r="C176" s="918" t="s">
        <v>1092</v>
      </c>
      <c r="D176" s="918" t="s">
        <v>1092</v>
      </c>
      <c r="E176" s="918" t="s">
        <v>1092</v>
      </c>
      <c r="F176" s="918" t="s">
        <v>1092</v>
      </c>
      <c r="G176" s="918" t="s">
        <v>1092</v>
      </c>
      <c r="H176" s="918" t="s">
        <v>1092</v>
      </c>
      <c r="I176" s="918" t="s">
        <v>1092</v>
      </c>
      <c r="J176" s="918" t="s">
        <v>1092</v>
      </c>
      <c r="K176" s="918"/>
      <c r="L176" s="918"/>
      <c r="M176" s="918"/>
      <c r="N176" s="918"/>
      <c r="O176" s="918"/>
      <c r="P176" s="918"/>
      <c r="Q176" s="918"/>
      <c r="R176" s="918"/>
      <c r="S176" s="918"/>
      <c r="T176" s="918"/>
      <c r="U176" s="918"/>
      <c r="V176" s="918"/>
      <c r="W176" s="951"/>
      <c r="X176" s="918"/>
      <c r="Y176" s="952"/>
      <c r="Z176" s="953"/>
      <c r="AA176" s="952"/>
      <c r="AB176" s="953"/>
      <c r="AC176" s="952"/>
      <c r="AD176" s="953"/>
      <c r="AE176" s="954"/>
      <c r="AF176" s="918"/>
    </row>
    <row r="177" spans="1:32" s="917" customFormat="1" collapsed="1" x14ac:dyDescent="0.2">
      <c r="A177" s="915">
        <v>17</v>
      </c>
      <c r="B177" s="916" t="s">
        <v>2041</v>
      </c>
      <c r="C177" s="915" t="s">
        <v>299</v>
      </c>
      <c r="D177" s="915" t="s">
        <v>299</v>
      </c>
      <c r="E177" s="915" t="s">
        <v>1092</v>
      </c>
      <c r="F177" s="915" t="s">
        <v>299</v>
      </c>
      <c r="G177" s="915" t="s">
        <v>1092</v>
      </c>
      <c r="H177" s="915" t="s">
        <v>299</v>
      </c>
      <c r="I177" s="915" t="s">
        <v>299</v>
      </c>
      <c r="J177" s="915" t="s">
        <v>1092</v>
      </c>
      <c r="K177" s="915"/>
      <c r="L177" s="915" t="s">
        <v>299</v>
      </c>
      <c r="M177" s="915" t="s">
        <v>299</v>
      </c>
      <c r="N177" s="915" t="s">
        <v>299</v>
      </c>
      <c r="O177" s="915" t="s">
        <v>299</v>
      </c>
      <c r="P177" s="915" t="s">
        <v>299</v>
      </c>
      <c r="Q177" s="915" t="s">
        <v>299</v>
      </c>
      <c r="R177" s="915" t="s">
        <v>299</v>
      </c>
      <c r="S177" s="915" t="s">
        <v>299</v>
      </c>
      <c r="T177" s="915" t="s">
        <v>1092</v>
      </c>
      <c r="U177" s="915" t="s">
        <v>299</v>
      </c>
      <c r="V177" s="915" t="s">
        <v>1092</v>
      </c>
      <c r="W177" s="947" t="s">
        <v>299</v>
      </c>
      <c r="X177" s="915" t="s">
        <v>1092</v>
      </c>
      <c r="Y177" s="948"/>
      <c r="Z177" s="949"/>
      <c r="AA177" s="948"/>
      <c r="AB177" s="949"/>
      <c r="AC177" s="948"/>
      <c r="AD177" s="949"/>
      <c r="AE177" s="950"/>
      <c r="AF177" s="915"/>
    </row>
    <row r="178" spans="1:32" hidden="1" outlineLevel="1" x14ac:dyDescent="0.2">
      <c r="A178" s="918">
        <v>1</v>
      </c>
      <c r="B178" s="919" t="s">
        <v>2042</v>
      </c>
      <c r="C178" s="918" t="s">
        <v>299</v>
      </c>
      <c r="D178" s="918" t="s">
        <v>299</v>
      </c>
      <c r="E178" s="918" t="s">
        <v>1092</v>
      </c>
      <c r="F178" s="918" t="s">
        <v>299</v>
      </c>
      <c r="G178" s="918" t="s">
        <v>1092</v>
      </c>
      <c r="H178" s="918" t="s">
        <v>299</v>
      </c>
      <c r="I178" s="918" t="s">
        <v>299</v>
      </c>
      <c r="J178" s="918" t="s">
        <v>1092</v>
      </c>
      <c r="K178" s="918"/>
      <c r="L178" s="918"/>
      <c r="M178" s="918"/>
      <c r="N178" s="918"/>
      <c r="O178" s="918"/>
      <c r="P178" s="918"/>
      <c r="Q178" s="918"/>
      <c r="R178" s="918"/>
      <c r="S178" s="918"/>
      <c r="T178" s="918"/>
      <c r="U178" s="918"/>
      <c r="V178" s="918"/>
      <c r="W178" s="951"/>
      <c r="X178" s="918"/>
      <c r="Y178" s="952"/>
      <c r="Z178" s="953"/>
      <c r="AA178" s="952"/>
      <c r="AB178" s="953"/>
      <c r="AC178" s="952"/>
      <c r="AD178" s="953"/>
      <c r="AE178" s="954"/>
      <c r="AF178" s="918"/>
    </row>
    <row r="179" spans="1:32" hidden="1" outlineLevel="1" x14ac:dyDescent="0.2">
      <c r="A179" s="920">
        <v>2</v>
      </c>
      <c r="B179" s="921" t="s">
        <v>2043</v>
      </c>
      <c r="C179" s="920" t="s">
        <v>299</v>
      </c>
      <c r="D179" s="920" t="s">
        <v>299</v>
      </c>
      <c r="E179" s="920" t="s">
        <v>1092</v>
      </c>
      <c r="F179" s="920" t="s">
        <v>299</v>
      </c>
      <c r="G179" s="920" t="s">
        <v>1092</v>
      </c>
      <c r="H179" s="920" t="s">
        <v>299</v>
      </c>
      <c r="I179" s="920" t="s">
        <v>299</v>
      </c>
      <c r="J179" s="920" t="s">
        <v>1092</v>
      </c>
      <c r="K179" s="920"/>
      <c r="L179" s="920"/>
      <c r="M179" s="920"/>
      <c r="N179" s="920"/>
      <c r="O179" s="920"/>
      <c r="P179" s="920"/>
      <c r="Q179" s="920"/>
      <c r="R179" s="920"/>
      <c r="S179" s="920"/>
      <c r="T179" s="920"/>
      <c r="U179" s="920"/>
      <c r="V179" s="920"/>
      <c r="W179" s="955"/>
      <c r="X179" s="920"/>
      <c r="Y179" s="956"/>
      <c r="Z179" s="957"/>
      <c r="AA179" s="956"/>
      <c r="AB179" s="957"/>
      <c r="AC179" s="956"/>
      <c r="AD179" s="957"/>
      <c r="AE179" s="958"/>
      <c r="AF179" s="920"/>
    </row>
    <row r="180" spans="1:32" hidden="1" outlineLevel="1" x14ac:dyDescent="0.2">
      <c r="A180" s="918">
        <v>3</v>
      </c>
      <c r="B180" s="919" t="s">
        <v>2044</v>
      </c>
      <c r="C180" s="918" t="s">
        <v>299</v>
      </c>
      <c r="D180" s="918" t="s">
        <v>299</v>
      </c>
      <c r="E180" s="918" t="s">
        <v>1092</v>
      </c>
      <c r="F180" s="918" t="s">
        <v>299</v>
      </c>
      <c r="G180" s="918" t="s">
        <v>1092</v>
      </c>
      <c r="H180" s="918" t="s">
        <v>299</v>
      </c>
      <c r="I180" s="918" t="s">
        <v>299</v>
      </c>
      <c r="J180" s="918" t="s">
        <v>1092</v>
      </c>
      <c r="K180" s="918"/>
      <c r="L180" s="918"/>
      <c r="M180" s="918"/>
      <c r="N180" s="918"/>
      <c r="O180" s="918"/>
      <c r="P180" s="918"/>
      <c r="Q180" s="918"/>
      <c r="R180" s="918"/>
      <c r="S180" s="918"/>
      <c r="T180" s="918"/>
      <c r="U180" s="918"/>
      <c r="V180" s="918"/>
      <c r="W180" s="951"/>
      <c r="X180" s="918"/>
      <c r="Y180" s="952"/>
      <c r="Z180" s="953"/>
      <c r="AA180" s="952"/>
      <c r="AB180" s="953"/>
      <c r="AC180" s="952"/>
      <c r="AD180" s="953"/>
      <c r="AE180" s="954"/>
      <c r="AF180" s="918"/>
    </row>
    <row r="181" spans="1:32" ht="24" hidden="1" outlineLevel="1" x14ac:dyDescent="0.2">
      <c r="A181" s="920">
        <v>4</v>
      </c>
      <c r="B181" s="921" t="s">
        <v>2045</v>
      </c>
      <c r="C181" s="920" t="s">
        <v>299</v>
      </c>
      <c r="D181" s="920" t="s">
        <v>299</v>
      </c>
      <c r="E181" s="920" t="s">
        <v>1092</v>
      </c>
      <c r="F181" s="920" t="s">
        <v>299</v>
      </c>
      <c r="G181" s="920" t="s">
        <v>1092</v>
      </c>
      <c r="H181" s="920" t="s">
        <v>299</v>
      </c>
      <c r="I181" s="920" t="s">
        <v>299</v>
      </c>
      <c r="J181" s="920" t="s">
        <v>1092</v>
      </c>
      <c r="K181" s="920"/>
      <c r="L181" s="920"/>
      <c r="M181" s="920"/>
      <c r="N181" s="920"/>
      <c r="O181" s="920"/>
      <c r="P181" s="920"/>
      <c r="Q181" s="920"/>
      <c r="R181" s="920"/>
      <c r="S181" s="920"/>
      <c r="T181" s="920"/>
      <c r="U181" s="920"/>
      <c r="V181" s="920"/>
      <c r="W181" s="955"/>
      <c r="X181" s="920"/>
      <c r="Y181" s="956"/>
      <c r="Z181" s="957"/>
      <c r="AA181" s="956"/>
      <c r="AB181" s="957"/>
      <c r="AC181" s="956"/>
      <c r="AD181" s="957"/>
      <c r="AE181" s="958"/>
      <c r="AF181" s="920"/>
    </row>
    <row r="182" spans="1:32" s="917" customFormat="1" collapsed="1" x14ac:dyDescent="0.2">
      <c r="A182" s="915">
        <v>18</v>
      </c>
      <c r="B182" s="916" t="s">
        <v>2046</v>
      </c>
      <c r="C182" s="915" t="s">
        <v>299</v>
      </c>
      <c r="D182" s="915" t="s">
        <v>299</v>
      </c>
      <c r="E182" s="915" t="s">
        <v>299</v>
      </c>
      <c r="F182" s="915" t="s">
        <v>299</v>
      </c>
      <c r="G182" s="915" t="s">
        <v>1092</v>
      </c>
      <c r="H182" s="915" t="s">
        <v>299</v>
      </c>
      <c r="I182" s="915" t="s">
        <v>299</v>
      </c>
      <c r="J182" s="915" t="s">
        <v>1092</v>
      </c>
      <c r="K182" s="915"/>
      <c r="L182" s="915" t="s">
        <v>299</v>
      </c>
      <c r="M182" s="915" t="s">
        <v>299</v>
      </c>
      <c r="N182" s="915" t="s">
        <v>299</v>
      </c>
      <c r="O182" s="915" t="s">
        <v>299</v>
      </c>
      <c r="P182" s="915" t="s">
        <v>299</v>
      </c>
      <c r="Q182" s="915" t="s">
        <v>299</v>
      </c>
      <c r="R182" s="915" t="s">
        <v>299</v>
      </c>
      <c r="S182" s="915" t="s">
        <v>299</v>
      </c>
      <c r="T182" s="915" t="s">
        <v>299</v>
      </c>
      <c r="U182" s="915" t="s">
        <v>1092</v>
      </c>
      <c r="V182" s="915" t="s">
        <v>1092</v>
      </c>
      <c r="W182" s="947" t="s">
        <v>1884</v>
      </c>
      <c r="X182" s="915" t="s">
        <v>1092</v>
      </c>
      <c r="Y182" s="948"/>
      <c r="Z182" s="949"/>
      <c r="AA182" s="948"/>
      <c r="AB182" s="949"/>
      <c r="AC182" s="948"/>
      <c r="AD182" s="949"/>
      <c r="AE182" s="950"/>
      <c r="AF182" s="915"/>
    </row>
    <row r="183" spans="1:32" hidden="1" outlineLevel="1" x14ac:dyDescent="0.2">
      <c r="A183" s="918">
        <v>1</v>
      </c>
      <c r="B183" s="919" t="s">
        <v>2047</v>
      </c>
      <c r="C183" s="918" t="s">
        <v>299</v>
      </c>
      <c r="D183" s="918" t="s">
        <v>299</v>
      </c>
      <c r="E183" s="918" t="s">
        <v>299</v>
      </c>
      <c r="F183" s="918" t="s">
        <v>299</v>
      </c>
      <c r="G183" s="918" t="s">
        <v>1092</v>
      </c>
      <c r="H183" s="918" t="s">
        <v>299</v>
      </c>
      <c r="I183" s="918" t="s">
        <v>299</v>
      </c>
      <c r="J183" s="918" t="s">
        <v>1092</v>
      </c>
      <c r="K183" s="918"/>
      <c r="L183" s="918"/>
      <c r="M183" s="918"/>
      <c r="N183" s="918"/>
      <c r="O183" s="918"/>
      <c r="P183" s="918"/>
      <c r="Q183" s="918"/>
      <c r="R183" s="918"/>
      <c r="S183" s="918"/>
      <c r="T183" s="918"/>
      <c r="U183" s="918"/>
      <c r="V183" s="918"/>
      <c r="W183" s="951"/>
      <c r="X183" s="918"/>
      <c r="Y183" s="952"/>
      <c r="Z183" s="953"/>
      <c r="AA183" s="952"/>
      <c r="AB183" s="953"/>
      <c r="AC183" s="952"/>
      <c r="AD183" s="953"/>
      <c r="AE183" s="954"/>
      <c r="AF183" s="918"/>
    </row>
    <row r="184" spans="1:32" hidden="1" outlineLevel="1" x14ac:dyDescent="0.2">
      <c r="A184" s="920">
        <v>2</v>
      </c>
      <c r="B184" s="921" t="s">
        <v>2048</v>
      </c>
      <c r="C184" s="920" t="s">
        <v>299</v>
      </c>
      <c r="D184" s="920" t="s">
        <v>299</v>
      </c>
      <c r="E184" s="920" t="s">
        <v>299</v>
      </c>
      <c r="F184" s="920" t="s">
        <v>299</v>
      </c>
      <c r="G184" s="920" t="s">
        <v>1092</v>
      </c>
      <c r="H184" s="920" t="s">
        <v>299</v>
      </c>
      <c r="I184" s="920" t="s">
        <v>299</v>
      </c>
      <c r="J184" s="920" t="s">
        <v>1092</v>
      </c>
      <c r="K184" s="920"/>
      <c r="L184" s="920"/>
      <c r="M184" s="920"/>
      <c r="N184" s="920"/>
      <c r="O184" s="920"/>
      <c r="P184" s="920"/>
      <c r="Q184" s="920"/>
      <c r="R184" s="920"/>
      <c r="S184" s="920"/>
      <c r="T184" s="920"/>
      <c r="U184" s="920"/>
      <c r="V184" s="920"/>
      <c r="W184" s="955"/>
      <c r="X184" s="920"/>
      <c r="Y184" s="956"/>
      <c r="Z184" s="957"/>
      <c r="AA184" s="956"/>
      <c r="AB184" s="957"/>
      <c r="AC184" s="956"/>
      <c r="AD184" s="957"/>
      <c r="AE184" s="958"/>
      <c r="AF184" s="920"/>
    </row>
    <row r="185" spans="1:32" hidden="1" outlineLevel="1" x14ac:dyDescent="0.2">
      <c r="A185" s="918">
        <v>3</v>
      </c>
      <c r="B185" s="919" t="s">
        <v>2049</v>
      </c>
      <c r="C185" s="918" t="s">
        <v>299</v>
      </c>
      <c r="D185" s="918" t="s">
        <v>299</v>
      </c>
      <c r="E185" s="918" t="s">
        <v>299</v>
      </c>
      <c r="F185" s="918" t="s">
        <v>299</v>
      </c>
      <c r="G185" s="918" t="s">
        <v>1092</v>
      </c>
      <c r="H185" s="918" t="s">
        <v>299</v>
      </c>
      <c r="I185" s="918" t="s">
        <v>299</v>
      </c>
      <c r="J185" s="918" t="s">
        <v>1092</v>
      </c>
      <c r="K185" s="918"/>
      <c r="L185" s="918"/>
      <c r="M185" s="918"/>
      <c r="N185" s="918"/>
      <c r="O185" s="918"/>
      <c r="P185" s="918"/>
      <c r="Q185" s="918"/>
      <c r="R185" s="918"/>
      <c r="S185" s="918"/>
      <c r="T185" s="918"/>
      <c r="U185" s="918"/>
      <c r="V185" s="918"/>
      <c r="W185" s="951"/>
      <c r="X185" s="918"/>
      <c r="Y185" s="952"/>
      <c r="Z185" s="953"/>
      <c r="AA185" s="952"/>
      <c r="AB185" s="953"/>
      <c r="AC185" s="952"/>
      <c r="AD185" s="953"/>
      <c r="AE185" s="954"/>
      <c r="AF185" s="918"/>
    </row>
    <row r="186" spans="1:32" hidden="1" outlineLevel="1" x14ac:dyDescent="0.2">
      <c r="A186" s="920">
        <v>4</v>
      </c>
      <c r="B186" s="921" t="s">
        <v>2050</v>
      </c>
      <c r="C186" s="920" t="s">
        <v>299</v>
      </c>
      <c r="D186" s="920" t="s">
        <v>299</v>
      </c>
      <c r="E186" s="920" t="s">
        <v>299</v>
      </c>
      <c r="F186" s="920" t="s">
        <v>299</v>
      </c>
      <c r="G186" s="920" t="s">
        <v>1092</v>
      </c>
      <c r="H186" s="920" t="s">
        <v>299</v>
      </c>
      <c r="I186" s="920" t="s">
        <v>299</v>
      </c>
      <c r="J186" s="920" t="s">
        <v>1092</v>
      </c>
      <c r="K186" s="920"/>
      <c r="L186" s="920"/>
      <c r="M186" s="920"/>
      <c r="N186" s="920"/>
      <c r="O186" s="920"/>
      <c r="P186" s="920"/>
      <c r="Q186" s="920"/>
      <c r="R186" s="920"/>
      <c r="S186" s="920"/>
      <c r="T186" s="920"/>
      <c r="U186" s="920"/>
      <c r="V186" s="920"/>
      <c r="W186" s="955"/>
      <c r="X186" s="920"/>
      <c r="Y186" s="956"/>
      <c r="Z186" s="957"/>
      <c r="AA186" s="956"/>
      <c r="AB186" s="957"/>
      <c r="AC186" s="956"/>
      <c r="AD186" s="957"/>
      <c r="AE186" s="958"/>
      <c r="AF186" s="920"/>
    </row>
    <row r="187" spans="1:32" s="917" customFormat="1" collapsed="1" x14ac:dyDescent="0.2">
      <c r="A187" s="915">
        <v>19</v>
      </c>
      <c r="B187" s="916" t="s">
        <v>2051</v>
      </c>
      <c r="C187" s="915" t="s">
        <v>299</v>
      </c>
      <c r="D187" s="915" t="s">
        <v>299</v>
      </c>
      <c r="E187" s="915" t="s">
        <v>299</v>
      </c>
      <c r="F187" s="915" t="s">
        <v>299</v>
      </c>
      <c r="G187" s="915" t="s">
        <v>1092</v>
      </c>
      <c r="H187" s="915" t="s">
        <v>299</v>
      </c>
      <c r="I187" s="915" t="s">
        <v>299</v>
      </c>
      <c r="J187" s="915" t="s">
        <v>1092</v>
      </c>
      <c r="K187" s="915"/>
      <c r="L187" s="915" t="s">
        <v>299</v>
      </c>
      <c r="M187" s="915" t="s">
        <v>299</v>
      </c>
      <c r="N187" s="915" t="s">
        <v>299</v>
      </c>
      <c r="O187" s="915" t="s">
        <v>299</v>
      </c>
      <c r="P187" s="915" t="s">
        <v>299</v>
      </c>
      <c r="Q187" s="915" t="s">
        <v>299</v>
      </c>
      <c r="R187" s="915" t="s">
        <v>299</v>
      </c>
      <c r="S187" s="915" t="s">
        <v>299</v>
      </c>
      <c r="T187" s="915" t="s">
        <v>299</v>
      </c>
      <c r="U187" s="915" t="s">
        <v>1092</v>
      </c>
      <c r="V187" s="915" t="s">
        <v>1092</v>
      </c>
      <c r="W187" s="947" t="s">
        <v>1884</v>
      </c>
      <c r="X187" s="915"/>
      <c r="Y187" s="948"/>
      <c r="Z187" s="949"/>
      <c r="AA187" s="948"/>
      <c r="AB187" s="949"/>
      <c r="AC187" s="948"/>
      <c r="AD187" s="949"/>
      <c r="AE187" s="950"/>
      <c r="AF187" s="915"/>
    </row>
    <row r="188" spans="1:32" ht="24" hidden="1" outlineLevel="1" x14ac:dyDescent="0.2">
      <c r="A188" s="918">
        <v>1</v>
      </c>
      <c r="B188" s="919" t="s">
        <v>2052</v>
      </c>
      <c r="C188" s="918" t="s">
        <v>299</v>
      </c>
      <c r="D188" s="918" t="s">
        <v>299</v>
      </c>
      <c r="E188" s="918" t="s">
        <v>299</v>
      </c>
      <c r="F188" s="918" t="s">
        <v>299</v>
      </c>
      <c r="G188" s="918" t="s">
        <v>1092</v>
      </c>
      <c r="H188" s="918" t="s">
        <v>299</v>
      </c>
      <c r="I188" s="918" t="s">
        <v>299</v>
      </c>
      <c r="J188" s="918" t="s">
        <v>1092</v>
      </c>
      <c r="K188" s="918"/>
      <c r="L188" s="918"/>
      <c r="M188" s="918"/>
      <c r="N188" s="918"/>
      <c r="O188" s="918"/>
      <c r="P188" s="918"/>
      <c r="Q188" s="918"/>
      <c r="R188" s="918"/>
      <c r="S188" s="918"/>
      <c r="T188" s="918"/>
      <c r="U188" s="918"/>
      <c r="V188" s="918"/>
      <c r="W188" s="951"/>
      <c r="X188" s="918"/>
      <c r="Y188" s="952"/>
      <c r="Z188" s="953"/>
      <c r="AA188" s="952"/>
      <c r="AB188" s="953"/>
      <c r="AC188" s="952"/>
      <c r="AD188" s="953"/>
      <c r="AE188" s="954"/>
      <c r="AF188" s="918"/>
    </row>
    <row r="189" spans="1:32" hidden="1" outlineLevel="1" x14ac:dyDescent="0.2">
      <c r="A189" s="920">
        <v>2</v>
      </c>
      <c r="B189" s="921" t="s">
        <v>2053</v>
      </c>
      <c r="C189" s="920" t="s">
        <v>299</v>
      </c>
      <c r="D189" s="920" t="s">
        <v>299</v>
      </c>
      <c r="E189" s="920" t="s">
        <v>299</v>
      </c>
      <c r="F189" s="920" t="s">
        <v>299</v>
      </c>
      <c r="G189" s="920" t="s">
        <v>1092</v>
      </c>
      <c r="H189" s="920" t="s">
        <v>299</v>
      </c>
      <c r="I189" s="920" t="s">
        <v>299</v>
      </c>
      <c r="J189" s="920" t="s">
        <v>1092</v>
      </c>
      <c r="K189" s="920"/>
      <c r="L189" s="920"/>
      <c r="M189" s="920"/>
      <c r="N189" s="920"/>
      <c r="O189" s="920"/>
      <c r="P189" s="920"/>
      <c r="Q189" s="920"/>
      <c r="R189" s="920"/>
      <c r="S189" s="920"/>
      <c r="T189" s="920"/>
      <c r="U189" s="920"/>
      <c r="V189" s="920"/>
      <c r="W189" s="955"/>
      <c r="X189" s="920"/>
      <c r="Y189" s="956"/>
      <c r="Z189" s="957"/>
      <c r="AA189" s="956"/>
      <c r="AB189" s="957"/>
      <c r="AC189" s="956"/>
      <c r="AD189" s="957"/>
      <c r="AE189" s="958"/>
      <c r="AF189" s="920"/>
    </row>
    <row r="190" spans="1:32" ht="36" hidden="1" outlineLevel="1" x14ac:dyDescent="0.2">
      <c r="A190" s="918">
        <v>3</v>
      </c>
      <c r="B190" s="919" t="s">
        <v>2054</v>
      </c>
      <c r="C190" s="918" t="s">
        <v>299</v>
      </c>
      <c r="D190" s="918" t="s">
        <v>299</v>
      </c>
      <c r="E190" s="918" t="s">
        <v>299</v>
      </c>
      <c r="F190" s="918" t="s">
        <v>299</v>
      </c>
      <c r="G190" s="918" t="s">
        <v>1092</v>
      </c>
      <c r="H190" s="918" t="s">
        <v>299</v>
      </c>
      <c r="I190" s="918" t="s">
        <v>299</v>
      </c>
      <c r="J190" s="918" t="s">
        <v>1092</v>
      </c>
      <c r="K190" s="918"/>
      <c r="L190" s="918"/>
      <c r="M190" s="918"/>
      <c r="N190" s="918"/>
      <c r="O190" s="918"/>
      <c r="P190" s="918"/>
      <c r="Q190" s="918"/>
      <c r="R190" s="918"/>
      <c r="S190" s="918"/>
      <c r="T190" s="918"/>
      <c r="U190" s="918"/>
      <c r="V190" s="918"/>
      <c r="W190" s="951"/>
      <c r="X190" s="918"/>
      <c r="Y190" s="952"/>
      <c r="Z190" s="953"/>
      <c r="AA190" s="952"/>
      <c r="AB190" s="953"/>
      <c r="AC190" s="952"/>
      <c r="AD190" s="953"/>
      <c r="AE190" s="954"/>
      <c r="AF190" s="918"/>
    </row>
    <row r="191" spans="1:32" hidden="1" outlineLevel="1" x14ac:dyDescent="0.2">
      <c r="A191" s="920">
        <v>4</v>
      </c>
      <c r="B191" s="921" t="s">
        <v>2055</v>
      </c>
      <c r="C191" s="920" t="s">
        <v>299</v>
      </c>
      <c r="D191" s="920" t="s">
        <v>299</v>
      </c>
      <c r="E191" s="920" t="s">
        <v>299</v>
      </c>
      <c r="F191" s="920" t="s">
        <v>299</v>
      </c>
      <c r="G191" s="920" t="s">
        <v>1092</v>
      </c>
      <c r="H191" s="920" t="s">
        <v>299</v>
      </c>
      <c r="I191" s="920" t="s">
        <v>299</v>
      </c>
      <c r="J191" s="920" t="s">
        <v>1092</v>
      </c>
      <c r="K191" s="920"/>
      <c r="L191" s="920"/>
      <c r="M191" s="920"/>
      <c r="N191" s="920"/>
      <c r="O191" s="920"/>
      <c r="P191" s="920"/>
      <c r="Q191" s="920"/>
      <c r="R191" s="920"/>
      <c r="S191" s="920"/>
      <c r="T191" s="920"/>
      <c r="U191" s="920"/>
      <c r="V191" s="920"/>
      <c r="W191" s="955"/>
      <c r="X191" s="920"/>
      <c r="Y191" s="956"/>
      <c r="Z191" s="957"/>
      <c r="AA191" s="956"/>
      <c r="AB191" s="957"/>
      <c r="AC191" s="956"/>
      <c r="AD191" s="957"/>
      <c r="AE191" s="958"/>
      <c r="AF191" s="920"/>
    </row>
    <row r="192" spans="1:32" hidden="1" outlineLevel="1" x14ac:dyDescent="0.2">
      <c r="A192" s="918">
        <v>5</v>
      </c>
      <c r="B192" s="919" t="s">
        <v>2056</v>
      </c>
      <c r="C192" s="918" t="s">
        <v>299</v>
      </c>
      <c r="D192" s="918" t="s">
        <v>299</v>
      </c>
      <c r="E192" s="918" t="s">
        <v>299</v>
      </c>
      <c r="F192" s="918" t="s">
        <v>299</v>
      </c>
      <c r="G192" s="918" t="s">
        <v>1092</v>
      </c>
      <c r="H192" s="918" t="s">
        <v>299</v>
      </c>
      <c r="I192" s="918" t="s">
        <v>299</v>
      </c>
      <c r="J192" s="918" t="s">
        <v>1092</v>
      </c>
      <c r="K192" s="918"/>
      <c r="L192" s="918"/>
      <c r="M192" s="918"/>
      <c r="N192" s="918"/>
      <c r="O192" s="918"/>
      <c r="P192" s="918"/>
      <c r="Q192" s="918"/>
      <c r="R192" s="918"/>
      <c r="S192" s="918"/>
      <c r="T192" s="918"/>
      <c r="U192" s="918"/>
      <c r="V192" s="918"/>
      <c r="W192" s="951"/>
      <c r="X192" s="918"/>
      <c r="Y192" s="952"/>
      <c r="Z192" s="953"/>
      <c r="AA192" s="952"/>
      <c r="AB192" s="953"/>
      <c r="AC192" s="952"/>
      <c r="AD192" s="953"/>
      <c r="AE192" s="954"/>
      <c r="AF192" s="918"/>
    </row>
    <row r="193" spans="1:32" hidden="1" outlineLevel="1" x14ac:dyDescent="0.2">
      <c r="A193" s="920">
        <v>6</v>
      </c>
      <c r="B193" s="921" t="s">
        <v>2057</v>
      </c>
      <c r="C193" s="920" t="s">
        <v>299</v>
      </c>
      <c r="D193" s="920" t="s">
        <v>299</v>
      </c>
      <c r="E193" s="920" t="s">
        <v>299</v>
      </c>
      <c r="F193" s="920" t="s">
        <v>299</v>
      </c>
      <c r="G193" s="920" t="s">
        <v>1092</v>
      </c>
      <c r="H193" s="920" t="s">
        <v>299</v>
      </c>
      <c r="I193" s="920" t="s">
        <v>299</v>
      </c>
      <c r="J193" s="920" t="s">
        <v>1092</v>
      </c>
      <c r="K193" s="920"/>
      <c r="L193" s="920"/>
      <c r="M193" s="920"/>
      <c r="N193" s="920"/>
      <c r="O193" s="920"/>
      <c r="P193" s="920"/>
      <c r="Q193" s="920"/>
      <c r="R193" s="920"/>
      <c r="S193" s="920"/>
      <c r="T193" s="920"/>
      <c r="U193" s="920"/>
      <c r="V193" s="920"/>
      <c r="W193" s="955"/>
      <c r="X193" s="920"/>
      <c r="Y193" s="956"/>
      <c r="Z193" s="957"/>
      <c r="AA193" s="956"/>
      <c r="AB193" s="957"/>
      <c r="AC193" s="956"/>
      <c r="AD193" s="957"/>
      <c r="AE193" s="958"/>
      <c r="AF193" s="920"/>
    </row>
    <row r="194" spans="1:32" hidden="1" outlineLevel="1" x14ac:dyDescent="0.2">
      <c r="A194" s="918">
        <v>7</v>
      </c>
      <c r="B194" s="919" t="s">
        <v>2058</v>
      </c>
      <c r="C194" s="918" t="s">
        <v>299</v>
      </c>
      <c r="D194" s="918" t="s">
        <v>299</v>
      </c>
      <c r="E194" s="918" t="s">
        <v>299</v>
      </c>
      <c r="F194" s="918" t="s">
        <v>299</v>
      </c>
      <c r="G194" s="918" t="s">
        <v>1092</v>
      </c>
      <c r="H194" s="918" t="s">
        <v>299</v>
      </c>
      <c r="I194" s="918" t="s">
        <v>299</v>
      </c>
      <c r="J194" s="918" t="s">
        <v>1092</v>
      </c>
      <c r="K194" s="918"/>
      <c r="L194" s="918"/>
      <c r="M194" s="918"/>
      <c r="N194" s="918"/>
      <c r="O194" s="918"/>
      <c r="P194" s="918"/>
      <c r="Q194" s="918"/>
      <c r="R194" s="918"/>
      <c r="S194" s="918"/>
      <c r="T194" s="918"/>
      <c r="U194" s="918"/>
      <c r="V194" s="918"/>
      <c r="W194" s="951"/>
      <c r="X194" s="918"/>
      <c r="Y194" s="952"/>
      <c r="Z194" s="953"/>
      <c r="AA194" s="952"/>
      <c r="AB194" s="953"/>
      <c r="AC194" s="952"/>
      <c r="AD194" s="953"/>
      <c r="AE194" s="954"/>
      <c r="AF194" s="918"/>
    </row>
    <row r="195" spans="1:32" hidden="1" outlineLevel="1" x14ac:dyDescent="0.2">
      <c r="A195" s="920">
        <v>8</v>
      </c>
      <c r="B195" s="921" t="s">
        <v>2059</v>
      </c>
      <c r="C195" s="920" t="s">
        <v>299</v>
      </c>
      <c r="D195" s="920" t="s">
        <v>299</v>
      </c>
      <c r="E195" s="920" t="s">
        <v>299</v>
      </c>
      <c r="F195" s="920" t="s">
        <v>299</v>
      </c>
      <c r="G195" s="920" t="s">
        <v>1092</v>
      </c>
      <c r="H195" s="920" t="s">
        <v>299</v>
      </c>
      <c r="I195" s="920" t="s">
        <v>299</v>
      </c>
      <c r="J195" s="920" t="s">
        <v>1092</v>
      </c>
      <c r="K195" s="920"/>
      <c r="L195" s="920"/>
      <c r="M195" s="920"/>
      <c r="N195" s="920"/>
      <c r="O195" s="920"/>
      <c r="P195" s="920"/>
      <c r="Q195" s="920"/>
      <c r="R195" s="920"/>
      <c r="S195" s="920"/>
      <c r="T195" s="920"/>
      <c r="U195" s="920"/>
      <c r="V195" s="920"/>
      <c r="W195" s="955"/>
      <c r="X195" s="920"/>
      <c r="Y195" s="956"/>
      <c r="Z195" s="957"/>
      <c r="AA195" s="956"/>
      <c r="AB195" s="957"/>
      <c r="AC195" s="956"/>
      <c r="AD195" s="957"/>
      <c r="AE195" s="958"/>
      <c r="AF195" s="920"/>
    </row>
    <row r="196" spans="1:32" hidden="1" outlineLevel="1" x14ac:dyDescent="0.2">
      <c r="A196" s="918">
        <v>9</v>
      </c>
      <c r="B196" s="919" t="s">
        <v>2060</v>
      </c>
      <c r="C196" s="918" t="s">
        <v>299</v>
      </c>
      <c r="D196" s="918" t="s">
        <v>299</v>
      </c>
      <c r="E196" s="918" t="s">
        <v>299</v>
      </c>
      <c r="F196" s="918" t="s">
        <v>299</v>
      </c>
      <c r="G196" s="918" t="s">
        <v>1092</v>
      </c>
      <c r="H196" s="918" t="s">
        <v>299</v>
      </c>
      <c r="I196" s="918" t="s">
        <v>299</v>
      </c>
      <c r="J196" s="918" t="s">
        <v>1092</v>
      </c>
      <c r="K196" s="918"/>
      <c r="L196" s="918"/>
      <c r="M196" s="918"/>
      <c r="N196" s="918"/>
      <c r="O196" s="918"/>
      <c r="P196" s="918"/>
      <c r="Q196" s="918"/>
      <c r="R196" s="918"/>
      <c r="S196" s="918"/>
      <c r="T196" s="918"/>
      <c r="U196" s="918"/>
      <c r="V196" s="918"/>
      <c r="W196" s="951"/>
      <c r="X196" s="918"/>
      <c r="Y196" s="952"/>
      <c r="Z196" s="953"/>
      <c r="AA196" s="952"/>
      <c r="AB196" s="953"/>
      <c r="AC196" s="952"/>
      <c r="AD196" s="953"/>
      <c r="AE196" s="954"/>
      <c r="AF196" s="918"/>
    </row>
    <row r="197" spans="1:32" ht="24" hidden="1" outlineLevel="1" x14ac:dyDescent="0.2">
      <c r="A197" s="920">
        <v>10</v>
      </c>
      <c r="B197" s="921" t="s">
        <v>2061</v>
      </c>
      <c r="C197" s="920" t="s">
        <v>299</v>
      </c>
      <c r="D197" s="920" t="s">
        <v>299</v>
      </c>
      <c r="E197" s="920" t="s">
        <v>299</v>
      </c>
      <c r="F197" s="920" t="s">
        <v>299</v>
      </c>
      <c r="G197" s="920" t="s">
        <v>1092</v>
      </c>
      <c r="H197" s="920" t="s">
        <v>299</v>
      </c>
      <c r="I197" s="920" t="s">
        <v>299</v>
      </c>
      <c r="J197" s="920" t="s">
        <v>1092</v>
      </c>
      <c r="K197" s="920"/>
      <c r="L197" s="920"/>
      <c r="M197" s="920"/>
      <c r="N197" s="920"/>
      <c r="O197" s="920"/>
      <c r="P197" s="920"/>
      <c r="Q197" s="920"/>
      <c r="R197" s="920"/>
      <c r="S197" s="920"/>
      <c r="T197" s="920"/>
      <c r="U197" s="920"/>
      <c r="V197" s="920"/>
      <c r="W197" s="955"/>
      <c r="X197" s="920"/>
      <c r="Y197" s="956"/>
      <c r="Z197" s="957"/>
      <c r="AA197" s="956"/>
      <c r="AB197" s="957"/>
      <c r="AC197" s="956"/>
      <c r="AD197" s="957"/>
      <c r="AE197" s="958"/>
      <c r="AF197" s="920"/>
    </row>
    <row r="198" spans="1:32" s="917" customFormat="1" collapsed="1" x14ac:dyDescent="0.2">
      <c r="A198" s="915">
        <v>20</v>
      </c>
      <c r="B198" s="916" t="s">
        <v>2062</v>
      </c>
      <c r="C198" s="915" t="s">
        <v>1884</v>
      </c>
      <c r="D198" s="915" t="s">
        <v>1884</v>
      </c>
      <c r="E198" s="915" t="s">
        <v>1884</v>
      </c>
      <c r="F198" s="915" t="s">
        <v>1884</v>
      </c>
      <c r="G198" s="915" t="s">
        <v>1884</v>
      </c>
      <c r="H198" s="915" t="s">
        <v>1884</v>
      </c>
      <c r="I198" s="915" t="s">
        <v>1884</v>
      </c>
      <c r="J198" s="915" t="s">
        <v>1884</v>
      </c>
      <c r="K198" s="915" t="s">
        <v>1092</v>
      </c>
      <c r="L198" s="915" t="s">
        <v>1092</v>
      </c>
      <c r="M198" s="915" t="s">
        <v>1092</v>
      </c>
      <c r="N198" s="915" t="s">
        <v>1092</v>
      </c>
      <c r="O198" s="915" t="s">
        <v>1092</v>
      </c>
      <c r="P198" s="915" t="s">
        <v>1092</v>
      </c>
      <c r="Q198" s="915" t="s">
        <v>1092</v>
      </c>
      <c r="R198" s="915" t="s">
        <v>1092</v>
      </c>
      <c r="S198" s="915" t="s">
        <v>1092</v>
      </c>
      <c r="T198" s="915" t="s">
        <v>1092</v>
      </c>
      <c r="U198" s="915" t="s">
        <v>1092</v>
      </c>
      <c r="V198" s="915" t="s">
        <v>1092</v>
      </c>
      <c r="W198" s="947" t="s">
        <v>1092</v>
      </c>
      <c r="X198" s="915"/>
      <c r="Y198" s="948"/>
      <c r="Z198" s="949"/>
      <c r="AA198" s="948"/>
      <c r="AB198" s="949"/>
      <c r="AC198" s="948"/>
      <c r="AD198" s="949"/>
      <c r="AE198" s="950"/>
      <c r="AF198" s="915"/>
    </row>
    <row r="199" spans="1:32" hidden="1" outlineLevel="1" x14ac:dyDescent="0.2">
      <c r="A199" s="918">
        <v>1</v>
      </c>
      <c r="B199" s="919" t="s">
        <v>2063</v>
      </c>
      <c r="C199" s="918" t="s">
        <v>1092</v>
      </c>
      <c r="D199" s="918" t="s">
        <v>1092</v>
      </c>
      <c r="E199" s="918" t="s">
        <v>1092</v>
      </c>
      <c r="F199" s="918" t="s">
        <v>1092</v>
      </c>
      <c r="G199" s="918" t="s">
        <v>1092</v>
      </c>
      <c r="H199" s="918" t="s">
        <v>1092</v>
      </c>
      <c r="I199" s="918" t="s">
        <v>1092</v>
      </c>
      <c r="J199" s="918" t="s">
        <v>1092</v>
      </c>
      <c r="K199" s="918"/>
      <c r="L199" s="918"/>
      <c r="M199" s="918"/>
      <c r="N199" s="918"/>
      <c r="O199" s="918"/>
      <c r="P199" s="918"/>
      <c r="Q199" s="918"/>
      <c r="R199" s="918"/>
      <c r="S199" s="918"/>
      <c r="T199" s="918"/>
      <c r="U199" s="918"/>
      <c r="V199" s="918"/>
      <c r="W199" s="951"/>
      <c r="X199" s="918"/>
      <c r="Y199" s="952"/>
      <c r="Z199" s="953"/>
      <c r="AA199" s="952"/>
      <c r="AB199" s="953"/>
      <c r="AC199" s="952"/>
      <c r="AD199" s="953"/>
      <c r="AE199" s="954"/>
      <c r="AF199" s="918"/>
    </row>
    <row r="200" spans="1:32" hidden="1" outlineLevel="1" x14ac:dyDescent="0.2">
      <c r="A200" s="920">
        <v>2</v>
      </c>
      <c r="B200" s="921" t="s">
        <v>2064</v>
      </c>
      <c r="C200" s="920" t="s">
        <v>1092</v>
      </c>
      <c r="D200" s="920" t="s">
        <v>1092</v>
      </c>
      <c r="E200" s="920" t="s">
        <v>1092</v>
      </c>
      <c r="F200" s="920" t="s">
        <v>1092</v>
      </c>
      <c r="G200" s="920" t="s">
        <v>1092</v>
      </c>
      <c r="H200" s="920" t="s">
        <v>1092</v>
      </c>
      <c r="I200" s="920" t="s">
        <v>1092</v>
      </c>
      <c r="J200" s="920" t="s">
        <v>1092</v>
      </c>
      <c r="K200" s="920"/>
      <c r="L200" s="920"/>
      <c r="M200" s="920"/>
      <c r="N200" s="920"/>
      <c r="O200" s="920"/>
      <c r="P200" s="920"/>
      <c r="Q200" s="920"/>
      <c r="R200" s="920"/>
      <c r="S200" s="920"/>
      <c r="T200" s="920"/>
      <c r="U200" s="920"/>
      <c r="V200" s="920"/>
      <c r="W200" s="955"/>
      <c r="X200" s="920"/>
      <c r="Y200" s="956"/>
      <c r="Z200" s="957"/>
      <c r="AA200" s="956"/>
      <c r="AB200" s="957"/>
      <c r="AC200" s="956"/>
      <c r="AD200" s="957"/>
      <c r="AE200" s="958"/>
      <c r="AF200" s="920"/>
    </row>
    <row r="201" spans="1:32" hidden="1" outlineLevel="1" x14ac:dyDescent="0.2">
      <c r="A201" s="918">
        <v>3</v>
      </c>
      <c r="B201" s="919" t="s">
        <v>2065</v>
      </c>
      <c r="C201" s="918" t="s">
        <v>1092</v>
      </c>
      <c r="D201" s="918" t="s">
        <v>1092</v>
      </c>
      <c r="E201" s="918" t="s">
        <v>1092</v>
      </c>
      <c r="F201" s="918" t="s">
        <v>1092</v>
      </c>
      <c r="G201" s="918" t="s">
        <v>1092</v>
      </c>
      <c r="H201" s="918" t="s">
        <v>1092</v>
      </c>
      <c r="I201" s="918" t="s">
        <v>1092</v>
      </c>
      <c r="J201" s="918" t="s">
        <v>1092</v>
      </c>
      <c r="K201" s="918"/>
      <c r="L201" s="918"/>
      <c r="M201" s="918"/>
      <c r="N201" s="918"/>
      <c r="O201" s="918"/>
      <c r="P201" s="918"/>
      <c r="Q201" s="918"/>
      <c r="R201" s="918"/>
      <c r="S201" s="918"/>
      <c r="T201" s="918"/>
      <c r="U201" s="918"/>
      <c r="V201" s="918"/>
      <c r="W201" s="951"/>
      <c r="X201" s="918"/>
      <c r="Y201" s="952"/>
      <c r="Z201" s="953"/>
      <c r="AA201" s="952"/>
      <c r="AB201" s="953"/>
      <c r="AC201" s="952"/>
      <c r="AD201" s="953"/>
      <c r="AE201" s="954"/>
      <c r="AF201" s="918"/>
    </row>
    <row r="202" spans="1:32" hidden="1" outlineLevel="1" x14ac:dyDescent="0.2">
      <c r="A202" s="920">
        <v>4</v>
      </c>
      <c r="B202" s="921" t="s">
        <v>2066</v>
      </c>
      <c r="C202" s="920" t="s">
        <v>1092</v>
      </c>
      <c r="D202" s="920" t="s">
        <v>1092</v>
      </c>
      <c r="E202" s="920" t="s">
        <v>1092</v>
      </c>
      <c r="F202" s="920" t="s">
        <v>1092</v>
      </c>
      <c r="G202" s="920" t="s">
        <v>1092</v>
      </c>
      <c r="H202" s="920" t="s">
        <v>1092</v>
      </c>
      <c r="I202" s="920" t="s">
        <v>1092</v>
      </c>
      <c r="J202" s="920" t="s">
        <v>1092</v>
      </c>
      <c r="K202" s="920"/>
      <c r="L202" s="920"/>
      <c r="M202" s="920"/>
      <c r="N202" s="920"/>
      <c r="O202" s="920"/>
      <c r="P202" s="920"/>
      <c r="Q202" s="920"/>
      <c r="R202" s="920"/>
      <c r="S202" s="920"/>
      <c r="T202" s="920"/>
      <c r="U202" s="920"/>
      <c r="V202" s="920"/>
      <c r="W202" s="955"/>
      <c r="X202" s="920"/>
      <c r="Y202" s="956"/>
      <c r="Z202" s="957"/>
      <c r="AA202" s="956"/>
      <c r="AB202" s="957"/>
      <c r="AC202" s="956"/>
      <c r="AD202" s="957"/>
      <c r="AE202" s="958"/>
      <c r="AF202" s="920"/>
    </row>
    <row r="203" spans="1:32" hidden="1" outlineLevel="1" x14ac:dyDescent="0.2">
      <c r="A203" s="918">
        <v>5</v>
      </c>
      <c r="B203" s="919" t="s">
        <v>2067</v>
      </c>
      <c r="C203" s="918" t="s">
        <v>1092</v>
      </c>
      <c r="D203" s="918" t="s">
        <v>1092</v>
      </c>
      <c r="E203" s="918" t="s">
        <v>1092</v>
      </c>
      <c r="F203" s="918" t="s">
        <v>1092</v>
      </c>
      <c r="G203" s="918" t="s">
        <v>1092</v>
      </c>
      <c r="H203" s="918" t="s">
        <v>1092</v>
      </c>
      <c r="I203" s="918" t="s">
        <v>1092</v>
      </c>
      <c r="J203" s="918" t="s">
        <v>1092</v>
      </c>
      <c r="K203" s="918"/>
      <c r="L203" s="918"/>
      <c r="M203" s="918"/>
      <c r="N203" s="918"/>
      <c r="O203" s="918"/>
      <c r="P203" s="918"/>
      <c r="Q203" s="918"/>
      <c r="R203" s="918"/>
      <c r="S203" s="918"/>
      <c r="T203" s="918"/>
      <c r="U203" s="918"/>
      <c r="V203" s="918"/>
      <c r="W203" s="951"/>
      <c r="X203" s="918"/>
      <c r="Y203" s="952"/>
      <c r="Z203" s="953"/>
      <c r="AA203" s="952"/>
      <c r="AB203" s="953"/>
      <c r="AC203" s="952"/>
      <c r="AD203" s="953"/>
      <c r="AE203" s="954"/>
      <c r="AF203" s="918"/>
    </row>
    <row r="204" spans="1:32" hidden="1" outlineLevel="1" x14ac:dyDescent="0.2">
      <c r="A204" s="920">
        <v>6</v>
      </c>
      <c r="B204" s="921" t="s">
        <v>2068</v>
      </c>
      <c r="C204" s="920" t="s">
        <v>299</v>
      </c>
      <c r="D204" s="920" t="s">
        <v>299</v>
      </c>
      <c r="E204" s="920" t="s">
        <v>299</v>
      </c>
      <c r="F204" s="920" t="s">
        <v>299</v>
      </c>
      <c r="G204" s="920" t="s">
        <v>299</v>
      </c>
      <c r="H204" s="920" t="s">
        <v>299</v>
      </c>
      <c r="I204" s="920" t="s">
        <v>299</v>
      </c>
      <c r="J204" s="920" t="s">
        <v>299</v>
      </c>
      <c r="K204" s="920" t="s">
        <v>2069</v>
      </c>
      <c r="L204" s="920"/>
      <c r="M204" s="920"/>
      <c r="N204" s="920"/>
      <c r="O204" s="920"/>
      <c r="P204" s="920"/>
      <c r="Q204" s="920"/>
      <c r="R204" s="920"/>
      <c r="S204" s="920"/>
      <c r="T204" s="920"/>
      <c r="U204" s="920"/>
      <c r="V204" s="920"/>
      <c r="W204" s="955"/>
      <c r="X204" s="920"/>
      <c r="Y204" s="956"/>
      <c r="Z204" s="957"/>
      <c r="AA204" s="956"/>
      <c r="AB204" s="957"/>
      <c r="AC204" s="956"/>
      <c r="AD204" s="957"/>
      <c r="AE204" s="958"/>
      <c r="AF204" s="920"/>
    </row>
    <row r="205" spans="1:32" hidden="1" outlineLevel="1" x14ac:dyDescent="0.2">
      <c r="A205" s="918">
        <v>7</v>
      </c>
      <c r="B205" s="919" t="s">
        <v>2070</v>
      </c>
      <c r="C205" s="918" t="s">
        <v>1092</v>
      </c>
      <c r="D205" s="918" t="s">
        <v>1092</v>
      </c>
      <c r="E205" s="918" t="s">
        <v>1092</v>
      </c>
      <c r="F205" s="918" t="s">
        <v>1092</v>
      </c>
      <c r="G205" s="918" t="s">
        <v>1092</v>
      </c>
      <c r="H205" s="918" t="s">
        <v>1092</v>
      </c>
      <c r="I205" s="918" t="s">
        <v>1092</v>
      </c>
      <c r="J205" s="918" t="s">
        <v>1092</v>
      </c>
      <c r="K205" s="918" t="s">
        <v>2071</v>
      </c>
      <c r="L205" s="918"/>
      <c r="M205" s="918"/>
      <c r="N205" s="918"/>
      <c r="O205" s="918"/>
      <c r="P205" s="918"/>
      <c r="Q205" s="918"/>
      <c r="R205" s="918"/>
      <c r="S205" s="918"/>
      <c r="T205" s="918"/>
      <c r="U205" s="918"/>
      <c r="V205" s="918"/>
      <c r="W205" s="951"/>
      <c r="X205" s="918"/>
      <c r="Y205" s="952"/>
      <c r="Z205" s="953"/>
      <c r="AA205" s="952"/>
      <c r="AB205" s="953"/>
      <c r="AC205" s="952"/>
      <c r="AD205" s="953"/>
      <c r="AE205" s="954"/>
      <c r="AF205" s="918"/>
    </row>
    <row r="206" spans="1:32" hidden="1" outlineLevel="1" x14ac:dyDescent="0.2">
      <c r="A206" s="920">
        <v>8</v>
      </c>
      <c r="B206" s="921" t="s">
        <v>2072</v>
      </c>
      <c r="C206" s="920" t="s">
        <v>1092</v>
      </c>
      <c r="D206" s="920" t="s">
        <v>1092</v>
      </c>
      <c r="E206" s="920" t="s">
        <v>1092</v>
      </c>
      <c r="F206" s="920" t="s">
        <v>1092</v>
      </c>
      <c r="G206" s="920" t="s">
        <v>1092</v>
      </c>
      <c r="H206" s="920" t="s">
        <v>1092</v>
      </c>
      <c r="I206" s="920" t="s">
        <v>1092</v>
      </c>
      <c r="J206" s="920" t="s">
        <v>1092</v>
      </c>
      <c r="K206" s="920"/>
      <c r="L206" s="920"/>
      <c r="M206" s="920"/>
      <c r="N206" s="920"/>
      <c r="O206" s="920"/>
      <c r="P206" s="920"/>
      <c r="Q206" s="920"/>
      <c r="R206" s="920"/>
      <c r="S206" s="920"/>
      <c r="T206" s="920"/>
      <c r="U206" s="920"/>
      <c r="V206" s="920"/>
      <c r="W206" s="955"/>
      <c r="X206" s="920"/>
      <c r="Y206" s="956"/>
      <c r="Z206" s="957"/>
      <c r="AA206" s="956"/>
      <c r="AB206" s="957"/>
      <c r="AC206" s="956"/>
      <c r="AD206" s="957"/>
      <c r="AE206" s="958"/>
      <c r="AF206" s="920"/>
    </row>
    <row r="207" spans="1:32" hidden="1" outlineLevel="1" x14ac:dyDescent="0.2">
      <c r="A207" s="918">
        <v>9</v>
      </c>
      <c r="B207" s="919" t="s">
        <v>2073</v>
      </c>
      <c r="C207" s="918" t="s">
        <v>1092</v>
      </c>
      <c r="D207" s="918" t="s">
        <v>1092</v>
      </c>
      <c r="E207" s="918" t="s">
        <v>1092</v>
      </c>
      <c r="F207" s="918" t="s">
        <v>1092</v>
      </c>
      <c r="G207" s="918" t="s">
        <v>1092</v>
      </c>
      <c r="H207" s="918" t="s">
        <v>1092</v>
      </c>
      <c r="I207" s="918" t="s">
        <v>1092</v>
      </c>
      <c r="J207" s="918" t="s">
        <v>1092</v>
      </c>
      <c r="K207" s="918"/>
      <c r="L207" s="918"/>
      <c r="M207" s="918"/>
      <c r="N207" s="918"/>
      <c r="O207" s="918"/>
      <c r="P207" s="918"/>
      <c r="Q207" s="918"/>
      <c r="R207" s="918"/>
      <c r="S207" s="918"/>
      <c r="T207" s="918"/>
      <c r="U207" s="918"/>
      <c r="V207" s="918"/>
      <c r="W207" s="951"/>
      <c r="X207" s="918"/>
      <c r="Y207" s="952"/>
      <c r="Z207" s="953"/>
      <c r="AA207" s="952"/>
      <c r="AB207" s="953"/>
      <c r="AC207" s="952"/>
      <c r="AD207" s="953"/>
      <c r="AE207" s="954"/>
      <c r="AF207" s="918"/>
    </row>
    <row r="208" spans="1:32" hidden="1" outlineLevel="1" x14ac:dyDescent="0.2">
      <c r="A208" s="920">
        <v>10</v>
      </c>
      <c r="B208" s="921" t="s">
        <v>2074</v>
      </c>
      <c r="C208" s="920" t="s">
        <v>1092</v>
      </c>
      <c r="D208" s="920" t="s">
        <v>1092</v>
      </c>
      <c r="E208" s="920" t="s">
        <v>1092</v>
      </c>
      <c r="F208" s="920" t="s">
        <v>1092</v>
      </c>
      <c r="G208" s="920" t="s">
        <v>1092</v>
      </c>
      <c r="H208" s="920" t="s">
        <v>1092</v>
      </c>
      <c r="I208" s="920" t="s">
        <v>1092</v>
      </c>
      <c r="J208" s="920" t="s">
        <v>1092</v>
      </c>
      <c r="K208" s="920"/>
      <c r="L208" s="920"/>
      <c r="M208" s="920"/>
      <c r="N208" s="920"/>
      <c r="O208" s="920"/>
      <c r="P208" s="920"/>
      <c r="Q208" s="920"/>
      <c r="R208" s="920"/>
      <c r="S208" s="920"/>
      <c r="T208" s="920"/>
      <c r="U208" s="920"/>
      <c r="V208" s="920"/>
      <c r="W208" s="955"/>
      <c r="X208" s="920"/>
      <c r="Y208" s="956"/>
      <c r="Z208" s="957"/>
      <c r="AA208" s="956"/>
      <c r="AB208" s="957"/>
      <c r="AC208" s="956"/>
      <c r="AD208" s="957"/>
      <c r="AE208" s="958"/>
      <c r="AF208" s="920"/>
    </row>
    <row r="209" spans="1:32" hidden="1" outlineLevel="1" x14ac:dyDescent="0.2">
      <c r="A209" s="918">
        <v>11</v>
      </c>
      <c r="B209" s="919" t="s">
        <v>2075</v>
      </c>
      <c r="C209" s="918" t="s">
        <v>1092</v>
      </c>
      <c r="D209" s="918" t="s">
        <v>1092</v>
      </c>
      <c r="E209" s="918" t="s">
        <v>1092</v>
      </c>
      <c r="F209" s="918" t="s">
        <v>1092</v>
      </c>
      <c r="G209" s="918" t="s">
        <v>1092</v>
      </c>
      <c r="H209" s="918" t="s">
        <v>1092</v>
      </c>
      <c r="I209" s="918" t="s">
        <v>1092</v>
      </c>
      <c r="J209" s="918" t="s">
        <v>1092</v>
      </c>
      <c r="K209" s="918"/>
      <c r="L209" s="918"/>
      <c r="M209" s="918"/>
      <c r="N209" s="918"/>
      <c r="O209" s="918"/>
      <c r="P209" s="918"/>
      <c r="Q209" s="918"/>
      <c r="R209" s="918"/>
      <c r="S209" s="918"/>
      <c r="T209" s="918"/>
      <c r="U209" s="918"/>
      <c r="V209" s="918"/>
      <c r="W209" s="951"/>
      <c r="X209" s="918"/>
      <c r="Y209" s="952"/>
      <c r="Z209" s="953"/>
      <c r="AA209" s="952"/>
      <c r="AB209" s="953"/>
      <c r="AC209" s="952"/>
      <c r="AD209" s="953"/>
      <c r="AE209" s="954"/>
      <c r="AF209" s="918"/>
    </row>
    <row r="210" spans="1:32" hidden="1" outlineLevel="1" x14ac:dyDescent="0.2">
      <c r="A210" s="920">
        <v>12</v>
      </c>
      <c r="B210" s="921" t="s">
        <v>2076</v>
      </c>
      <c r="C210" s="920" t="s">
        <v>1092</v>
      </c>
      <c r="D210" s="920" t="s">
        <v>1092</v>
      </c>
      <c r="E210" s="920" t="s">
        <v>1092</v>
      </c>
      <c r="F210" s="920" t="s">
        <v>1092</v>
      </c>
      <c r="G210" s="920" t="s">
        <v>1092</v>
      </c>
      <c r="H210" s="920" t="s">
        <v>1092</v>
      </c>
      <c r="I210" s="920" t="s">
        <v>1092</v>
      </c>
      <c r="J210" s="920" t="s">
        <v>1092</v>
      </c>
      <c r="K210" s="920"/>
      <c r="L210" s="920"/>
      <c r="M210" s="920"/>
      <c r="N210" s="920"/>
      <c r="O210" s="920"/>
      <c r="P210" s="920"/>
      <c r="Q210" s="920"/>
      <c r="R210" s="920"/>
      <c r="S210" s="920"/>
      <c r="T210" s="920"/>
      <c r="U210" s="920"/>
      <c r="V210" s="920"/>
      <c r="W210" s="955"/>
      <c r="X210" s="920"/>
      <c r="Y210" s="956"/>
      <c r="Z210" s="957"/>
      <c r="AA210" s="956"/>
      <c r="AB210" s="957"/>
      <c r="AC210" s="956"/>
      <c r="AD210" s="957"/>
      <c r="AE210" s="958"/>
      <c r="AF210" s="920"/>
    </row>
    <row r="211" spans="1:32" hidden="1" outlineLevel="1" x14ac:dyDescent="0.2">
      <c r="A211" s="918">
        <v>13</v>
      </c>
      <c r="B211" s="919" t="s">
        <v>2077</v>
      </c>
      <c r="C211" s="918" t="s">
        <v>1092</v>
      </c>
      <c r="D211" s="918" t="s">
        <v>1092</v>
      </c>
      <c r="E211" s="918" t="s">
        <v>1092</v>
      </c>
      <c r="F211" s="918" t="s">
        <v>1092</v>
      </c>
      <c r="G211" s="918" t="s">
        <v>1092</v>
      </c>
      <c r="H211" s="918" t="s">
        <v>1092</v>
      </c>
      <c r="I211" s="918" t="s">
        <v>1092</v>
      </c>
      <c r="J211" s="918" t="s">
        <v>1092</v>
      </c>
      <c r="K211" s="918"/>
      <c r="L211" s="918"/>
      <c r="M211" s="918"/>
      <c r="N211" s="918"/>
      <c r="O211" s="918"/>
      <c r="P211" s="918"/>
      <c r="Q211" s="918"/>
      <c r="R211" s="918"/>
      <c r="S211" s="918"/>
      <c r="T211" s="918"/>
      <c r="U211" s="918"/>
      <c r="V211" s="918"/>
      <c r="W211" s="951"/>
      <c r="X211" s="918"/>
      <c r="Y211" s="952"/>
      <c r="Z211" s="953"/>
      <c r="AA211" s="952"/>
      <c r="AB211" s="953"/>
      <c r="AC211" s="952"/>
      <c r="AD211" s="953"/>
      <c r="AE211" s="954"/>
      <c r="AF211" s="918"/>
    </row>
    <row r="212" spans="1:32" hidden="1" outlineLevel="1" x14ac:dyDescent="0.2">
      <c r="A212" s="920">
        <v>14</v>
      </c>
      <c r="B212" s="921" t="s">
        <v>2078</v>
      </c>
      <c r="C212" s="920" t="s">
        <v>1092</v>
      </c>
      <c r="D212" s="920" t="s">
        <v>1092</v>
      </c>
      <c r="E212" s="920" t="s">
        <v>1092</v>
      </c>
      <c r="F212" s="920" t="s">
        <v>1092</v>
      </c>
      <c r="G212" s="920" t="s">
        <v>1092</v>
      </c>
      <c r="H212" s="920" t="s">
        <v>1092</v>
      </c>
      <c r="I212" s="920" t="s">
        <v>1092</v>
      </c>
      <c r="J212" s="920" t="s">
        <v>1092</v>
      </c>
      <c r="K212" s="920"/>
      <c r="L212" s="920"/>
      <c r="M212" s="920"/>
      <c r="N212" s="920"/>
      <c r="O212" s="920"/>
      <c r="P212" s="920"/>
      <c r="Q212" s="920"/>
      <c r="R212" s="920"/>
      <c r="S212" s="920"/>
      <c r="T212" s="920"/>
      <c r="U212" s="920"/>
      <c r="V212" s="920"/>
      <c r="W212" s="955"/>
      <c r="X212" s="920"/>
      <c r="Y212" s="956"/>
      <c r="Z212" s="957"/>
      <c r="AA212" s="956"/>
      <c r="AB212" s="957"/>
      <c r="AC212" s="956"/>
      <c r="AD212" s="957"/>
      <c r="AE212" s="958"/>
      <c r="AF212" s="920"/>
    </row>
    <row r="213" spans="1:32" ht="24" hidden="1" outlineLevel="1" x14ac:dyDescent="0.2">
      <c r="A213" s="918">
        <v>15</v>
      </c>
      <c r="B213" s="919" t="s">
        <v>2079</v>
      </c>
      <c r="C213" s="918" t="s">
        <v>299</v>
      </c>
      <c r="D213" s="918" t="s">
        <v>299</v>
      </c>
      <c r="E213" s="918" t="s">
        <v>299</v>
      </c>
      <c r="F213" s="918" t="s">
        <v>299</v>
      </c>
      <c r="G213" s="918" t="s">
        <v>299</v>
      </c>
      <c r="H213" s="918" t="s">
        <v>299</v>
      </c>
      <c r="I213" s="918" t="s">
        <v>299</v>
      </c>
      <c r="J213" s="918" t="s">
        <v>299</v>
      </c>
      <c r="K213" s="918" t="s">
        <v>2080</v>
      </c>
      <c r="L213" s="918"/>
      <c r="M213" s="918"/>
      <c r="N213" s="918"/>
      <c r="O213" s="918"/>
      <c r="P213" s="918"/>
      <c r="Q213" s="918"/>
      <c r="R213" s="918"/>
      <c r="S213" s="918"/>
      <c r="T213" s="918"/>
      <c r="U213" s="918"/>
      <c r="V213" s="918"/>
      <c r="W213" s="951"/>
      <c r="X213" s="918"/>
      <c r="Y213" s="952"/>
      <c r="Z213" s="953"/>
      <c r="AA213" s="952"/>
      <c r="AB213" s="953"/>
      <c r="AC213" s="952"/>
      <c r="AD213" s="953"/>
      <c r="AE213" s="954"/>
      <c r="AF213" s="918"/>
    </row>
    <row r="214" spans="1:32" hidden="1" outlineLevel="1" x14ac:dyDescent="0.2">
      <c r="A214" s="920">
        <v>16</v>
      </c>
      <c r="B214" s="921" t="s">
        <v>2081</v>
      </c>
      <c r="C214" s="920" t="s">
        <v>299</v>
      </c>
      <c r="D214" s="920" t="s">
        <v>299</v>
      </c>
      <c r="E214" s="920" t="s">
        <v>299</v>
      </c>
      <c r="F214" s="920" t="s">
        <v>299</v>
      </c>
      <c r="G214" s="920" t="s">
        <v>299</v>
      </c>
      <c r="H214" s="920" t="s">
        <v>299</v>
      </c>
      <c r="I214" s="920" t="s">
        <v>299</v>
      </c>
      <c r="J214" s="920" t="s">
        <v>299</v>
      </c>
      <c r="K214" s="920" t="s">
        <v>2069</v>
      </c>
      <c r="L214" s="920"/>
      <c r="M214" s="920"/>
      <c r="N214" s="920"/>
      <c r="O214" s="920"/>
      <c r="P214" s="920"/>
      <c r="Q214" s="920"/>
      <c r="R214" s="920"/>
      <c r="S214" s="920"/>
      <c r="T214" s="920"/>
      <c r="U214" s="920"/>
      <c r="V214" s="920"/>
      <c r="W214" s="955"/>
      <c r="X214" s="920"/>
      <c r="Y214" s="956"/>
      <c r="Z214" s="957"/>
      <c r="AA214" s="956"/>
      <c r="AB214" s="957"/>
      <c r="AC214" s="956"/>
      <c r="AD214" s="957"/>
      <c r="AE214" s="958"/>
      <c r="AF214" s="920"/>
    </row>
    <row r="215" spans="1:32" hidden="1" outlineLevel="1" x14ac:dyDescent="0.2">
      <c r="A215" s="918">
        <v>17</v>
      </c>
      <c r="B215" s="919" t="s">
        <v>2082</v>
      </c>
      <c r="C215" s="918" t="s">
        <v>299</v>
      </c>
      <c r="D215" s="918" t="s">
        <v>299</v>
      </c>
      <c r="E215" s="918" t="s">
        <v>299</v>
      </c>
      <c r="F215" s="918" t="s">
        <v>299</v>
      </c>
      <c r="G215" s="918" t="s">
        <v>299</v>
      </c>
      <c r="H215" s="918" t="s">
        <v>299</v>
      </c>
      <c r="I215" s="918" t="s">
        <v>299</v>
      </c>
      <c r="J215" s="918" t="s">
        <v>299</v>
      </c>
      <c r="K215" s="918" t="s">
        <v>2069</v>
      </c>
      <c r="L215" s="918"/>
      <c r="M215" s="918"/>
      <c r="N215" s="918"/>
      <c r="O215" s="918"/>
      <c r="P215" s="918"/>
      <c r="Q215" s="918"/>
      <c r="R215" s="918"/>
      <c r="S215" s="918"/>
      <c r="T215" s="918"/>
      <c r="U215" s="918"/>
      <c r="V215" s="918"/>
      <c r="W215" s="951"/>
      <c r="X215" s="918"/>
      <c r="Y215" s="952"/>
      <c r="Z215" s="953"/>
      <c r="AA215" s="952"/>
      <c r="AB215" s="953"/>
      <c r="AC215" s="952"/>
      <c r="AD215" s="953"/>
      <c r="AE215" s="954"/>
      <c r="AF215" s="918"/>
    </row>
    <row r="216" spans="1:32" hidden="1" outlineLevel="1" x14ac:dyDescent="0.2">
      <c r="A216" s="920">
        <v>18</v>
      </c>
      <c r="B216" s="921" t="s">
        <v>2083</v>
      </c>
      <c r="C216" s="920" t="s">
        <v>299</v>
      </c>
      <c r="D216" s="920" t="s">
        <v>299</v>
      </c>
      <c r="E216" s="920" t="s">
        <v>299</v>
      </c>
      <c r="F216" s="920" t="s">
        <v>299</v>
      </c>
      <c r="G216" s="920" t="s">
        <v>299</v>
      </c>
      <c r="H216" s="920" t="s">
        <v>299</v>
      </c>
      <c r="I216" s="920" t="s">
        <v>299</v>
      </c>
      <c r="J216" s="920" t="s">
        <v>299</v>
      </c>
      <c r="K216" s="920" t="s">
        <v>2069</v>
      </c>
      <c r="L216" s="920"/>
      <c r="M216" s="920"/>
      <c r="N216" s="920"/>
      <c r="O216" s="920"/>
      <c r="P216" s="920"/>
      <c r="Q216" s="920"/>
      <c r="R216" s="920"/>
      <c r="S216" s="920"/>
      <c r="T216" s="920"/>
      <c r="U216" s="920"/>
      <c r="V216" s="920"/>
      <c r="W216" s="955"/>
      <c r="X216" s="920"/>
      <c r="Y216" s="956"/>
      <c r="Z216" s="957"/>
      <c r="AA216" s="956"/>
      <c r="AB216" s="957"/>
      <c r="AC216" s="956"/>
      <c r="AD216" s="957"/>
      <c r="AE216" s="958"/>
      <c r="AF216" s="920"/>
    </row>
    <row r="217" spans="1:32" hidden="1" outlineLevel="1" x14ac:dyDescent="0.2">
      <c r="A217" s="918">
        <v>19</v>
      </c>
      <c r="B217" s="919" t="s">
        <v>2084</v>
      </c>
      <c r="C217" s="918" t="s">
        <v>299</v>
      </c>
      <c r="D217" s="918" t="s">
        <v>299</v>
      </c>
      <c r="E217" s="918" t="s">
        <v>299</v>
      </c>
      <c r="F217" s="918" t="s">
        <v>299</v>
      </c>
      <c r="G217" s="918" t="s">
        <v>299</v>
      </c>
      <c r="H217" s="918" t="s">
        <v>299</v>
      </c>
      <c r="I217" s="918" t="s">
        <v>299</v>
      </c>
      <c r="J217" s="918" t="s">
        <v>299</v>
      </c>
      <c r="K217" s="918" t="s">
        <v>2069</v>
      </c>
      <c r="L217" s="918"/>
      <c r="M217" s="918"/>
      <c r="N217" s="918"/>
      <c r="O217" s="918"/>
      <c r="P217" s="918"/>
      <c r="Q217" s="918"/>
      <c r="R217" s="918"/>
      <c r="S217" s="918"/>
      <c r="T217" s="918"/>
      <c r="U217" s="918"/>
      <c r="V217" s="918"/>
      <c r="W217" s="951"/>
      <c r="X217" s="918"/>
      <c r="Y217" s="952"/>
      <c r="Z217" s="953"/>
      <c r="AA217" s="952"/>
      <c r="AB217" s="953"/>
      <c r="AC217" s="952"/>
      <c r="AD217" s="953"/>
      <c r="AE217" s="954"/>
      <c r="AF217" s="918"/>
    </row>
    <row r="218" spans="1:32" ht="24" hidden="1" outlineLevel="1" x14ac:dyDescent="0.2">
      <c r="A218" s="920">
        <v>20</v>
      </c>
      <c r="B218" s="921" t="s">
        <v>2085</v>
      </c>
      <c r="C218" s="920" t="s">
        <v>1092</v>
      </c>
      <c r="D218" s="920" t="s">
        <v>1092</v>
      </c>
      <c r="E218" s="920" t="s">
        <v>1092</v>
      </c>
      <c r="F218" s="920" t="s">
        <v>1092</v>
      </c>
      <c r="G218" s="920" t="s">
        <v>1092</v>
      </c>
      <c r="H218" s="920" t="s">
        <v>1092</v>
      </c>
      <c r="I218" s="920" t="s">
        <v>1092</v>
      </c>
      <c r="J218" s="920" t="s">
        <v>1092</v>
      </c>
      <c r="K218" s="920"/>
      <c r="L218" s="920"/>
      <c r="M218" s="920"/>
      <c r="N218" s="920"/>
      <c r="O218" s="920"/>
      <c r="P218" s="920"/>
      <c r="Q218" s="920"/>
      <c r="R218" s="920"/>
      <c r="S218" s="920"/>
      <c r="T218" s="920"/>
      <c r="U218" s="920"/>
      <c r="V218" s="920"/>
      <c r="W218" s="955"/>
      <c r="X218" s="920"/>
      <c r="Y218" s="956"/>
      <c r="Z218" s="957"/>
      <c r="AA218" s="956"/>
      <c r="AB218" s="957"/>
      <c r="AC218" s="956"/>
      <c r="AD218" s="957"/>
      <c r="AE218" s="958"/>
      <c r="AF218" s="920"/>
    </row>
    <row r="219" spans="1:32" ht="24" hidden="1" outlineLevel="1" x14ac:dyDescent="0.2">
      <c r="A219" s="918">
        <v>21</v>
      </c>
      <c r="B219" s="919" t="s">
        <v>2086</v>
      </c>
      <c r="C219" s="918" t="s">
        <v>299</v>
      </c>
      <c r="D219" s="918" t="s">
        <v>299</v>
      </c>
      <c r="E219" s="918" t="s">
        <v>299</v>
      </c>
      <c r="F219" s="918" t="s">
        <v>299</v>
      </c>
      <c r="G219" s="918" t="s">
        <v>299</v>
      </c>
      <c r="H219" s="918" t="s">
        <v>299</v>
      </c>
      <c r="I219" s="918" t="s">
        <v>299</v>
      </c>
      <c r="J219" s="918" t="s">
        <v>299</v>
      </c>
      <c r="K219" s="918" t="s">
        <v>2069</v>
      </c>
      <c r="L219" s="918"/>
      <c r="M219" s="918"/>
      <c r="N219" s="918"/>
      <c r="O219" s="918"/>
      <c r="P219" s="918"/>
      <c r="Q219" s="918"/>
      <c r="R219" s="918"/>
      <c r="S219" s="918"/>
      <c r="T219" s="918"/>
      <c r="U219" s="918"/>
      <c r="V219" s="918"/>
      <c r="W219" s="951"/>
      <c r="X219" s="918"/>
      <c r="Y219" s="952"/>
      <c r="Z219" s="953"/>
      <c r="AA219" s="952"/>
      <c r="AB219" s="953"/>
      <c r="AC219" s="952"/>
      <c r="AD219" s="953"/>
      <c r="AE219" s="954"/>
      <c r="AF219" s="918"/>
    </row>
    <row r="220" spans="1:32" hidden="1" outlineLevel="1" x14ac:dyDescent="0.2">
      <c r="A220" s="920">
        <v>22</v>
      </c>
      <c r="B220" s="921" t="s">
        <v>2087</v>
      </c>
      <c r="C220" s="920" t="s">
        <v>299</v>
      </c>
      <c r="D220" s="920" t="s">
        <v>299</v>
      </c>
      <c r="E220" s="920" t="s">
        <v>299</v>
      </c>
      <c r="F220" s="920" t="s">
        <v>299</v>
      </c>
      <c r="G220" s="920" t="s">
        <v>299</v>
      </c>
      <c r="H220" s="920" t="s">
        <v>299</v>
      </c>
      <c r="I220" s="920" t="s">
        <v>299</v>
      </c>
      <c r="J220" s="920" t="s">
        <v>299</v>
      </c>
      <c r="K220" s="920" t="s">
        <v>2069</v>
      </c>
      <c r="L220" s="920"/>
      <c r="M220" s="920"/>
      <c r="N220" s="920"/>
      <c r="O220" s="920"/>
      <c r="P220" s="920"/>
      <c r="Q220" s="920"/>
      <c r="R220" s="920"/>
      <c r="S220" s="920"/>
      <c r="T220" s="920"/>
      <c r="U220" s="920"/>
      <c r="V220" s="920"/>
      <c r="W220" s="955"/>
      <c r="X220" s="920"/>
      <c r="Y220" s="956"/>
      <c r="Z220" s="957"/>
      <c r="AA220" s="956"/>
      <c r="AB220" s="957"/>
      <c r="AC220" s="956"/>
      <c r="AD220" s="957"/>
      <c r="AE220" s="958"/>
      <c r="AF220" s="920"/>
    </row>
    <row r="221" spans="1:32" hidden="1" outlineLevel="1" x14ac:dyDescent="0.2">
      <c r="A221" s="918">
        <v>23</v>
      </c>
      <c r="B221" s="919" t="s">
        <v>2088</v>
      </c>
      <c r="C221" s="918" t="s">
        <v>299</v>
      </c>
      <c r="D221" s="918" t="s">
        <v>299</v>
      </c>
      <c r="E221" s="918" t="s">
        <v>299</v>
      </c>
      <c r="F221" s="918" t="s">
        <v>299</v>
      </c>
      <c r="G221" s="918" t="s">
        <v>299</v>
      </c>
      <c r="H221" s="918" t="s">
        <v>299</v>
      </c>
      <c r="I221" s="918" t="s">
        <v>299</v>
      </c>
      <c r="J221" s="918" t="s">
        <v>299</v>
      </c>
      <c r="K221" s="918" t="s">
        <v>2069</v>
      </c>
      <c r="L221" s="918"/>
      <c r="M221" s="918"/>
      <c r="N221" s="918"/>
      <c r="O221" s="918"/>
      <c r="P221" s="918"/>
      <c r="Q221" s="918"/>
      <c r="R221" s="918"/>
      <c r="S221" s="918"/>
      <c r="T221" s="918"/>
      <c r="U221" s="918"/>
      <c r="V221" s="918"/>
      <c r="W221" s="951"/>
      <c r="X221" s="918"/>
      <c r="Y221" s="952"/>
      <c r="Z221" s="953"/>
      <c r="AA221" s="952"/>
      <c r="AB221" s="953"/>
      <c r="AC221" s="952"/>
      <c r="AD221" s="953"/>
      <c r="AE221" s="954"/>
      <c r="AF221" s="918"/>
    </row>
    <row r="222" spans="1:32" ht="24" hidden="1" outlineLevel="1" x14ac:dyDescent="0.2">
      <c r="A222" s="920">
        <v>24</v>
      </c>
      <c r="B222" s="921" t="s">
        <v>2089</v>
      </c>
      <c r="C222" s="920" t="s">
        <v>299</v>
      </c>
      <c r="D222" s="920" t="s">
        <v>299</v>
      </c>
      <c r="E222" s="920" t="s">
        <v>299</v>
      </c>
      <c r="F222" s="920" t="s">
        <v>299</v>
      </c>
      <c r="G222" s="920" t="s">
        <v>299</v>
      </c>
      <c r="H222" s="920" t="s">
        <v>299</v>
      </c>
      <c r="I222" s="920" t="s">
        <v>299</v>
      </c>
      <c r="J222" s="920" t="s">
        <v>299</v>
      </c>
      <c r="K222" s="920" t="s">
        <v>2069</v>
      </c>
      <c r="L222" s="920"/>
      <c r="M222" s="920"/>
      <c r="N222" s="920"/>
      <c r="O222" s="920"/>
      <c r="P222" s="920"/>
      <c r="Q222" s="920"/>
      <c r="R222" s="920"/>
      <c r="S222" s="920"/>
      <c r="T222" s="920"/>
      <c r="U222" s="920"/>
      <c r="V222" s="920"/>
      <c r="W222" s="955"/>
      <c r="X222" s="920"/>
      <c r="Y222" s="956"/>
      <c r="Z222" s="957"/>
      <c r="AA222" s="956"/>
      <c r="AB222" s="957"/>
      <c r="AC222" s="956"/>
      <c r="AD222" s="957"/>
      <c r="AE222" s="958"/>
      <c r="AF222" s="920"/>
    </row>
    <row r="223" spans="1:32" s="917" customFormat="1" collapsed="1" x14ac:dyDescent="0.2">
      <c r="A223" s="915">
        <v>21</v>
      </c>
      <c r="B223" s="916" t="s">
        <v>2090</v>
      </c>
      <c r="C223" s="915" t="s">
        <v>1884</v>
      </c>
      <c r="D223" s="915" t="s">
        <v>1884</v>
      </c>
      <c r="E223" s="915" t="s">
        <v>1884</v>
      </c>
      <c r="F223" s="915" t="s">
        <v>1884</v>
      </c>
      <c r="G223" s="915" t="s">
        <v>1884</v>
      </c>
      <c r="H223" s="915" t="s">
        <v>1884</v>
      </c>
      <c r="I223" s="915" t="s">
        <v>1884</v>
      </c>
      <c r="J223" s="915" t="s">
        <v>1884</v>
      </c>
      <c r="K223" s="915" t="s">
        <v>1092</v>
      </c>
      <c r="L223" s="915" t="s">
        <v>1092</v>
      </c>
      <c r="M223" s="915" t="s">
        <v>1092</v>
      </c>
      <c r="N223" s="915" t="s">
        <v>1092</v>
      </c>
      <c r="O223" s="915" t="s">
        <v>1092</v>
      </c>
      <c r="P223" s="915" t="s">
        <v>1092</v>
      </c>
      <c r="Q223" s="915" t="s">
        <v>1092</v>
      </c>
      <c r="R223" s="915" t="s">
        <v>1092</v>
      </c>
      <c r="S223" s="915" t="s">
        <v>1092</v>
      </c>
      <c r="T223" s="915" t="s">
        <v>299</v>
      </c>
      <c r="U223" s="947" t="s">
        <v>1884</v>
      </c>
      <c r="V223" s="915" t="s">
        <v>1092</v>
      </c>
      <c r="W223" s="947" t="s">
        <v>1092</v>
      </c>
      <c r="X223" s="915"/>
      <c r="Y223" s="948"/>
      <c r="Z223" s="949"/>
      <c r="AA223" s="948"/>
      <c r="AB223" s="949"/>
      <c r="AC223" s="948"/>
      <c r="AD223" s="949"/>
      <c r="AE223" s="950"/>
      <c r="AF223" s="915"/>
    </row>
    <row r="224" spans="1:32" hidden="1" outlineLevel="1" x14ac:dyDescent="0.2">
      <c r="A224" s="918">
        <v>1</v>
      </c>
      <c r="B224" s="919" t="s">
        <v>2091</v>
      </c>
      <c r="C224" s="918" t="s">
        <v>299</v>
      </c>
      <c r="D224" s="918" t="s">
        <v>1092</v>
      </c>
      <c r="E224" s="918" t="s">
        <v>1092</v>
      </c>
      <c r="F224" s="918" t="s">
        <v>1092</v>
      </c>
      <c r="G224" s="918" t="s">
        <v>1092</v>
      </c>
      <c r="H224" s="918" t="s">
        <v>1092</v>
      </c>
      <c r="I224" s="918" t="s">
        <v>1092</v>
      </c>
      <c r="J224" s="918" t="s">
        <v>1092</v>
      </c>
      <c r="K224" s="918"/>
      <c r="L224" s="918"/>
      <c r="M224" s="918"/>
      <c r="N224" s="918"/>
      <c r="O224" s="918"/>
      <c r="P224" s="918"/>
      <c r="Q224" s="918"/>
      <c r="R224" s="918"/>
      <c r="S224" s="918"/>
      <c r="T224" s="918"/>
      <c r="U224" s="918"/>
      <c r="V224" s="918"/>
      <c r="W224" s="951"/>
      <c r="X224" s="918"/>
      <c r="Y224" s="952"/>
      <c r="Z224" s="953"/>
      <c r="AA224" s="952"/>
      <c r="AB224" s="953"/>
      <c r="AC224" s="952"/>
      <c r="AD224" s="953"/>
      <c r="AE224" s="954"/>
      <c r="AF224" s="918"/>
    </row>
    <row r="225" spans="1:32" ht="24" hidden="1" outlineLevel="1" x14ac:dyDescent="0.2">
      <c r="A225" s="920">
        <v>2</v>
      </c>
      <c r="B225" s="921" t="s">
        <v>2092</v>
      </c>
      <c r="C225" s="920" t="s">
        <v>299</v>
      </c>
      <c r="D225" s="920" t="s">
        <v>299</v>
      </c>
      <c r="E225" s="920" t="s">
        <v>299</v>
      </c>
      <c r="F225" s="920" t="s">
        <v>299</v>
      </c>
      <c r="G225" s="920" t="s">
        <v>299</v>
      </c>
      <c r="H225" s="920" t="s">
        <v>299</v>
      </c>
      <c r="I225" s="920" t="s">
        <v>299</v>
      </c>
      <c r="J225" s="920" t="s">
        <v>299</v>
      </c>
      <c r="K225" s="920" t="s">
        <v>1881</v>
      </c>
      <c r="L225" s="920"/>
      <c r="M225" s="920"/>
      <c r="N225" s="920"/>
      <c r="O225" s="920"/>
      <c r="P225" s="920"/>
      <c r="Q225" s="920"/>
      <c r="R225" s="920"/>
      <c r="S225" s="920"/>
      <c r="T225" s="920"/>
      <c r="U225" s="920"/>
      <c r="V225" s="920"/>
      <c r="W225" s="955"/>
      <c r="X225" s="920"/>
      <c r="Y225" s="956"/>
      <c r="Z225" s="957"/>
      <c r="AA225" s="956"/>
      <c r="AB225" s="957"/>
      <c r="AC225" s="956"/>
      <c r="AD225" s="957"/>
      <c r="AE225" s="958"/>
      <c r="AF225" s="920"/>
    </row>
    <row r="226" spans="1:32" hidden="1" outlineLevel="1" x14ac:dyDescent="0.2">
      <c r="A226" s="918">
        <v>3</v>
      </c>
      <c r="B226" s="919" t="s">
        <v>227</v>
      </c>
      <c r="C226" s="918" t="s">
        <v>1092</v>
      </c>
      <c r="D226" s="918" t="s">
        <v>1092</v>
      </c>
      <c r="E226" s="918" t="s">
        <v>1092</v>
      </c>
      <c r="F226" s="918" t="s">
        <v>1092</v>
      </c>
      <c r="G226" s="918" t="s">
        <v>1092</v>
      </c>
      <c r="H226" s="918" t="s">
        <v>1092</v>
      </c>
      <c r="I226" s="918" t="s">
        <v>1092</v>
      </c>
      <c r="J226" s="918" t="s">
        <v>1092</v>
      </c>
      <c r="K226" s="918"/>
      <c r="L226" s="918"/>
      <c r="M226" s="918"/>
      <c r="N226" s="918"/>
      <c r="O226" s="918"/>
      <c r="P226" s="918"/>
      <c r="Q226" s="918"/>
      <c r="R226" s="918"/>
      <c r="S226" s="918"/>
      <c r="T226" s="918"/>
      <c r="U226" s="918"/>
      <c r="V226" s="918"/>
      <c r="W226" s="951"/>
      <c r="X226" s="918"/>
      <c r="Y226" s="952"/>
      <c r="Z226" s="953"/>
      <c r="AA226" s="952"/>
      <c r="AB226" s="953"/>
      <c r="AC226" s="952"/>
      <c r="AD226" s="953"/>
      <c r="AE226" s="954"/>
      <c r="AF226" s="918"/>
    </row>
    <row r="227" spans="1:32" hidden="1" outlineLevel="1" x14ac:dyDescent="0.2">
      <c r="A227" s="920">
        <v>4</v>
      </c>
      <c r="B227" s="921" t="s">
        <v>2093</v>
      </c>
      <c r="C227" s="920" t="s">
        <v>299</v>
      </c>
      <c r="D227" s="920" t="s">
        <v>1092</v>
      </c>
      <c r="E227" s="920" t="s">
        <v>1092</v>
      </c>
      <c r="F227" s="920" t="s">
        <v>1092</v>
      </c>
      <c r="G227" s="920" t="s">
        <v>1092</v>
      </c>
      <c r="H227" s="920" t="s">
        <v>1092</v>
      </c>
      <c r="I227" s="920" t="s">
        <v>1092</v>
      </c>
      <c r="J227" s="920" t="s">
        <v>1092</v>
      </c>
      <c r="K227" s="920"/>
      <c r="L227" s="920"/>
      <c r="M227" s="920"/>
      <c r="N227" s="920"/>
      <c r="O227" s="920"/>
      <c r="P227" s="920"/>
      <c r="Q227" s="920"/>
      <c r="R227" s="920"/>
      <c r="S227" s="920"/>
      <c r="T227" s="920"/>
      <c r="U227" s="920"/>
      <c r="V227" s="920"/>
      <c r="W227" s="955"/>
      <c r="X227" s="920"/>
      <c r="Y227" s="956"/>
      <c r="Z227" s="957"/>
      <c r="AA227" s="956"/>
      <c r="AB227" s="957"/>
      <c r="AC227" s="956"/>
      <c r="AD227" s="957"/>
      <c r="AE227" s="958"/>
      <c r="AF227" s="920"/>
    </row>
    <row r="228" spans="1:32" hidden="1" outlineLevel="1" x14ac:dyDescent="0.2">
      <c r="A228" s="918">
        <v>5</v>
      </c>
      <c r="B228" s="919" t="s">
        <v>2094</v>
      </c>
      <c r="C228" s="918" t="s">
        <v>299</v>
      </c>
      <c r="D228" s="918" t="s">
        <v>299</v>
      </c>
      <c r="E228" s="918" t="s">
        <v>299</v>
      </c>
      <c r="F228" s="918" t="s">
        <v>299</v>
      </c>
      <c r="G228" s="918" t="s">
        <v>299</v>
      </c>
      <c r="H228" s="918" t="s">
        <v>299</v>
      </c>
      <c r="I228" s="918" t="s">
        <v>299</v>
      </c>
      <c r="J228" s="918" t="s">
        <v>299</v>
      </c>
      <c r="K228" s="918" t="s">
        <v>2095</v>
      </c>
      <c r="L228" s="918"/>
      <c r="M228" s="918"/>
      <c r="N228" s="918"/>
      <c r="O228" s="918"/>
      <c r="P228" s="918"/>
      <c r="Q228" s="918"/>
      <c r="R228" s="918"/>
      <c r="S228" s="918"/>
      <c r="T228" s="918"/>
      <c r="U228" s="918"/>
      <c r="V228" s="918"/>
      <c r="W228" s="951"/>
      <c r="X228" s="918"/>
      <c r="Y228" s="952"/>
      <c r="Z228" s="953"/>
      <c r="AA228" s="952"/>
      <c r="AB228" s="953"/>
      <c r="AC228" s="952"/>
      <c r="AD228" s="953"/>
      <c r="AE228" s="954"/>
      <c r="AF228" s="918"/>
    </row>
    <row r="229" spans="1:32" s="917" customFormat="1" collapsed="1" x14ac:dyDescent="0.2">
      <c r="A229" s="915">
        <v>22</v>
      </c>
      <c r="B229" s="916" t="s">
        <v>2096</v>
      </c>
      <c r="C229" s="915" t="s">
        <v>1884</v>
      </c>
      <c r="D229" s="915" t="s">
        <v>1884</v>
      </c>
      <c r="E229" s="915" t="s">
        <v>1884</v>
      </c>
      <c r="F229" s="915" t="s">
        <v>1884</v>
      </c>
      <c r="G229" s="915" t="s">
        <v>1092</v>
      </c>
      <c r="H229" s="915" t="s">
        <v>1092</v>
      </c>
      <c r="I229" s="915" t="s">
        <v>1092</v>
      </c>
      <c r="J229" s="915" t="s">
        <v>1092</v>
      </c>
      <c r="K229" s="915"/>
      <c r="L229" s="915" t="s">
        <v>1092</v>
      </c>
      <c r="M229" s="915" t="s">
        <v>1092</v>
      </c>
      <c r="N229" s="915" t="s">
        <v>1092</v>
      </c>
      <c r="O229" s="915" t="s">
        <v>1092</v>
      </c>
      <c r="P229" s="915" t="s">
        <v>1092</v>
      </c>
      <c r="Q229" s="915" t="s">
        <v>1092</v>
      </c>
      <c r="R229" s="915" t="s">
        <v>1092</v>
      </c>
      <c r="S229" s="915" t="s">
        <v>1092</v>
      </c>
      <c r="T229" s="915" t="s">
        <v>1092</v>
      </c>
      <c r="U229" s="915" t="s">
        <v>1092</v>
      </c>
      <c r="V229" s="915" t="s">
        <v>1092</v>
      </c>
      <c r="W229" s="947" t="s">
        <v>1092</v>
      </c>
      <c r="X229" s="915"/>
      <c r="Y229" s="948"/>
      <c r="Z229" s="949"/>
      <c r="AA229" s="948"/>
      <c r="AB229" s="949"/>
      <c r="AC229" s="948"/>
      <c r="AD229" s="949"/>
      <c r="AE229" s="950"/>
      <c r="AF229" s="915"/>
    </row>
    <row r="230" spans="1:32" hidden="1" outlineLevel="1" x14ac:dyDescent="0.2">
      <c r="A230" s="918">
        <v>1</v>
      </c>
      <c r="B230" s="919" t="s">
        <v>164</v>
      </c>
      <c r="C230" s="918" t="s">
        <v>1884</v>
      </c>
      <c r="D230" s="918" t="s">
        <v>1884</v>
      </c>
      <c r="E230" s="918" t="s">
        <v>1884</v>
      </c>
      <c r="F230" s="918" t="s">
        <v>1884</v>
      </c>
      <c r="G230" s="918" t="s">
        <v>1092</v>
      </c>
      <c r="H230" s="918" t="s">
        <v>1092</v>
      </c>
      <c r="I230" s="918" t="s">
        <v>1092</v>
      </c>
      <c r="J230" s="918" t="s">
        <v>1092</v>
      </c>
      <c r="K230" s="918"/>
      <c r="L230" s="918"/>
      <c r="M230" s="918"/>
      <c r="N230" s="918"/>
      <c r="O230" s="918"/>
      <c r="P230" s="918"/>
      <c r="Q230" s="918"/>
      <c r="R230" s="918"/>
      <c r="S230" s="918"/>
      <c r="T230" s="918"/>
      <c r="U230" s="918"/>
      <c r="V230" s="918"/>
      <c r="W230" s="951"/>
      <c r="X230" s="918"/>
      <c r="Y230" s="952"/>
      <c r="Z230" s="953"/>
      <c r="AA230" s="952"/>
      <c r="AB230" s="953"/>
      <c r="AC230" s="952"/>
      <c r="AD230" s="953"/>
      <c r="AE230" s="954"/>
      <c r="AF230" s="918"/>
    </row>
    <row r="231" spans="1:32" hidden="1" outlineLevel="1" x14ac:dyDescent="0.2">
      <c r="A231" s="920">
        <v>2</v>
      </c>
      <c r="B231" s="921" t="s">
        <v>172</v>
      </c>
      <c r="C231" s="920" t="s">
        <v>299</v>
      </c>
      <c r="D231" s="920" t="s">
        <v>299</v>
      </c>
      <c r="E231" s="920" t="s">
        <v>299</v>
      </c>
      <c r="F231" s="920" t="s">
        <v>299</v>
      </c>
      <c r="G231" s="920" t="s">
        <v>1092</v>
      </c>
      <c r="H231" s="920" t="s">
        <v>1092</v>
      </c>
      <c r="I231" s="920" t="s">
        <v>1092</v>
      </c>
      <c r="J231" s="920" t="s">
        <v>1092</v>
      </c>
      <c r="K231" s="920"/>
      <c r="L231" s="920"/>
      <c r="M231" s="920"/>
      <c r="N231" s="920"/>
      <c r="O231" s="920"/>
      <c r="P231" s="920"/>
      <c r="Q231" s="920"/>
      <c r="R231" s="920"/>
      <c r="S231" s="920"/>
      <c r="T231" s="920"/>
      <c r="U231" s="920"/>
      <c r="V231" s="920"/>
      <c r="W231" s="955"/>
      <c r="X231" s="920"/>
      <c r="Y231" s="956"/>
      <c r="Z231" s="957"/>
      <c r="AA231" s="956"/>
      <c r="AB231" s="957"/>
      <c r="AC231" s="956"/>
      <c r="AD231" s="957"/>
      <c r="AE231" s="958"/>
      <c r="AF231" s="920"/>
    </row>
    <row r="232" spans="1:32" hidden="1" outlineLevel="1" x14ac:dyDescent="0.2">
      <c r="A232" s="918">
        <v>3</v>
      </c>
      <c r="B232" s="919" t="s">
        <v>180</v>
      </c>
      <c r="C232" s="918" t="s">
        <v>299</v>
      </c>
      <c r="D232" s="918" t="s">
        <v>299</v>
      </c>
      <c r="E232" s="918" t="s">
        <v>299</v>
      </c>
      <c r="F232" s="918" t="s">
        <v>299</v>
      </c>
      <c r="G232" s="918" t="s">
        <v>1092</v>
      </c>
      <c r="H232" s="918" t="s">
        <v>1092</v>
      </c>
      <c r="I232" s="918" t="s">
        <v>1092</v>
      </c>
      <c r="J232" s="918" t="s">
        <v>1092</v>
      </c>
      <c r="K232" s="918"/>
      <c r="L232" s="918"/>
      <c r="M232" s="918"/>
      <c r="N232" s="918"/>
      <c r="O232" s="918"/>
      <c r="P232" s="918"/>
      <c r="Q232" s="918"/>
      <c r="R232" s="918"/>
      <c r="S232" s="918"/>
      <c r="T232" s="918"/>
      <c r="U232" s="918"/>
      <c r="V232" s="918"/>
      <c r="W232" s="951"/>
      <c r="X232" s="918"/>
      <c r="Y232" s="952"/>
      <c r="Z232" s="953"/>
      <c r="AA232" s="952"/>
      <c r="AB232" s="953"/>
      <c r="AC232" s="952"/>
      <c r="AD232" s="953"/>
      <c r="AE232" s="954"/>
      <c r="AF232" s="918"/>
    </row>
    <row r="233" spans="1:32" hidden="1" outlineLevel="1" x14ac:dyDescent="0.2">
      <c r="A233" s="920">
        <v>4</v>
      </c>
      <c r="B233" s="921" t="s">
        <v>2097</v>
      </c>
      <c r="C233" s="920" t="s">
        <v>299</v>
      </c>
      <c r="D233" s="920" t="s">
        <v>299</v>
      </c>
      <c r="E233" s="920" t="s">
        <v>299</v>
      </c>
      <c r="F233" s="920" t="s">
        <v>299</v>
      </c>
      <c r="G233" s="920" t="s">
        <v>1092</v>
      </c>
      <c r="H233" s="920" t="s">
        <v>1092</v>
      </c>
      <c r="I233" s="920" t="s">
        <v>1092</v>
      </c>
      <c r="J233" s="920" t="s">
        <v>1092</v>
      </c>
      <c r="K233" s="920"/>
      <c r="L233" s="920"/>
      <c r="M233" s="920"/>
      <c r="N233" s="920"/>
      <c r="O233" s="920"/>
      <c r="P233" s="920"/>
      <c r="Q233" s="920"/>
      <c r="R233" s="920"/>
      <c r="S233" s="920"/>
      <c r="T233" s="920"/>
      <c r="U233" s="920"/>
      <c r="V233" s="920"/>
      <c r="W233" s="955"/>
      <c r="X233" s="920"/>
      <c r="Y233" s="956"/>
      <c r="Z233" s="957"/>
      <c r="AA233" s="956"/>
      <c r="AB233" s="957"/>
      <c r="AC233" s="956"/>
      <c r="AD233" s="957"/>
      <c r="AE233" s="958"/>
      <c r="AF233" s="920"/>
    </row>
    <row r="234" spans="1:32" hidden="1" outlineLevel="1" x14ac:dyDescent="0.2">
      <c r="A234" s="918">
        <v>5</v>
      </c>
      <c r="B234" s="919" t="s">
        <v>394</v>
      </c>
      <c r="C234" s="918" t="s">
        <v>299</v>
      </c>
      <c r="D234" s="918" t="s">
        <v>299</v>
      </c>
      <c r="E234" s="918" t="s">
        <v>299</v>
      </c>
      <c r="F234" s="918" t="s">
        <v>299</v>
      </c>
      <c r="G234" s="918" t="s">
        <v>1092</v>
      </c>
      <c r="H234" s="918" t="s">
        <v>1092</v>
      </c>
      <c r="I234" s="918" t="s">
        <v>1092</v>
      </c>
      <c r="J234" s="918" t="s">
        <v>1092</v>
      </c>
      <c r="K234" s="918"/>
      <c r="L234" s="918"/>
      <c r="M234" s="918"/>
      <c r="N234" s="918"/>
      <c r="O234" s="918"/>
      <c r="P234" s="918"/>
      <c r="Q234" s="918"/>
      <c r="R234" s="918"/>
      <c r="S234" s="918"/>
      <c r="T234" s="918"/>
      <c r="U234" s="918"/>
      <c r="V234" s="918"/>
      <c r="W234" s="951"/>
      <c r="X234" s="918"/>
      <c r="Y234" s="952"/>
      <c r="Z234" s="953"/>
      <c r="AA234" s="952"/>
      <c r="AB234" s="953"/>
      <c r="AC234" s="952"/>
      <c r="AD234" s="953"/>
      <c r="AE234" s="954"/>
      <c r="AF234" s="918"/>
    </row>
    <row r="235" spans="1:32" hidden="1" outlineLevel="1" x14ac:dyDescent="0.2">
      <c r="A235" s="918">
        <v>6</v>
      </c>
      <c r="B235" s="919" t="s">
        <v>2098</v>
      </c>
      <c r="C235" s="918" t="s">
        <v>299</v>
      </c>
      <c r="D235" s="918" t="s">
        <v>299</v>
      </c>
      <c r="E235" s="918" t="s">
        <v>299</v>
      </c>
      <c r="F235" s="918" t="s">
        <v>299</v>
      </c>
      <c r="G235" s="918" t="s">
        <v>1092</v>
      </c>
      <c r="H235" s="918" t="s">
        <v>1092</v>
      </c>
      <c r="I235" s="918" t="s">
        <v>1092</v>
      </c>
      <c r="J235" s="918" t="s">
        <v>1092</v>
      </c>
      <c r="K235" s="918"/>
      <c r="L235" s="918"/>
      <c r="M235" s="918"/>
      <c r="N235" s="918"/>
      <c r="O235" s="918"/>
      <c r="P235" s="918"/>
      <c r="Q235" s="918"/>
      <c r="R235" s="918"/>
      <c r="S235" s="918"/>
      <c r="T235" s="918"/>
      <c r="U235" s="918"/>
      <c r="V235" s="918"/>
      <c r="W235" s="951"/>
      <c r="X235" s="918"/>
      <c r="Y235" s="952"/>
      <c r="Z235" s="953"/>
      <c r="AA235" s="952"/>
      <c r="AB235" s="953"/>
      <c r="AC235" s="952"/>
      <c r="AD235" s="953"/>
      <c r="AE235" s="954"/>
      <c r="AF235" s="918"/>
    </row>
    <row r="236" spans="1:32" hidden="1" outlineLevel="1" x14ac:dyDescent="0.2">
      <c r="A236" s="920">
        <v>7</v>
      </c>
      <c r="B236" s="921" t="s">
        <v>237</v>
      </c>
      <c r="C236" s="920" t="s">
        <v>299</v>
      </c>
      <c r="D236" s="920" t="s">
        <v>299</v>
      </c>
      <c r="E236" s="920" t="s">
        <v>299</v>
      </c>
      <c r="F236" s="920" t="s">
        <v>299</v>
      </c>
      <c r="G236" s="920" t="s">
        <v>1092</v>
      </c>
      <c r="H236" s="920" t="s">
        <v>1092</v>
      </c>
      <c r="I236" s="920" t="s">
        <v>1092</v>
      </c>
      <c r="J236" s="920" t="s">
        <v>1092</v>
      </c>
      <c r="K236" s="920"/>
      <c r="L236" s="920"/>
      <c r="M236" s="920"/>
      <c r="N236" s="920"/>
      <c r="O236" s="920"/>
      <c r="P236" s="920"/>
      <c r="Q236" s="920"/>
      <c r="R236" s="920"/>
      <c r="S236" s="920"/>
      <c r="T236" s="920"/>
      <c r="U236" s="920"/>
      <c r="V236" s="920"/>
      <c r="W236" s="955"/>
      <c r="X236" s="920"/>
      <c r="Y236" s="956"/>
      <c r="Z236" s="957"/>
      <c r="AA236" s="956"/>
      <c r="AB236" s="957"/>
      <c r="AC236" s="956"/>
      <c r="AD236" s="957"/>
      <c r="AE236" s="958"/>
      <c r="AF236" s="920"/>
    </row>
    <row r="237" spans="1:32" s="917" customFormat="1" collapsed="1" x14ac:dyDescent="0.2">
      <c r="A237" s="915">
        <v>23</v>
      </c>
      <c r="B237" s="916" t="s">
        <v>2099</v>
      </c>
      <c r="C237" s="915" t="s">
        <v>1884</v>
      </c>
      <c r="D237" s="915" t="s">
        <v>1884</v>
      </c>
      <c r="E237" s="915" t="s">
        <v>1884</v>
      </c>
      <c r="F237" s="915" t="s">
        <v>1884</v>
      </c>
      <c r="G237" s="915" t="s">
        <v>1884</v>
      </c>
      <c r="H237" s="915" t="s">
        <v>1884</v>
      </c>
      <c r="I237" s="915" t="s">
        <v>1884</v>
      </c>
      <c r="J237" s="915" t="s">
        <v>1884</v>
      </c>
      <c r="K237" s="915"/>
      <c r="L237" s="915" t="s">
        <v>1092</v>
      </c>
      <c r="M237" s="915" t="s">
        <v>1092</v>
      </c>
      <c r="N237" s="915" t="s">
        <v>1092</v>
      </c>
      <c r="O237" s="915" t="s">
        <v>1092</v>
      </c>
      <c r="P237" s="915" t="s">
        <v>1092</v>
      </c>
      <c r="Q237" s="915" t="s">
        <v>1092</v>
      </c>
      <c r="R237" s="915" t="s">
        <v>1092</v>
      </c>
      <c r="S237" s="915" t="s">
        <v>1092</v>
      </c>
      <c r="T237" s="915" t="s">
        <v>1092</v>
      </c>
      <c r="U237" s="915" t="s">
        <v>1092</v>
      </c>
      <c r="V237" s="915" t="s">
        <v>1092</v>
      </c>
      <c r="W237" s="947" t="s">
        <v>1092</v>
      </c>
      <c r="X237" s="915"/>
      <c r="Y237" s="948"/>
      <c r="Z237" s="949"/>
      <c r="AA237" s="948"/>
      <c r="AB237" s="949"/>
      <c r="AC237" s="948"/>
      <c r="AD237" s="949"/>
      <c r="AE237" s="950"/>
      <c r="AF237" s="915"/>
    </row>
    <row r="238" spans="1:32" hidden="1" outlineLevel="1" x14ac:dyDescent="0.2">
      <c r="A238" s="918">
        <v>1</v>
      </c>
      <c r="B238" s="919" t="s">
        <v>2100</v>
      </c>
      <c r="C238" s="918" t="s">
        <v>1092</v>
      </c>
      <c r="D238" s="918" t="s">
        <v>1092</v>
      </c>
      <c r="E238" s="918" t="s">
        <v>1092</v>
      </c>
      <c r="F238" s="918" t="s">
        <v>1092</v>
      </c>
      <c r="G238" s="918" t="s">
        <v>1092</v>
      </c>
      <c r="H238" s="918" t="s">
        <v>1092</v>
      </c>
      <c r="I238" s="918" t="s">
        <v>1092</v>
      </c>
      <c r="J238" s="918" t="s">
        <v>1092</v>
      </c>
      <c r="K238" s="918" t="s">
        <v>2095</v>
      </c>
      <c r="L238" s="918"/>
      <c r="M238" s="918"/>
      <c r="N238" s="918"/>
      <c r="O238" s="918"/>
      <c r="P238" s="918"/>
      <c r="Q238" s="918"/>
      <c r="R238" s="918"/>
      <c r="S238" s="918"/>
      <c r="T238" s="918"/>
      <c r="U238" s="918"/>
      <c r="V238" s="918"/>
      <c r="W238" s="951"/>
      <c r="X238" s="918"/>
      <c r="Y238" s="952"/>
      <c r="Z238" s="953"/>
      <c r="AA238" s="952"/>
      <c r="AB238" s="953"/>
      <c r="AC238" s="952"/>
      <c r="AD238" s="953"/>
      <c r="AE238" s="954"/>
      <c r="AF238" s="918"/>
    </row>
    <row r="239" spans="1:32" hidden="1" outlineLevel="1" x14ac:dyDescent="0.2">
      <c r="A239" s="920">
        <v>2</v>
      </c>
      <c r="B239" s="921" t="s">
        <v>2101</v>
      </c>
      <c r="C239" s="920" t="s">
        <v>299</v>
      </c>
      <c r="D239" s="920" t="s">
        <v>299</v>
      </c>
      <c r="E239" s="920" t="s">
        <v>299</v>
      </c>
      <c r="F239" s="920" t="s">
        <v>299</v>
      </c>
      <c r="G239" s="920" t="s">
        <v>299</v>
      </c>
      <c r="H239" s="920" t="s">
        <v>299</v>
      </c>
      <c r="I239" s="920" t="s">
        <v>299</v>
      </c>
      <c r="J239" s="920" t="s">
        <v>299</v>
      </c>
      <c r="K239" s="920" t="s">
        <v>2095</v>
      </c>
      <c r="L239" s="920"/>
      <c r="M239" s="920"/>
      <c r="N239" s="920"/>
      <c r="O239" s="920"/>
      <c r="P239" s="920"/>
      <c r="Q239" s="920"/>
      <c r="R239" s="920"/>
      <c r="S239" s="920"/>
      <c r="T239" s="920"/>
      <c r="U239" s="920"/>
      <c r="V239" s="920"/>
      <c r="W239" s="955"/>
      <c r="X239" s="920"/>
      <c r="Y239" s="956"/>
      <c r="Z239" s="957"/>
      <c r="AA239" s="956"/>
      <c r="AB239" s="957"/>
      <c r="AC239" s="956"/>
      <c r="AD239" s="957"/>
      <c r="AE239" s="958"/>
      <c r="AF239" s="920"/>
    </row>
    <row r="240" spans="1:32" hidden="1" outlineLevel="1" x14ac:dyDescent="0.2">
      <c r="A240" s="918">
        <v>3</v>
      </c>
      <c r="B240" s="919" t="s">
        <v>2102</v>
      </c>
      <c r="C240" s="918" t="s">
        <v>1884</v>
      </c>
      <c r="D240" s="918" t="s">
        <v>1884</v>
      </c>
      <c r="E240" s="918" t="s">
        <v>1884</v>
      </c>
      <c r="F240" s="918" t="s">
        <v>1884</v>
      </c>
      <c r="G240" s="918" t="s">
        <v>1884</v>
      </c>
      <c r="H240" s="918" t="s">
        <v>1884</v>
      </c>
      <c r="I240" s="918" t="s">
        <v>1884</v>
      </c>
      <c r="J240" s="918" t="s">
        <v>1884</v>
      </c>
      <c r="K240" s="918" t="s">
        <v>2095</v>
      </c>
      <c r="L240" s="918"/>
      <c r="M240" s="918"/>
      <c r="N240" s="918"/>
      <c r="O240" s="918"/>
      <c r="P240" s="918"/>
      <c r="Q240" s="918"/>
      <c r="R240" s="918"/>
      <c r="S240" s="918"/>
      <c r="T240" s="918"/>
      <c r="U240" s="918"/>
      <c r="V240" s="918"/>
      <c r="W240" s="951"/>
      <c r="X240" s="918"/>
      <c r="Y240" s="952"/>
      <c r="Z240" s="953"/>
      <c r="AA240" s="952"/>
      <c r="AB240" s="953"/>
      <c r="AC240" s="952"/>
      <c r="AD240" s="953"/>
      <c r="AE240" s="954"/>
      <c r="AF240" s="918"/>
    </row>
    <row r="241" spans="1:33" s="917" customFormat="1" collapsed="1" x14ac:dyDescent="0.2">
      <c r="A241" s="915">
        <v>24</v>
      </c>
      <c r="B241" s="916" t="s">
        <v>2103</v>
      </c>
      <c r="C241" s="915" t="s">
        <v>299</v>
      </c>
      <c r="D241" s="915" t="s">
        <v>299</v>
      </c>
      <c r="E241" s="915" t="s">
        <v>299</v>
      </c>
      <c r="F241" s="915" t="s">
        <v>299</v>
      </c>
      <c r="G241" s="915" t="s">
        <v>1092</v>
      </c>
      <c r="H241" s="915" t="s">
        <v>1092</v>
      </c>
      <c r="I241" s="915" t="s">
        <v>1092</v>
      </c>
      <c r="J241" s="915" t="s">
        <v>1092</v>
      </c>
      <c r="K241" s="915"/>
      <c r="L241" s="915" t="s">
        <v>1092</v>
      </c>
      <c r="M241" s="915" t="s">
        <v>1092</v>
      </c>
      <c r="N241" s="915" t="s">
        <v>1092</v>
      </c>
      <c r="O241" s="915" t="s">
        <v>1092</v>
      </c>
      <c r="P241" s="915" t="s">
        <v>1092</v>
      </c>
      <c r="Q241" s="915" t="s">
        <v>1092</v>
      </c>
      <c r="R241" s="915" t="s">
        <v>1092</v>
      </c>
      <c r="S241" s="915" t="s">
        <v>1092</v>
      </c>
      <c r="T241" s="915" t="s">
        <v>1092</v>
      </c>
      <c r="U241" s="915" t="s">
        <v>1092</v>
      </c>
      <c r="V241" s="915" t="s">
        <v>1092</v>
      </c>
      <c r="W241" s="947" t="s">
        <v>1092</v>
      </c>
      <c r="X241" s="915"/>
      <c r="Y241" s="948"/>
      <c r="Z241" s="949"/>
      <c r="AA241" s="948"/>
      <c r="AB241" s="949"/>
      <c r="AC241" s="948"/>
      <c r="AD241" s="949"/>
      <c r="AE241" s="950"/>
      <c r="AF241" s="915"/>
    </row>
    <row r="242" spans="1:33" hidden="1" outlineLevel="1" x14ac:dyDescent="0.2">
      <c r="A242" s="918">
        <v>1</v>
      </c>
      <c r="B242" s="919" t="s">
        <v>2104</v>
      </c>
      <c r="C242" s="918" t="s">
        <v>299</v>
      </c>
      <c r="D242" s="918" t="s">
        <v>299</v>
      </c>
      <c r="E242" s="918" t="s">
        <v>299</v>
      </c>
      <c r="F242" s="918" t="s">
        <v>299</v>
      </c>
      <c r="G242" s="918" t="s">
        <v>1092</v>
      </c>
      <c r="H242" s="918" t="s">
        <v>1092</v>
      </c>
      <c r="I242" s="918" t="s">
        <v>1092</v>
      </c>
      <c r="J242" s="918" t="s">
        <v>1092</v>
      </c>
      <c r="K242" s="918"/>
      <c r="L242" s="918"/>
      <c r="M242" s="918"/>
      <c r="N242" s="918"/>
      <c r="O242" s="918"/>
      <c r="P242" s="918"/>
      <c r="Q242" s="918"/>
      <c r="R242" s="918"/>
      <c r="S242" s="918"/>
      <c r="T242" s="918"/>
      <c r="U242" s="918"/>
      <c r="V242" s="918"/>
      <c r="W242" s="951"/>
      <c r="X242" s="918"/>
      <c r="Y242" s="952"/>
      <c r="Z242" s="953"/>
      <c r="AA242" s="952"/>
      <c r="AB242" s="953"/>
      <c r="AC242" s="952"/>
      <c r="AD242" s="953"/>
      <c r="AE242" s="954"/>
      <c r="AF242" s="918"/>
    </row>
    <row r="243" spans="1:33" hidden="1" outlineLevel="1" x14ac:dyDescent="0.2">
      <c r="A243" s="920">
        <v>2</v>
      </c>
      <c r="B243" s="921" t="s">
        <v>2105</v>
      </c>
      <c r="C243" s="920" t="s">
        <v>299</v>
      </c>
      <c r="D243" s="920" t="s">
        <v>299</v>
      </c>
      <c r="E243" s="920" t="s">
        <v>299</v>
      </c>
      <c r="F243" s="920" t="s">
        <v>299</v>
      </c>
      <c r="G243" s="920" t="s">
        <v>1092</v>
      </c>
      <c r="H243" s="920" t="s">
        <v>1092</v>
      </c>
      <c r="I243" s="920" t="s">
        <v>1092</v>
      </c>
      <c r="J243" s="920" t="s">
        <v>1092</v>
      </c>
      <c r="K243" s="920"/>
      <c r="L243" s="920"/>
      <c r="M243" s="920"/>
      <c r="N243" s="920"/>
      <c r="O243" s="920"/>
      <c r="P243" s="920"/>
      <c r="Q243" s="920"/>
      <c r="R243" s="920"/>
      <c r="S243" s="920"/>
      <c r="T243" s="920"/>
      <c r="U243" s="920"/>
      <c r="V243" s="920"/>
      <c r="W243" s="955"/>
      <c r="X243" s="920"/>
      <c r="Y243" s="956"/>
      <c r="Z243" s="957"/>
      <c r="AA243" s="956"/>
      <c r="AB243" s="957"/>
      <c r="AC243" s="956"/>
      <c r="AD243" s="957"/>
      <c r="AE243" s="958"/>
      <c r="AF243" s="920"/>
    </row>
    <row r="244" spans="1:33" hidden="1" outlineLevel="1" x14ac:dyDescent="0.2">
      <c r="A244" s="918">
        <v>3</v>
      </c>
      <c r="B244" s="919" t="s">
        <v>2106</v>
      </c>
      <c r="C244" s="918" t="s">
        <v>299</v>
      </c>
      <c r="D244" s="918" t="s">
        <v>299</v>
      </c>
      <c r="E244" s="918" t="s">
        <v>299</v>
      </c>
      <c r="F244" s="918" t="s">
        <v>299</v>
      </c>
      <c r="G244" s="918" t="s">
        <v>1092</v>
      </c>
      <c r="H244" s="918" t="s">
        <v>1092</v>
      </c>
      <c r="I244" s="918" t="s">
        <v>1092</v>
      </c>
      <c r="J244" s="918" t="s">
        <v>1092</v>
      </c>
      <c r="K244" s="918"/>
      <c r="L244" s="918"/>
      <c r="M244" s="918"/>
      <c r="N244" s="918"/>
      <c r="O244" s="918"/>
      <c r="P244" s="918"/>
      <c r="Q244" s="918"/>
      <c r="R244" s="918"/>
      <c r="S244" s="918"/>
      <c r="T244" s="918"/>
      <c r="U244" s="918"/>
      <c r="V244" s="918"/>
      <c r="W244" s="951"/>
      <c r="X244" s="918"/>
      <c r="Y244" s="952"/>
      <c r="Z244" s="953"/>
      <c r="AA244" s="952"/>
      <c r="AB244" s="953"/>
      <c r="AC244" s="952"/>
      <c r="AD244" s="953"/>
      <c r="AE244" s="954"/>
      <c r="AF244" s="918"/>
    </row>
    <row r="245" spans="1:33" hidden="1" outlineLevel="1" x14ac:dyDescent="0.2">
      <c r="A245" s="918">
        <v>4</v>
      </c>
      <c r="B245" s="919" t="s">
        <v>2107</v>
      </c>
      <c r="C245" s="918" t="s">
        <v>299</v>
      </c>
      <c r="D245" s="918" t="s">
        <v>299</v>
      </c>
      <c r="E245" s="918" t="s">
        <v>299</v>
      </c>
      <c r="F245" s="918" t="s">
        <v>299</v>
      </c>
      <c r="G245" s="918" t="s">
        <v>1092</v>
      </c>
      <c r="H245" s="918" t="s">
        <v>1092</v>
      </c>
      <c r="I245" s="918" t="s">
        <v>1092</v>
      </c>
      <c r="J245" s="918" t="s">
        <v>1092</v>
      </c>
      <c r="K245" s="918"/>
      <c r="L245" s="918"/>
      <c r="M245" s="918"/>
      <c r="N245" s="918"/>
      <c r="O245" s="918"/>
      <c r="P245" s="918"/>
      <c r="Q245" s="918"/>
      <c r="R245" s="918"/>
      <c r="S245" s="918"/>
      <c r="T245" s="918"/>
      <c r="U245" s="918"/>
      <c r="V245" s="918"/>
      <c r="W245" s="951"/>
      <c r="X245" s="918"/>
      <c r="Y245" s="952"/>
      <c r="Z245" s="953"/>
      <c r="AA245" s="952"/>
      <c r="AB245" s="953"/>
      <c r="AC245" s="952"/>
      <c r="AD245" s="953"/>
      <c r="AE245" s="954"/>
      <c r="AF245" s="918"/>
    </row>
    <row r="246" spans="1:33" hidden="1" outlineLevel="1" x14ac:dyDescent="0.2">
      <c r="A246" s="920">
        <v>5</v>
      </c>
      <c r="B246" s="921" t="s">
        <v>2108</v>
      </c>
      <c r="C246" s="920" t="s">
        <v>299</v>
      </c>
      <c r="D246" s="920" t="s">
        <v>299</v>
      </c>
      <c r="E246" s="920" t="s">
        <v>299</v>
      </c>
      <c r="F246" s="920" t="s">
        <v>299</v>
      </c>
      <c r="G246" s="920" t="s">
        <v>1092</v>
      </c>
      <c r="H246" s="920" t="s">
        <v>1092</v>
      </c>
      <c r="I246" s="920" t="s">
        <v>1092</v>
      </c>
      <c r="J246" s="920" t="s">
        <v>1092</v>
      </c>
      <c r="K246" s="920"/>
      <c r="L246" s="920"/>
      <c r="M246" s="920"/>
      <c r="N246" s="920"/>
      <c r="O246" s="920"/>
      <c r="P246" s="920"/>
      <c r="Q246" s="920"/>
      <c r="R246" s="920"/>
      <c r="S246" s="920"/>
      <c r="T246" s="920"/>
      <c r="U246" s="920"/>
      <c r="V246" s="920"/>
      <c r="W246" s="955"/>
      <c r="X246" s="920"/>
      <c r="Y246" s="956"/>
      <c r="Z246" s="957"/>
      <c r="AA246" s="956"/>
      <c r="AB246" s="957"/>
      <c r="AC246" s="956"/>
      <c r="AD246" s="957"/>
      <c r="AE246" s="958"/>
      <c r="AF246" s="920"/>
    </row>
    <row r="247" spans="1:33" s="917" customFormat="1" collapsed="1" x14ac:dyDescent="0.2">
      <c r="A247" s="915">
        <v>25</v>
      </c>
      <c r="B247" s="916" t="s">
        <v>2211</v>
      </c>
      <c r="C247" s="915" t="s">
        <v>299</v>
      </c>
      <c r="D247" s="915" t="s">
        <v>299</v>
      </c>
      <c r="E247" s="915" t="s">
        <v>299</v>
      </c>
      <c r="F247" s="915" t="s">
        <v>299</v>
      </c>
      <c r="G247" s="915" t="s">
        <v>299</v>
      </c>
      <c r="H247" s="915" t="s">
        <v>299</v>
      </c>
      <c r="I247" s="915" t="s">
        <v>299</v>
      </c>
      <c r="J247" s="915" t="s">
        <v>1092</v>
      </c>
      <c r="K247" s="915"/>
      <c r="L247" s="915" t="s">
        <v>299</v>
      </c>
      <c r="M247" s="915" t="s">
        <v>1092</v>
      </c>
      <c r="N247" s="915" t="s">
        <v>1092</v>
      </c>
      <c r="O247" s="915" t="s">
        <v>1092</v>
      </c>
      <c r="P247" s="915" t="s">
        <v>1092</v>
      </c>
      <c r="Q247" s="915" t="s">
        <v>1092</v>
      </c>
      <c r="R247" s="915" t="s">
        <v>1092</v>
      </c>
      <c r="S247" s="947" t="s">
        <v>1884</v>
      </c>
      <c r="T247" s="915" t="s">
        <v>299</v>
      </c>
      <c r="U247" s="947" t="s">
        <v>1092</v>
      </c>
      <c r="V247" s="915" t="s">
        <v>1092</v>
      </c>
      <c r="W247" s="947" t="s">
        <v>1092</v>
      </c>
      <c r="X247" s="915" t="s">
        <v>1092</v>
      </c>
      <c r="Y247" s="948"/>
      <c r="Z247" s="949"/>
      <c r="AA247" s="948"/>
      <c r="AB247" s="949"/>
      <c r="AC247" s="948"/>
      <c r="AD247" s="949"/>
      <c r="AE247" s="950"/>
      <c r="AF247" s="915"/>
      <c r="AG247" s="912"/>
    </row>
    <row r="248" spans="1:33" hidden="1" outlineLevel="1" x14ac:dyDescent="0.2">
      <c r="A248" s="918">
        <v>1</v>
      </c>
      <c r="B248" s="919" t="s">
        <v>2212</v>
      </c>
      <c r="C248" s="918" t="s">
        <v>299</v>
      </c>
      <c r="D248" s="918" t="s">
        <v>299</v>
      </c>
      <c r="E248" s="918" t="s">
        <v>299</v>
      </c>
      <c r="F248" s="918" t="s">
        <v>299</v>
      </c>
      <c r="G248" s="918" t="s">
        <v>299</v>
      </c>
      <c r="H248" s="918" t="s">
        <v>299</v>
      </c>
      <c r="I248" s="918" t="s">
        <v>299</v>
      </c>
      <c r="J248" s="918" t="s">
        <v>1092</v>
      </c>
      <c r="K248" s="918"/>
      <c r="L248" s="918"/>
      <c r="M248" s="918"/>
      <c r="N248" s="918"/>
      <c r="O248" s="918"/>
      <c r="P248" s="918"/>
      <c r="Q248" s="918"/>
      <c r="R248" s="918"/>
      <c r="S248" s="918"/>
      <c r="T248" s="918"/>
      <c r="U248" s="918"/>
      <c r="V248" s="918"/>
      <c r="W248" s="951"/>
      <c r="X248" s="918"/>
      <c r="Y248" s="952"/>
      <c r="Z248" s="953"/>
      <c r="AA248" s="952"/>
      <c r="AB248" s="953"/>
      <c r="AC248" s="952"/>
      <c r="AD248" s="953"/>
      <c r="AE248" s="954"/>
      <c r="AF248" s="918"/>
    </row>
    <row r="249" spans="1:33" ht="24" hidden="1" outlineLevel="1" x14ac:dyDescent="0.2">
      <c r="A249" s="920">
        <v>2</v>
      </c>
      <c r="B249" s="921" t="s">
        <v>2213</v>
      </c>
      <c r="C249" s="920" t="s">
        <v>299</v>
      </c>
      <c r="D249" s="920" t="s">
        <v>299</v>
      </c>
      <c r="E249" s="920" t="s">
        <v>299</v>
      </c>
      <c r="F249" s="920" t="s">
        <v>299</v>
      </c>
      <c r="G249" s="920" t="s">
        <v>299</v>
      </c>
      <c r="H249" s="920" t="s">
        <v>299</v>
      </c>
      <c r="I249" s="920" t="s">
        <v>299</v>
      </c>
      <c r="J249" s="920" t="s">
        <v>1092</v>
      </c>
      <c r="K249" s="920"/>
      <c r="L249" s="921"/>
      <c r="M249" s="921"/>
      <c r="N249" s="921"/>
      <c r="O249" s="921"/>
      <c r="P249" s="921"/>
      <c r="Q249" s="921"/>
      <c r="R249" s="921"/>
      <c r="S249" s="921"/>
      <c r="T249" s="921"/>
      <c r="U249" s="921"/>
      <c r="V249" s="921"/>
      <c r="W249" s="972"/>
      <c r="X249" s="921"/>
      <c r="Y249" s="973"/>
      <c r="Z249" s="974"/>
      <c r="AA249" s="973"/>
      <c r="AB249" s="974"/>
      <c r="AC249" s="973"/>
      <c r="AD249" s="974"/>
      <c r="AE249" s="975"/>
      <c r="AF249" s="921"/>
    </row>
    <row r="250" spans="1:33" hidden="1" outlineLevel="1" x14ac:dyDescent="0.2">
      <c r="A250" s="918">
        <v>3</v>
      </c>
      <c r="B250" s="919" t="s">
        <v>2214</v>
      </c>
      <c r="C250" s="918" t="s">
        <v>299</v>
      </c>
      <c r="D250" s="918" t="s">
        <v>299</v>
      </c>
      <c r="E250" s="918" t="s">
        <v>299</v>
      </c>
      <c r="F250" s="918" t="s">
        <v>299</v>
      </c>
      <c r="G250" s="918" t="s">
        <v>299</v>
      </c>
      <c r="H250" s="918" t="s">
        <v>299</v>
      </c>
      <c r="I250" s="918" t="s">
        <v>299</v>
      </c>
      <c r="J250" s="918" t="s">
        <v>1092</v>
      </c>
      <c r="K250" s="918"/>
      <c r="L250" s="918"/>
      <c r="M250" s="918"/>
      <c r="N250" s="918"/>
      <c r="O250" s="918"/>
      <c r="P250" s="918"/>
      <c r="Q250" s="918"/>
      <c r="R250" s="918"/>
      <c r="S250" s="918"/>
      <c r="T250" s="918"/>
      <c r="U250" s="918"/>
      <c r="V250" s="918"/>
      <c r="W250" s="951"/>
      <c r="X250" s="918"/>
      <c r="Y250" s="952"/>
      <c r="Z250" s="953"/>
      <c r="AA250" s="952"/>
      <c r="AB250" s="953"/>
      <c r="AC250" s="952"/>
      <c r="AD250" s="953"/>
      <c r="AE250" s="954"/>
      <c r="AF250" s="918"/>
    </row>
    <row r="251" spans="1:33" hidden="1" outlineLevel="1" x14ac:dyDescent="0.2">
      <c r="A251" s="920">
        <v>4</v>
      </c>
      <c r="B251" s="921" t="s">
        <v>2215</v>
      </c>
      <c r="C251" s="920" t="s">
        <v>299</v>
      </c>
      <c r="D251" s="920" t="s">
        <v>299</v>
      </c>
      <c r="E251" s="920" t="s">
        <v>299</v>
      </c>
      <c r="F251" s="920" t="s">
        <v>299</v>
      </c>
      <c r="G251" s="920" t="s">
        <v>299</v>
      </c>
      <c r="H251" s="920" t="s">
        <v>299</v>
      </c>
      <c r="I251" s="920" t="s">
        <v>299</v>
      </c>
      <c r="J251" s="920" t="s">
        <v>1092</v>
      </c>
      <c r="K251" s="920"/>
      <c r="L251" s="921"/>
      <c r="M251" s="921"/>
      <c r="N251" s="921"/>
      <c r="O251" s="921"/>
      <c r="P251" s="921"/>
      <c r="Q251" s="921"/>
      <c r="R251" s="921"/>
      <c r="S251" s="921"/>
      <c r="T251" s="921"/>
      <c r="U251" s="921"/>
      <c r="V251" s="921"/>
      <c r="W251" s="972"/>
      <c r="X251" s="921"/>
      <c r="Y251" s="973"/>
      <c r="Z251" s="974"/>
      <c r="AA251" s="973"/>
      <c r="AB251" s="974"/>
      <c r="AC251" s="973"/>
      <c r="AD251" s="974"/>
      <c r="AE251" s="975"/>
      <c r="AF251" s="921"/>
    </row>
    <row r="252" spans="1:33" hidden="1" outlineLevel="1" x14ac:dyDescent="0.2">
      <c r="A252" s="918">
        <v>5</v>
      </c>
      <c r="B252" s="919" t="s">
        <v>2216</v>
      </c>
      <c r="C252" s="918" t="s">
        <v>299</v>
      </c>
      <c r="D252" s="918" t="s">
        <v>299</v>
      </c>
      <c r="E252" s="918" t="s">
        <v>299</v>
      </c>
      <c r="F252" s="918" t="s">
        <v>299</v>
      </c>
      <c r="G252" s="918" t="s">
        <v>299</v>
      </c>
      <c r="H252" s="918" t="s">
        <v>299</v>
      </c>
      <c r="I252" s="918" t="s">
        <v>299</v>
      </c>
      <c r="J252" s="918" t="s">
        <v>1092</v>
      </c>
      <c r="K252" s="918"/>
      <c r="L252" s="918"/>
      <c r="M252" s="918"/>
      <c r="N252" s="918"/>
      <c r="O252" s="918"/>
      <c r="P252" s="918"/>
      <c r="Q252" s="918"/>
      <c r="R252" s="918"/>
      <c r="S252" s="918"/>
      <c r="T252" s="918"/>
      <c r="U252" s="918"/>
      <c r="V252" s="918"/>
      <c r="W252" s="951"/>
      <c r="X252" s="918"/>
      <c r="Y252" s="952"/>
      <c r="Z252" s="953"/>
      <c r="AA252" s="952"/>
      <c r="AB252" s="953"/>
      <c r="AC252" s="952"/>
      <c r="AD252" s="953"/>
      <c r="AE252" s="954"/>
      <c r="AF252" s="918"/>
    </row>
    <row r="253" spans="1:33" hidden="1" outlineLevel="1" x14ac:dyDescent="0.2">
      <c r="A253" s="920">
        <v>6</v>
      </c>
      <c r="B253" s="921" t="s">
        <v>2217</v>
      </c>
      <c r="C253" s="920" t="s">
        <v>299</v>
      </c>
      <c r="D253" s="920" t="s">
        <v>299</v>
      </c>
      <c r="E253" s="920" t="s">
        <v>299</v>
      </c>
      <c r="F253" s="920" t="s">
        <v>299</v>
      </c>
      <c r="G253" s="920" t="s">
        <v>299</v>
      </c>
      <c r="H253" s="920" t="s">
        <v>299</v>
      </c>
      <c r="I253" s="920" t="s">
        <v>299</v>
      </c>
      <c r="J253" s="920" t="s">
        <v>1092</v>
      </c>
      <c r="K253" s="920"/>
      <c r="L253" s="921"/>
      <c r="M253" s="921"/>
      <c r="N253" s="921"/>
      <c r="O253" s="921"/>
      <c r="P253" s="921"/>
      <c r="Q253" s="921"/>
      <c r="R253" s="921"/>
      <c r="S253" s="921"/>
      <c r="T253" s="921"/>
      <c r="U253" s="921"/>
      <c r="V253" s="921"/>
      <c r="W253" s="972"/>
      <c r="X253" s="921"/>
      <c r="Y253" s="973"/>
      <c r="Z253" s="974"/>
      <c r="AA253" s="973"/>
      <c r="AB253" s="974"/>
      <c r="AC253" s="973"/>
      <c r="AD253" s="974"/>
      <c r="AE253" s="975"/>
      <c r="AF253" s="921"/>
    </row>
    <row r="254" spans="1:33" hidden="1" outlineLevel="1" x14ac:dyDescent="0.2">
      <c r="A254" s="918">
        <v>7</v>
      </c>
      <c r="B254" s="919" t="s">
        <v>2218</v>
      </c>
      <c r="C254" s="918" t="s">
        <v>299</v>
      </c>
      <c r="D254" s="918" t="s">
        <v>299</v>
      </c>
      <c r="E254" s="918" t="s">
        <v>299</v>
      </c>
      <c r="F254" s="918" t="s">
        <v>299</v>
      </c>
      <c r="G254" s="918" t="s">
        <v>299</v>
      </c>
      <c r="H254" s="918" t="s">
        <v>299</v>
      </c>
      <c r="I254" s="918" t="s">
        <v>299</v>
      </c>
      <c r="J254" s="918" t="s">
        <v>1092</v>
      </c>
      <c r="K254" s="918"/>
      <c r="L254" s="918"/>
      <c r="M254" s="918"/>
      <c r="N254" s="918"/>
      <c r="O254" s="918"/>
      <c r="P254" s="918"/>
      <c r="Q254" s="918"/>
      <c r="R254" s="918"/>
      <c r="S254" s="918"/>
      <c r="T254" s="918"/>
      <c r="U254" s="918"/>
      <c r="V254" s="918"/>
      <c r="W254" s="951"/>
      <c r="X254" s="918"/>
      <c r="Y254" s="952"/>
      <c r="Z254" s="953"/>
      <c r="AA254" s="952"/>
      <c r="AB254" s="953"/>
      <c r="AC254" s="952"/>
      <c r="AD254" s="953"/>
      <c r="AE254" s="954"/>
      <c r="AF254" s="918"/>
    </row>
    <row r="255" spans="1:33" ht="24" hidden="1" outlineLevel="1" x14ac:dyDescent="0.2">
      <c r="A255" s="920">
        <v>8</v>
      </c>
      <c r="B255" s="921" t="s">
        <v>2219</v>
      </c>
      <c r="C255" s="920" t="s">
        <v>299</v>
      </c>
      <c r="D255" s="920" t="s">
        <v>299</v>
      </c>
      <c r="E255" s="920" t="s">
        <v>299</v>
      </c>
      <c r="F255" s="920" t="s">
        <v>299</v>
      </c>
      <c r="G255" s="920" t="s">
        <v>299</v>
      </c>
      <c r="H255" s="920" t="s">
        <v>299</v>
      </c>
      <c r="I255" s="920" t="s">
        <v>299</v>
      </c>
      <c r="J255" s="920" t="s">
        <v>1092</v>
      </c>
      <c r="K255" s="920"/>
      <c r="L255" s="921"/>
      <c r="M255" s="921"/>
      <c r="N255" s="921"/>
      <c r="O255" s="921"/>
      <c r="P255" s="921"/>
      <c r="Q255" s="921"/>
      <c r="R255" s="921"/>
      <c r="S255" s="921"/>
      <c r="T255" s="921"/>
      <c r="U255" s="921"/>
      <c r="V255" s="921"/>
      <c r="W255" s="972"/>
      <c r="X255" s="921"/>
      <c r="Y255" s="973"/>
      <c r="Z255" s="974"/>
      <c r="AA255" s="973"/>
      <c r="AB255" s="974"/>
      <c r="AC255" s="973"/>
      <c r="AD255" s="974"/>
      <c r="AE255" s="975"/>
      <c r="AF255" s="921"/>
    </row>
    <row r="256" spans="1:33" hidden="1" outlineLevel="1" x14ac:dyDescent="0.2">
      <c r="A256" s="918">
        <v>9</v>
      </c>
      <c r="B256" s="919" t="s">
        <v>2220</v>
      </c>
      <c r="C256" s="918" t="s">
        <v>299</v>
      </c>
      <c r="D256" s="918" t="s">
        <v>299</v>
      </c>
      <c r="E256" s="918" t="s">
        <v>299</v>
      </c>
      <c r="F256" s="918" t="s">
        <v>299</v>
      </c>
      <c r="G256" s="918" t="s">
        <v>299</v>
      </c>
      <c r="H256" s="918" t="s">
        <v>299</v>
      </c>
      <c r="I256" s="918" t="s">
        <v>299</v>
      </c>
      <c r="J256" s="918" t="s">
        <v>1092</v>
      </c>
      <c r="K256" s="918"/>
      <c r="L256" s="918"/>
      <c r="M256" s="918"/>
      <c r="N256" s="918"/>
      <c r="O256" s="918"/>
      <c r="P256" s="918"/>
      <c r="Q256" s="918"/>
      <c r="R256" s="918"/>
      <c r="S256" s="918"/>
      <c r="T256" s="918"/>
      <c r="U256" s="918"/>
      <c r="V256" s="918"/>
      <c r="W256" s="951"/>
      <c r="X256" s="918"/>
      <c r="Y256" s="952"/>
      <c r="Z256" s="953"/>
      <c r="AA256" s="952"/>
      <c r="AB256" s="953"/>
      <c r="AC256" s="952"/>
      <c r="AD256" s="953"/>
      <c r="AE256" s="954"/>
      <c r="AF256" s="918"/>
    </row>
    <row r="257" spans="1:32" hidden="1" outlineLevel="1" x14ac:dyDescent="0.2">
      <c r="A257" s="920">
        <v>10</v>
      </c>
      <c r="B257" s="921" t="s">
        <v>2221</v>
      </c>
      <c r="C257" s="920" t="s">
        <v>299</v>
      </c>
      <c r="D257" s="920" t="s">
        <v>299</v>
      </c>
      <c r="E257" s="920" t="s">
        <v>299</v>
      </c>
      <c r="F257" s="920" t="s">
        <v>299</v>
      </c>
      <c r="G257" s="920" t="s">
        <v>299</v>
      </c>
      <c r="H257" s="920" t="s">
        <v>299</v>
      </c>
      <c r="I257" s="920" t="s">
        <v>299</v>
      </c>
      <c r="J257" s="920" t="s">
        <v>1092</v>
      </c>
      <c r="K257" s="920"/>
      <c r="L257" s="921"/>
      <c r="M257" s="921"/>
      <c r="N257" s="921"/>
      <c r="O257" s="921"/>
      <c r="P257" s="921"/>
      <c r="Q257" s="921"/>
      <c r="R257" s="921"/>
      <c r="S257" s="921"/>
      <c r="T257" s="921"/>
      <c r="U257" s="921"/>
      <c r="V257" s="921"/>
      <c r="W257" s="972"/>
      <c r="X257" s="921"/>
      <c r="Y257" s="973"/>
      <c r="Z257" s="974"/>
      <c r="AA257" s="973"/>
      <c r="AB257" s="974"/>
      <c r="AC257" s="973"/>
      <c r="AD257" s="974"/>
      <c r="AE257" s="975"/>
      <c r="AF257" s="921"/>
    </row>
    <row r="258" spans="1:32" hidden="1" outlineLevel="1" x14ac:dyDescent="0.2">
      <c r="A258" s="918">
        <v>11</v>
      </c>
      <c r="B258" s="919" t="s">
        <v>2222</v>
      </c>
      <c r="C258" s="918" t="s">
        <v>299</v>
      </c>
      <c r="D258" s="918" t="s">
        <v>299</v>
      </c>
      <c r="E258" s="918" t="s">
        <v>299</v>
      </c>
      <c r="F258" s="918" t="s">
        <v>299</v>
      </c>
      <c r="G258" s="918" t="s">
        <v>299</v>
      </c>
      <c r="H258" s="918" t="s">
        <v>299</v>
      </c>
      <c r="I258" s="918" t="s">
        <v>299</v>
      </c>
      <c r="J258" s="918" t="s">
        <v>1092</v>
      </c>
      <c r="K258" s="918"/>
      <c r="L258" s="918"/>
      <c r="M258" s="918"/>
      <c r="N258" s="918"/>
      <c r="O258" s="918"/>
      <c r="P258" s="918"/>
      <c r="Q258" s="918"/>
      <c r="R258" s="918"/>
      <c r="S258" s="918"/>
      <c r="T258" s="918"/>
      <c r="U258" s="918"/>
      <c r="V258" s="918"/>
      <c r="W258" s="951"/>
      <c r="X258" s="918"/>
      <c r="Y258" s="952"/>
      <c r="Z258" s="953"/>
      <c r="AA258" s="952"/>
      <c r="AB258" s="953"/>
      <c r="AC258" s="952"/>
      <c r="AD258" s="953"/>
      <c r="AE258" s="954"/>
      <c r="AF258" s="918"/>
    </row>
    <row r="259" spans="1:32" ht="24" hidden="1" outlineLevel="1" x14ac:dyDescent="0.2">
      <c r="A259" s="920">
        <v>12</v>
      </c>
      <c r="B259" s="921" t="s">
        <v>2223</v>
      </c>
      <c r="C259" s="920" t="s">
        <v>299</v>
      </c>
      <c r="D259" s="920" t="s">
        <v>299</v>
      </c>
      <c r="E259" s="920" t="s">
        <v>299</v>
      </c>
      <c r="F259" s="920" t="s">
        <v>299</v>
      </c>
      <c r="G259" s="920" t="s">
        <v>299</v>
      </c>
      <c r="H259" s="920" t="s">
        <v>299</v>
      </c>
      <c r="I259" s="920" t="s">
        <v>299</v>
      </c>
      <c r="J259" s="920" t="s">
        <v>1092</v>
      </c>
      <c r="K259" s="920" t="s">
        <v>2082</v>
      </c>
      <c r="L259" s="921"/>
      <c r="M259" s="921"/>
      <c r="N259" s="921"/>
      <c r="O259" s="921"/>
      <c r="P259" s="921"/>
      <c r="Q259" s="921"/>
      <c r="R259" s="921"/>
      <c r="S259" s="921"/>
      <c r="T259" s="921"/>
      <c r="U259" s="921"/>
      <c r="V259" s="921"/>
      <c r="W259" s="972"/>
      <c r="X259" s="921"/>
      <c r="Y259" s="973"/>
      <c r="Z259" s="974"/>
      <c r="AA259" s="973"/>
      <c r="AB259" s="974"/>
      <c r="AC259" s="973"/>
      <c r="AD259" s="974"/>
      <c r="AE259" s="975"/>
      <c r="AF259" s="921"/>
    </row>
    <row r="260" spans="1:32" ht="24" hidden="1" outlineLevel="1" x14ac:dyDescent="0.2">
      <c r="A260" s="918">
        <v>13</v>
      </c>
      <c r="B260" s="919" t="s">
        <v>2224</v>
      </c>
      <c r="C260" s="918" t="s">
        <v>299</v>
      </c>
      <c r="D260" s="918" t="s">
        <v>299</v>
      </c>
      <c r="E260" s="918" t="s">
        <v>299</v>
      </c>
      <c r="F260" s="918" t="s">
        <v>299</v>
      </c>
      <c r="G260" s="918" t="s">
        <v>299</v>
      </c>
      <c r="H260" s="918" t="s">
        <v>299</v>
      </c>
      <c r="I260" s="918" t="s">
        <v>299</v>
      </c>
      <c r="J260" s="918" t="s">
        <v>1092</v>
      </c>
      <c r="K260" s="918" t="s">
        <v>2082</v>
      </c>
      <c r="L260" s="918"/>
      <c r="M260" s="918"/>
      <c r="N260" s="918"/>
      <c r="O260" s="918"/>
      <c r="P260" s="918"/>
      <c r="Q260" s="918"/>
      <c r="R260" s="918"/>
      <c r="S260" s="918"/>
      <c r="T260" s="918"/>
      <c r="U260" s="918"/>
      <c r="V260" s="918"/>
      <c r="W260" s="951"/>
      <c r="X260" s="918"/>
      <c r="Y260" s="952"/>
      <c r="Z260" s="953"/>
      <c r="AA260" s="952"/>
      <c r="AB260" s="953"/>
      <c r="AC260" s="952"/>
      <c r="AD260" s="953"/>
      <c r="AE260" s="954"/>
      <c r="AF260" s="918"/>
    </row>
    <row r="261" spans="1:32" s="917" customFormat="1" collapsed="1" x14ac:dyDescent="0.2">
      <c r="A261" s="922" t="s">
        <v>2182</v>
      </c>
      <c r="B261" s="916" t="s">
        <v>2109</v>
      </c>
      <c r="C261" s="915" t="s">
        <v>1884</v>
      </c>
      <c r="D261" s="915" t="s">
        <v>1092</v>
      </c>
      <c r="E261" s="915" t="s">
        <v>1092</v>
      </c>
      <c r="F261" s="915" t="s">
        <v>1092</v>
      </c>
      <c r="G261" s="915" t="s">
        <v>1092</v>
      </c>
      <c r="H261" s="915" t="s">
        <v>1092</v>
      </c>
      <c r="I261" s="915" t="s">
        <v>1092</v>
      </c>
      <c r="J261" s="915" t="s">
        <v>1092</v>
      </c>
      <c r="K261" s="915"/>
      <c r="L261" s="915" t="s">
        <v>1092</v>
      </c>
      <c r="M261" s="915" t="s">
        <v>1092</v>
      </c>
      <c r="N261" s="915" t="s">
        <v>1092</v>
      </c>
      <c r="O261" s="915" t="s">
        <v>1092</v>
      </c>
      <c r="P261" s="915" t="s">
        <v>1092</v>
      </c>
      <c r="Q261" s="915" t="s">
        <v>1092</v>
      </c>
      <c r="R261" s="915" t="s">
        <v>1092</v>
      </c>
      <c r="S261" s="915" t="s">
        <v>1092</v>
      </c>
      <c r="T261" s="915" t="s">
        <v>1092</v>
      </c>
      <c r="U261" s="915" t="s">
        <v>1092</v>
      </c>
      <c r="V261" s="915" t="s">
        <v>1092</v>
      </c>
      <c r="W261" s="947" t="s">
        <v>1092</v>
      </c>
      <c r="X261" s="915" t="s">
        <v>1092</v>
      </c>
      <c r="Y261" s="948"/>
      <c r="Z261" s="949"/>
      <c r="AA261" s="948"/>
      <c r="AB261" s="949"/>
      <c r="AC261" s="948"/>
      <c r="AD261" s="949"/>
      <c r="AE261" s="950"/>
      <c r="AF261" s="915"/>
    </row>
    <row r="262" spans="1:32" hidden="1" outlineLevel="1" x14ac:dyDescent="0.2">
      <c r="A262" s="918" t="s">
        <v>2000</v>
      </c>
      <c r="B262" s="919" t="s">
        <v>2179</v>
      </c>
      <c r="C262" s="918" t="s">
        <v>299</v>
      </c>
      <c r="D262" s="918" t="s">
        <v>299</v>
      </c>
      <c r="E262" s="918" t="s">
        <v>299</v>
      </c>
      <c r="F262" s="918" t="s">
        <v>299</v>
      </c>
      <c r="G262" s="918" t="s">
        <v>299</v>
      </c>
      <c r="H262" s="918" t="s">
        <v>299</v>
      </c>
      <c r="I262" s="918" t="s">
        <v>299</v>
      </c>
      <c r="J262" s="918" t="s">
        <v>299</v>
      </c>
      <c r="K262" s="918" t="s">
        <v>2180</v>
      </c>
      <c r="L262" s="918"/>
      <c r="M262" s="918"/>
      <c r="N262" s="918"/>
      <c r="O262" s="918"/>
      <c r="P262" s="918"/>
      <c r="Q262" s="918"/>
      <c r="R262" s="918"/>
      <c r="S262" s="918"/>
      <c r="T262" s="918"/>
      <c r="U262" s="918"/>
      <c r="V262" s="918"/>
      <c r="W262" s="951"/>
      <c r="X262" s="918"/>
      <c r="Y262" s="952"/>
      <c r="Z262" s="953"/>
      <c r="AA262" s="952"/>
      <c r="AB262" s="953"/>
      <c r="AC262" s="952"/>
      <c r="AD262" s="953"/>
      <c r="AE262" s="954"/>
      <c r="AF262" s="918"/>
    </row>
    <row r="263" spans="1:32" hidden="1" outlineLevel="1" x14ac:dyDescent="0.2">
      <c r="A263" s="920">
        <v>2</v>
      </c>
      <c r="B263" s="921" t="s">
        <v>2110</v>
      </c>
      <c r="C263" s="920" t="s">
        <v>1092</v>
      </c>
      <c r="D263" s="920" t="s">
        <v>1092</v>
      </c>
      <c r="E263" s="920" t="s">
        <v>1092</v>
      </c>
      <c r="F263" s="920" t="s">
        <v>1092</v>
      </c>
      <c r="G263" s="920" t="s">
        <v>1092</v>
      </c>
      <c r="H263" s="920" t="s">
        <v>1092</v>
      </c>
      <c r="I263" s="920" t="s">
        <v>1092</v>
      </c>
      <c r="J263" s="920" t="s">
        <v>1092</v>
      </c>
      <c r="K263" s="920"/>
      <c r="L263" s="920"/>
      <c r="M263" s="920"/>
      <c r="N263" s="920"/>
      <c r="O263" s="920"/>
      <c r="P263" s="920"/>
      <c r="Q263" s="920"/>
      <c r="R263" s="920"/>
      <c r="S263" s="920"/>
      <c r="T263" s="920"/>
      <c r="U263" s="920"/>
      <c r="V263" s="920"/>
      <c r="W263" s="955"/>
      <c r="X263" s="920"/>
      <c r="Y263" s="956"/>
      <c r="Z263" s="957"/>
      <c r="AA263" s="956"/>
      <c r="AB263" s="957"/>
      <c r="AC263" s="956"/>
      <c r="AD263" s="957"/>
      <c r="AE263" s="958"/>
      <c r="AF263" s="920"/>
    </row>
    <row r="264" spans="1:32" hidden="1" outlineLevel="1" x14ac:dyDescent="0.2">
      <c r="A264" s="918">
        <v>3</v>
      </c>
      <c r="B264" s="919" t="s">
        <v>2111</v>
      </c>
      <c r="C264" s="918" t="s">
        <v>299</v>
      </c>
      <c r="D264" s="918" t="s">
        <v>1092</v>
      </c>
      <c r="E264" s="918" t="s">
        <v>1092</v>
      </c>
      <c r="F264" s="918" t="s">
        <v>1092</v>
      </c>
      <c r="G264" s="918" t="s">
        <v>1092</v>
      </c>
      <c r="H264" s="918" t="s">
        <v>1092</v>
      </c>
      <c r="I264" s="918" t="s">
        <v>1092</v>
      </c>
      <c r="J264" s="918" t="s">
        <v>1092</v>
      </c>
      <c r="K264" s="918"/>
      <c r="L264" s="918"/>
      <c r="M264" s="918"/>
      <c r="N264" s="918"/>
      <c r="O264" s="918"/>
      <c r="P264" s="918"/>
      <c r="Q264" s="918"/>
      <c r="R264" s="918"/>
      <c r="S264" s="918"/>
      <c r="T264" s="918"/>
      <c r="U264" s="918"/>
      <c r="V264" s="918"/>
      <c r="W264" s="951"/>
      <c r="X264" s="918"/>
      <c r="Y264" s="952"/>
      <c r="Z264" s="953"/>
      <c r="AA264" s="952"/>
      <c r="AB264" s="953"/>
      <c r="AC264" s="952"/>
      <c r="AD264" s="953"/>
      <c r="AE264" s="954"/>
      <c r="AF264" s="918"/>
    </row>
    <row r="265" spans="1:32" hidden="1" outlineLevel="1" x14ac:dyDescent="0.2">
      <c r="A265" s="920">
        <v>4</v>
      </c>
      <c r="B265" s="921" t="s">
        <v>2112</v>
      </c>
      <c r="C265" s="920" t="s">
        <v>1884</v>
      </c>
      <c r="D265" s="920" t="s">
        <v>1092</v>
      </c>
      <c r="E265" s="920" t="s">
        <v>1092</v>
      </c>
      <c r="F265" s="920" t="s">
        <v>1092</v>
      </c>
      <c r="G265" s="920" t="s">
        <v>1092</v>
      </c>
      <c r="H265" s="920" t="s">
        <v>1092</v>
      </c>
      <c r="I265" s="920" t="s">
        <v>1092</v>
      </c>
      <c r="J265" s="920" t="s">
        <v>1092</v>
      </c>
      <c r="K265" s="920"/>
      <c r="L265" s="920"/>
      <c r="M265" s="920"/>
      <c r="N265" s="920"/>
      <c r="O265" s="920"/>
      <c r="P265" s="920"/>
      <c r="Q265" s="920"/>
      <c r="R265" s="920"/>
      <c r="S265" s="920"/>
      <c r="T265" s="920"/>
      <c r="U265" s="920"/>
      <c r="V265" s="920"/>
      <c r="W265" s="955"/>
      <c r="X265" s="920"/>
      <c r="Y265" s="956"/>
      <c r="Z265" s="957"/>
      <c r="AA265" s="956"/>
      <c r="AB265" s="957"/>
      <c r="AC265" s="956"/>
      <c r="AD265" s="957"/>
      <c r="AE265" s="958"/>
      <c r="AF265" s="920"/>
    </row>
    <row r="266" spans="1:32" hidden="1" outlineLevel="1" x14ac:dyDescent="0.2">
      <c r="A266" s="918">
        <v>5</v>
      </c>
      <c r="B266" s="919" t="s">
        <v>2113</v>
      </c>
      <c r="C266" s="918" t="s">
        <v>299</v>
      </c>
      <c r="D266" s="918" t="s">
        <v>1092</v>
      </c>
      <c r="E266" s="918" t="s">
        <v>1092</v>
      </c>
      <c r="F266" s="918" t="s">
        <v>1092</v>
      </c>
      <c r="G266" s="918" t="s">
        <v>1092</v>
      </c>
      <c r="H266" s="918" t="s">
        <v>1092</v>
      </c>
      <c r="I266" s="918" t="s">
        <v>1092</v>
      </c>
      <c r="J266" s="918" t="s">
        <v>1092</v>
      </c>
      <c r="K266" s="918"/>
      <c r="L266" s="918"/>
      <c r="M266" s="918"/>
      <c r="N266" s="918"/>
      <c r="O266" s="918"/>
      <c r="P266" s="918"/>
      <c r="Q266" s="918"/>
      <c r="R266" s="918"/>
      <c r="S266" s="918"/>
      <c r="T266" s="918"/>
      <c r="U266" s="918"/>
      <c r="V266" s="918"/>
      <c r="W266" s="951"/>
      <c r="X266" s="918"/>
      <c r="Y266" s="952"/>
      <c r="Z266" s="953"/>
      <c r="AA266" s="952"/>
      <c r="AB266" s="953"/>
      <c r="AC266" s="952"/>
      <c r="AD266" s="953"/>
      <c r="AE266" s="954"/>
      <c r="AF266" s="918"/>
    </row>
    <row r="267" spans="1:32" hidden="1" outlineLevel="1" x14ac:dyDescent="0.2">
      <c r="A267" s="920">
        <v>6</v>
      </c>
      <c r="B267" s="921" t="s">
        <v>2181</v>
      </c>
      <c r="C267" s="920" t="s">
        <v>299</v>
      </c>
      <c r="D267" s="920" t="s">
        <v>299</v>
      </c>
      <c r="E267" s="920" t="s">
        <v>299</v>
      </c>
      <c r="F267" s="920" t="s">
        <v>299</v>
      </c>
      <c r="G267" s="920" t="s">
        <v>299</v>
      </c>
      <c r="H267" s="920" t="s">
        <v>299</v>
      </c>
      <c r="I267" s="920" t="s">
        <v>299</v>
      </c>
      <c r="J267" s="920" t="s">
        <v>299</v>
      </c>
      <c r="K267" s="920" t="s">
        <v>1092</v>
      </c>
      <c r="L267" s="920"/>
      <c r="M267" s="920"/>
      <c r="N267" s="920"/>
      <c r="O267" s="920"/>
      <c r="P267" s="920"/>
      <c r="Q267" s="920"/>
      <c r="R267" s="920"/>
      <c r="S267" s="920"/>
      <c r="T267" s="920"/>
      <c r="U267" s="920"/>
      <c r="V267" s="920"/>
      <c r="W267" s="955"/>
      <c r="X267" s="920"/>
      <c r="Y267" s="956"/>
      <c r="Z267" s="957"/>
      <c r="AA267" s="956"/>
      <c r="AB267" s="957"/>
      <c r="AC267" s="956"/>
      <c r="AD267" s="957"/>
      <c r="AE267" s="958"/>
      <c r="AF267" s="920"/>
    </row>
    <row r="268" spans="1:32" s="917" customFormat="1" ht="12.75" collapsed="1" thickBot="1" x14ac:dyDescent="0.25">
      <c r="A268" s="922" t="s">
        <v>2225</v>
      </c>
      <c r="B268" s="916" t="s">
        <v>252</v>
      </c>
      <c r="C268" s="915" t="s">
        <v>1884</v>
      </c>
      <c r="D268" s="915" t="s">
        <v>1884</v>
      </c>
      <c r="E268" s="915" t="s">
        <v>1884</v>
      </c>
      <c r="F268" s="915" t="s">
        <v>1884</v>
      </c>
      <c r="G268" s="915" t="s">
        <v>1884</v>
      </c>
      <c r="H268" s="915" t="s">
        <v>1884</v>
      </c>
      <c r="I268" s="915" t="s">
        <v>1884</v>
      </c>
      <c r="J268" s="915" t="s">
        <v>1884</v>
      </c>
      <c r="K268" s="915" t="s">
        <v>1092</v>
      </c>
      <c r="L268" s="915" t="s">
        <v>1092</v>
      </c>
      <c r="M268" s="915" t="s">
        <v>1092</v>
      </c>
      <c r="N268" s="915" t="s">
        <v>1092</v>
      </c>
      <c r="O268" s="915" t="s">
        <v>1092</v>
      </c>
      <c r="P268" s="915" t="s">
        <v>1092</v>
      </c>
      <c r="Q268" s="915" t="s">
        <v>1092</v>
      </c>
      <c r="R268" s="915" t="s">
        <v>1092</v>
      </c>
      <c r="S268" s="915" t="s">
        <v>1092</v>
      </c>
      <c r="T268" s="915" t="s">
        <v>1092</v>
      </c>
      <c r="U268" s="915" t="s">
        <v>1092</v>
      </c>
      <c r="V268" s="915" t="s">
        <v>1092</v>
      </c>
      <c r="W268" s="947" t="s">
        <v>1092</v>
      </c>
      <c r="X268" s="915" t="s">
        <v>1092</v>
      </c>
      <c r="Y268" s="959"/>
      <c r="Z268" s="960"/>
      <c r="AA268" s="959"/>
      <c r="AB268" s="960"/>
      <c r="AC268" s="959"/>
      <c r="AD268" s="960"/>
      <c r="AE268" s="950"/>
      <c r="AF268" s="915"/>
    </row>
    <row r="269" spans="1:32" hidden="1" outlineLevel="1" x14ac:dyDescent="0.2">
      <c r="A269" s="918">
        <v>1</v>
      </c>
      <c r="B269" s="919" t="s">
        <v>2114</v>
      </c>
      <c r="C269" s="918" t="s">
        <v>1092</v>
      </c>
      <c r="D269" s="918" t="s">
        <v>1092</v>
      </c>
      <c r="E269" s="918" t="s">
        <v>1092</v>
      </c>
      <c r="F269" s="918" t="s">
        <v>1092</v>
      </c>
      <c r="G269" s="918" t="s">
        <v>1092</v>
      </c>
      <c r="H269" s="918" t="s">
        <v>1092</v>
      </c>
      <c r="I269" s="918" t="s">
        <v>1092</v>
      </c>
      <c r="J269" s="918" t="s">
        <v>1092</v>
      </c>
      <c r="K269" s="918"/>
      <c r="L269" s="918"/>
      <c r="M269" s="918"/>
      <c r="N269" s="918"/>
      <c r="O269" s="918"/>
      <c r="P269" s="918"/>
      <c r="Q269" s="918"/>
      <c r="R269" s="918"/>
      <c r="S269" s="918"/>
      <c r="T269" s="918"/>
      <c r="U269" s="918"/>
      <c r="V269" s="918"/>
      <c r="W269" s="951"/>
      <c r="X269" s="918"/>
      <c r="Y269" s="976"/>
      <c r="Z269" s="977"/>
      <c r="AA269" s="978"/>
      <c r="AB269" s="961"/>
      <c r="AC269" s="961"/>
      <c r="AD269" s="961"/>
      <c r="AE269" s="918"/>
      <c r="AF269" s="918"/>
    </row>
    <row r="270" spans="1:32" hidden="1" outlineLevel="1" x14ac:dyDescent="0.2">
      <c r="A270" s="920">
        <v>2</v>
      </c>
      <c r="B270" s="921" t="s">
        <v>2115</v>
      </c>
      <c r="C270" s="920" t="s">
        <v>299</v>
      </c>
      <c r="D270" s="920" t="s">
        <v>299</v>
      </c>
      <c r="E270" s="920" t="s">
        <v>299</v>
      </c>
      <c r="F270" s="920" t="s">
        <v>299</v>
      </c>
      <c r="G270" s="920" t="s">
        <v>299</v>
      </c>
      <c r="H270" s="920" t="s">
        <v>299</v>
      </c>
      <c r="I270" s="920" t="s">
        <v>299</v>
      </c>
      <c r="J270" s="920" t="s">
        <v>299</v>
      </c>
      <c r="K270" s="920" t="s">
        <v>2116</v>
      </c>
      <c r="L270" s="920"/>
      <c r="M270" s="920"/>
      <c r="N270" s="920"/>
      <c r="O270" s="920"/>
      <c r="P270" s="920"/>
      <c r="Q270" s="920"/>
      <c r="R270" s="920"/>
      <c r="S270" s="920"/>
      <c r="T270" s="920"/>
      <c r="U270" s="920"/>
      <c r="V270" s="920"/>
      <c r="W270" s="955"/>
      <c r="X270" s="920"/>
      <c r="Y270" s="956"/>
      <c r="Z270" s="957"/>
      <c r="AA270" s="958"/>
      <c r="AB270" s="920"/>
      <c r="AC270" s="920"/>
      <c r="AD270" s="920"/>
      <c r="AE270" s="920"/>
      <c r="AF270" s="920"/>
    </row>
    <row r="271" spans="1:32" hidden="1" outlineLevel="1" x14ac:dyDescent="0.2">
      <c r="A271" s="918">
        <v>3</v>
      </c>
      <c r="B271" s="919" t="s">
        <v>2117</v>
      </c>
      <c r="C271" s="918" t="s">
        <v>1092</v>
      </c>
      <c r="D271" s="918" t="s">
        <v>1092</v>
      </c>
      <c r="E271" s="918" t="s">
        <v>1092</v>
      </c>
      <c r="F271" s="918" t="s">
        <v>1092</v>
      </c>
      <c r="G271" s="918" t="s">
        <v>1092</v>
      </c>
      <c r="H271" s="918" t="s">
        <v>1092</v>
      </c>
      <c r="I271" s="918" t="s">
        <v>1092</v>
      </c>
      <c r="J271" s="918" t="s">
        <v>1092</v>
      </c>
      <c r="K271" s="918"/>
      <c r="L271" s="918"/>
      <c r="M271" s="918"/>
      <c r="N271" s="918"/>
      <c r="O271" s="918"/>
      <c r="P271" s="918"/>
      <c r="Q271" s="918"/>
      <c r="R271" s="918"/>
      <c r="S271" s="918"/>
      <c r="T271" s="918"/>
      <c r="U271" s="918"/>
      <c r="V271" s="918"/>
      <c r="W271" s="951"/>
      <c r="X271" s="918"/>
      <c r="Y271" s="976"/>
      <c r="Z271" s="977"/>
      <c r="AA271" s="978"/>
      <c r="AB271" s="961"/>
      <c r="AC271" s="961"/>
      <c r="AD271" s="961"/>
      <c r="AE271" s="918"/>
      <c r="AF271" s="918"/>
    </row>
    <row r="272" spans="1:32" hidden="1" outlineLevel="1" x14ac:dyDescent="0.2">
      <c r="A272" s="920">
        <v>4</v>
      </c>
      <c r="B272" s="921" t="s">
        <v>2201</v>
      </c>
      <c r="C272" s="920" t="s">
        <v>299</v>
      </c>
      <c r="D272" s="920" t="s">
        <v>1092</v>
      </c>
      <c r="E272" s="920" t="s">
        <v>1092</v>
      </c>
      <c r="F272" s="920" t="s">
        <v>1092</v>
      </c>
      <c r="G272" s="920" t="s">
        <v>1092</v>
      </c>
      <c r="H272" s="920" t="s">
        <v>1092</v>
      </c>
      <c r="I272" s="920" t="s">
        <v>1092</v>
      </c>
      <c r="J272" s="920" t="s">
        <v>1092</v>
      </c>
      <c r="K272" s="920"/>
      <c r="L272" s="920"/>
      <c r="M272" s="920"/>
      <c r="N272" s="920"/>
      <c r="O272" s="920"/>
      <c r="P272" s="920"/>
      <c r="Q272" s="920"/>
      <c r="R272" s="920"/>
      <c r="S272" s="920"/>
      <c r="T272" s="920"/>
      <c r="U272" s="920"/>
      <c r="V272" s="920"/>
      <c r="W272" s="955"/>
      <c r="X272" s="920"/>
      <c r="Y272" s="956"/>
      <c r="Z272" s="957"/>
      <c r="AA272" s="958"/>
      <c r="AB272" s="920"/>
      <c r="AC272" s="920"/>
      <c r="AD272" s="920"/>
      <c r="AE272" s="920"/>
      <c r="AF272" s="920"/>
    </row>
    <row r="273" spans="1:32" hidden="1" outlineLevel="1" x14ac:dyDescent="0.2">
      <c r="A273" s="918">
        <v>5</v>
      </c>
      <c r="B273" s="919" t="s">
        <v>2202</v>
      </c>
      <c r="C273" s="918" t="s">
        <v>299</v>
      </c>
      <c r="D273" s="918" t="s">
        <v>299</v>
      </c>
      <c r="E273" s="918" t="s">
        <v>299</v>
      </c>
      <c r="F273" s="918" t="s">
        <v>299</v>
      </c>
      <c r="G273" s="918" t="s">
        <v>299</v>
      </c>
      <c r="H273" s="918" t="s">
        <v>1092</v>
      </c>
      <c r="I273" s="918" t="s">
        <v>299</v>
      </c>
      <c r="J273" s="918" t="s">
        <v>299</v>
      </c>
      <c r="K273" s="918"/>
      <c r="L273" s="918"/>
      <c r="M273" s="918"/>
      <c r="N273" s="918"/>
      <c r="O273" s="918"/>
      <c r="P273" s="918"/>
      <c r="Q273" s="918"/>
      <c r="R273" s="918"/>
      <c r="S273" s="918"/>
      <c r="T273" s="918"/>
      <c r="U273" s="918"/>
      <c r="V273" s="918"/>
      <c r="W273" s="951"/>
      <c r="X273" s="918"/>
      <c r="Y273" s="976"/>
      <c r="Z273" s="977"/>
      <c r="AA273" s="978"/>
      <c r="AB273" s="961"/>
      <c r="AC273" s="961"/>
      <c r="AD273" s="961"/>
      <c r="AE273" s="918"/>
      <c r="AF273" s="918"/>
    </row>
    <row r="274" spans="1:32" hidden="1" outlineLevel="1" x14ac:dyDescent="0.2">
      <c r="A274" s="920">
        <v>6</v>
      </c>
      <c r="B274" s="921" t="s">
        <v>2203</v>
      </c>
      <c r="C274" s="920" t="s">
        <v>299</v>
      </c>
      <c r="D274" s="920" t="s">
        <v>299</v>
      </c>
      <c r="E274" s="920" t="s">
        <v>299</v>
      </c>
      <c r="F274" s="920" t="s">
        <v>299</v>
      </c>
      <c r="G274" s="920" t="s">
        <v>299</v>
      </c>
      <c r="H274" s="920" t="s">
        <v>1092</v>
      </c>
      <c r="I274" s="920" t="s">
        <v>299</v>
      </c>
      <c r="J274" s="920" t="s">
        <v>299</v>
      </c>
      <c r="K274" s="920"/>
      <c r="L274" s="920"/>
      <c r="M274" s="920"/>
      <c r="N274" s="920"/>
      <c r="O274" s="920"/>
      <c r="P274" s="920"/>
      <c r="Q274" s="920"/>
      <c r="R274" s="920"/>
      <c r="S274" s="920"/>
      <c r="T274" s="920"/>
      <c r="U274" s="920"/>
      <c r="V274" s="920"/>
      <c r="W274" s="955"/>
      <c r="X274" s="920"/>
      <c r="Y274" s="956"/>
      <c r="Z274" s="957"/>
      <c r="AA274" s="958"/>
      <c r="AB274" s="920"/>
      <c r="AC274" s="920"/>
      <c r="AD274" s="920"/>
      <c r="AE274" s="920"/>
      <c r="AF274" s="920"/>
    </row>
    <row r="275" spans="1:32" hidden="1" outlineLevel="1" x14ac:dyDescent="0.2">
      <c r="A275" s="918">
        <v>7</v>
      </c>
      <c r="B275" s="919" t="s">
        <v>2118</v>
      </c>
      <c r="C275" s="918" t="s">
        <v>299</v>
      </c>
      <c r="D275" s="918" t="s">
        <v>1092</v>
      </c>
      <c r="E275" s="918" t="s">
        <v>1092</v>
      </c>
      <c r="F275" s="918" t="s">
        <v>1092</v>
      </c>
      <c r="G275" s="918" t="s">
        <v>1092</v>
      </c>
      <c r="H275" s="918" t="s">
        <v>1092</v>
      </c>
      <c r="I275" s="918" t="s">
        <v>1092</v>
      </c>
      <c r="J275" s="918" t="s">
        <v>1092</v>
      </c>
      <c r="K275" s="918"/>
      <c r="L275" s="918"/>
      <c r="M275" s="918"/>
      <c r="N275" s="918"/>
      <c r="O275" s="918"/>
      <c r="P275" s="918"/>
      <c r="Q275" s="918"/>
      <c r="R275" s="918"/>
      <c r="S275" s="918"/>
      <c r="T275" s="918"/>
      <c r="U275" s="918"/>
      <c r="V275" s="918"/>
      <c r="W275" s="951"/>
      <c r="X275" s="918"/>
      <c r="Y275" s="976"/>
      <c r="Z275" s="977"/>
      <c r="AA275" s="978"/>
      <c r="AB275" s="961"/>
      <c r="AC275" s="961"/>
      <c r="AD275" s="961"/>
      <c r="AE275" s="918"/>
      <c r="AF275" s="918"/>
    </row>
    <row r="276" spans="1:32" ht="24" hidden="1" outlineLevel="1" x14ac:dyDescent="0.2">
      <c r="A276" s="920">
        <v>8</v>
      </c>
      <c r="B276" s="921" t="s">
        <v>2204</v>
      </c>
      <c r="C276" s="920" t="s">
        <v>299</v>
      </c>
      <c r="D276" s="920" t="s">
        <v>299</v>
      </c>
      <c r="E276" s="920" t="s">
        <v>299</v>
      </c>
      <c r="F276" s="920" t="s">
        <v>299</v>
      </c>
      <c r="G276" s="920" t="s">
        <v>299</v>
      </c>
      <c r="H276" s="920" t="s">
        <v>299</v>
      </c>
      <c r="I276" s="920" t="s">
        <v>299</v>
      </c>
      <c r="J276" s="920" t="s">
        <v>299</v>
      </c>
      <c r="K276" s="920" t="s">
        <v>2205</v>
      </c>
      <c r="L276" s="920"/>
      <c r="M276" s="920"/>
      <c r="N276" s="920"/>
      <c r="O276" s="920"/>
      <c r="P276" s="920"/>
      <c r="Q276" s="920"/>
      <c r="R276" s="920"/>
      <c r="S276" s="920"/>
      <c r="T276" s="920"/>
      <c r="U276" s="920"/>
      <c r="V276" s="920"/>
      <c r="W276" s="955"/>
      <c r="X276" s="920"/>
      <c r="Y276" s="956"/>
      <c r="Z276" s="957"/>
      <c r="AA276" s="958"/>
      <c r="AB276" s="920"/>
      <c r="AC276" s="920"/>
      <c r="AD276" s="920"/>
      <c r="AE276" s="920"/>
      <c r="AF276" s="920"/>
    </row>
    <row r="277" spans="1:32" hidden="1" outlineLevel="1" x14ac:dyDescent="0.2">
      <c r="A277" s="918">
        <v>9</v>
      </c>
      <c r="B277" s="919" t="s">
        <v>2119</v>
      </c>
      <c r="C277" s="918" t="s">
        <v>1092</v>
      </c>
      <c r="D277" s="918" t="s">
        <v>1092</v>
      </c>
      <c r="E277" s="918" t="s">
        <v>1092</v>
      </c>
      <c r="F277" s="918" t="s">
        <v>1092</v>
      </c>
      <c r="G277" s="918" t="s">
        <v>1092</v>
      </c>
      <c r="H277" s="918" t="s">
        <v>1092</v>
      </c>
      <c r="I277" s="918" t="s">
        <v>1092</v>
      </c>
      <c r="J277" s="918" t="s">
        <v>1092</v>
      </c>
      <c r="K277" s="918"/>
      <c r="L277" s="918"/>
      <c r="M277" s="918"/>
      <c r="N277" s="918"/>
      <c r="O277" s="918"/>
      <c r="P277" s="918"/>
      <c r="Q277" s="918"/>
      <c r="R277" s="918"/>
      <c r="S277" s="918"/>
      <c r="T277" s="918"/>
      <c r="U277" s="918"/>
      <c r="V277" s="918"/>
      <c r="W277" s="951"/>
      <c r="X277" s="918"/>
      <c r="Y277" s="976"/>
      <c r="Z277" s="977"/>
      <c r="AA277" s="978"/>
      <c r="AB277" s="961"/>
      <c r="AC277" s="961"/>
      <c r="AD277" s="961"/>
      <c r="AE277" s="918"/>
      <c r="AF277" s="918"/>
    </row>
    <row r="278" spans="1:32" hidden="1" outlineLevel="1" x14ac:dyDescent="0.2">
      <c r="A278" s="920">
        <v>10</v>
      </c>
      <c r="B278" s="921" t="s">
        <v>2120</v>
      </c>
      <c r="C278" s="920" t="s">
        <v>1092</v>
      </c>
      <c r="D278" s="920" t="s">
        <v>1092</v>
      </c>
      <c r="E278" s="920" t="s">
        <v>1092</v>
      </c>
      <c r="F278" s="920" t="s">
        <v>1092</v>
      </c>
      <c r="G278" s="920" t="s">
        <v>1092</v>
      </c>
      <c r="H278" s="920" t="s">
        <v>1092</v>
      </c>
      <c r="I278" s="920" t="s">
        <v>1092</v>
      </c>
      <c r="J278" s="920" t="s">
        <v>1092</v>
      </c>
      <c r="K278" s="920"/>
      <c r="L278" s="920"/>
      <c r="M278" s="920"/>
      <c r="N278" s="920"/>
      <c r="O278" s="920"/>
      <c r="P278" s="920"/>
      <c r="Q278" s="920"/>
      <c r="R278" s="920"/>
      <c r="S278" s="920"/>
      <c r="T278" s="920"/>
      <c r="U278" s="920"/>
      <c r="V278" s="920"/>
      <c r="W278" s="955"/>
      <c r="X278" s="920"/>
      <c r="Y278" s="956"/>
      <c r="Z278" s="957"/>
      <c r="AA278" s="958"/>
      <c r="AB278" s="920"/>
      <c r="AC278" s="920"/>
      <c r="AD278" s="920"/>
      <c r="AE278" s="920"/>
      <c r="AF278" s="920"/>
    </row>
    <row r="279" spans="1:32" hidden="1" outlineLevel="1" x14ac:dyDescent="0.2">
      <c r="A279" s="918">
        <v>11</v>
      </c>
      <c r="B279" s="919" t="s">
        <v>2121</v>
      </c>
      <c r="C279" s="918" t="s">
        <v>299</v>
      </c>
      <c r="D279" s="918" t="s">
        <v>299</v>
      </c>
      <c r="E279" s="918" t="s">
        <v>299</v>
      </c>
      <c r="F279" s="918" t="s">
        <v>299</v>
      </c>
      <c r="G279" s="918" t="s">
        <v>1092</v>
      </c>
      <c r="H279" s="918" t="s">
        <v>1092</v>
      </c>
      <c r="I279" s="918" t="s">
        <v>1092</v>
      </c>
      <c r="J279" s="918" t="s">
        <v>1092</v>
      </c>
      <c r="K279" s="918" t="s">
        <v>2122</v>
      </c>
      <c r="L279" s="918"/>
      <c r="M279" s="918"/>
      <c r="N279" s="918"/>
      <c r="O279" s="918"/>
      <c r="P279" s="918"/>
      <c r="Q279" s="918"/>
      <c r="R279" s="918"/>
      <c r="S279" s="918"/>
      <c r="T279" s="918"/>
      <c r="U279" s="918"/>
      <c r="V279" s="918"/>
      <c r="W279" s="951"/>
      <c r="X279" s="918"/>
      <c r="Y279" s="976"/>
      <c r="Z279" s="977"/>
      <c r="AA279" s="978"/>
      <c r="AB279" s="961"/>
      <c r="AC279" s="961"/>
      <c r="AD279" s="961"/>
      <c r="AE279" s="918"/>
      <c r="AF279" s="918"/>
    </row>
    <row r="280" spans="1:32" hidden="1" outlineLevel="1" x14ac:dyDescent="0.2">
      <c r="A280" s="920">
        <v>12</v>
      </c>
      <c r="B280" s="921" t="s">
        <v>2123</v>
      </c>
      <c r="C280" s="920" t="s">
        <v>1092</v>
      </c>
      <c r="D280" s="920" t="s">
        <v>1092</v>
      </c>
      <c r="E280" s="920" t="s">
        <v>1092</v>
      </c>
      <c r="F280" s="920" t="s">
        <v>1092</v>
      </c>
      <c r="G280" s="920" t="s">
        <v>1092</v>
      </c>
      <c r="H280" s="920" t="s">
        <v>1092</v>
      </c>
      <c r="I280" s="920" t="s">
        <v>1092</v>
      </c>
      <c r="J280" s="920" t="s">
        <v>1092</v>
      </c>
      <c r="K280" s="920"/>
      <c r="L280" s="920"/>
      <c r="M280" s="920"/>
      <c r="N280" s="920"/>
      <c r="O280" s="920"/>
      <c r="P280" s="920"/>
      <c r="Q280" s="920"/>
      <c r="R280" s="920"/>
      <c r="S280" s="920"/>
      <c r="T280" s="920"/>
      <c r="U280" s="920"/>
      <c r="V280" s="920"/>
      <c r="W280" s="955"/>
      <c r="X280" s="920"/>
      <c r="Y280" s="956"/>
      <c r="Z280" s="957"/>
      <c r="AA280" s="958"/>
      <c r="AB280" s="920"/>
      <c r="AC280" s="920"/>
      <c r="AD280" s="920"/>
      <c r="AE280" s="920"/>
      <c r="AF280" s="920"/>
    </row>
    <row r="281" spans="1:32" hidden="1" outlineLevel="1" x14ac:dyDescent="0.2">
      <c r="A281" s="918">
        <v>13</v>
      </c>
      <c r="B281" s="919" t="s">
        <v>2124</v>
      </c>
      <c r="C281" s="918" t="s">
        <v>299</v>
      </c>
      <c r="D281" s="918" t="s">
        <v>299</v>
      </c>
      <c r="E281" s="918" t="s">
        <v>299</v>
      </c>
      <c r="F281" s="918" t="s">
        <v>299</v>
      </c>
      <c r="G281" s="918" t="s">
        <v>1092</v>
      </c>
      <c r="H281" s="918" t="s">
        <v>1092</v>
      </c>
      <c r="I281" s="918" t="s">
        <v>1092</v>
      </c>
      <c r="J281" s="918" t="s">
        <v>1092</v>
      </c>
      <c r="K281" s="918"/>
      <c r="L281" s="918"/>
      <c r="M281" s="918"/>
      <c r="N281" s="918"/>
      <c r="O281" s="918"/>
      <c r="P281" s="918"/>
      <c r="Q281" s="918"/>
      <c r="R281" s="918"/>
      <c r="S281" s="918"/>
      <c r="T281" s="918"/>
      <c r="U281" s="918"/>
      <c r="V281" s="918"/>
      <c r="W281" s="951"/>
      <c r="X281" s="918"/>
      <c r="Y281" s="976"/>
      <c r="Z281" s="977"/>
      <c r="AA281" s="978"/>
      <c r="AB281" s="961"/>
      <c r="AC281" s="961"/>
      <c r="AD281" s="961"/>
      <c r="AE281" s="918"/>
      <c r="AF281" s="918"/>
    </row>
    <row r="282" spans="1:32" ht="24" hidden="1" outlineLevel="1" x14ac:dyDescent="0.2">
      <c r="A282" s="920">
        <v>14</v>
      </c>
      <c r="B282" s="921" t="s">
        <v>2125</v>
      </c>
      <c r="C282" s="920" t="s">
        <v>299</v>
      </c>
      <c r="D282" s="920" t="s">
        <v>299</v>
      </c>
      <c r="E282" s="920" t="s">
        <v>299</v>
      </c>
      <c r="F282" s="920" t="s">
        <v>299</v>
      </c>
      <c r="G282" s="920" t="s">
        <v>299</v>
      </c>
      <c r="H282" s="920" t="s">
        <v>299</v>
      </c>
      <c r="I282" s="920" t="s">
        <v>299</v>
      </c>
      <c r="J282" s="920" t="s">
        <v>299</v>
      </c>
      <c r="K282" s="920" t="s">
        <v>2126</v>
      </c>
      <c r="L282" s="920"/>
      <c r="M282" s="920"/>
      <c r="N282" s="920"/>
      <c r="O282" s="920"/>
      <c r="P282" s="920"/>
      <c r="Q282" s="920"/>
      <c r="R282" s="920"/>
      <c r="S282" s="920"/>
      <c r="T282" s="920"/>
      <c r="U282" s="920"/>
      <c r="V282" s="920"/>
      <c r="W282" s="955"/>
      <c r="X282" s="920"/>
      <c r="Y282" s="956"/>
      <c r="Z282" s="957"/>
      <c r="AA282" s="958"/>
      <c r="AB282" s="920"/>
      <c r="AC282" s="920"/>
      <c r="AD282" s="920"/>
      <c r="AE282" s="920"/>
      <c r="AF282" s="920"/>
    </row>
    <row r="283" spans="1:32" ht="24" hidden="1" outlineLevel="1" x14ac:dyDescent="0.2">
      <c r="A283" s="918">
        <v>15</v>
      </c>
      <c r="B283" s="919" t="s">
        <v>2206</v>
      </c>
      <c r="C283" s="918" t="s">
        <v>299</v>
      </c>
      <c r="D283" s="918" t="s">
        <v>299</v>
      </c>
      <c r="E283" s="918" t="s">
        <v>299</v>
      </c>
      <c r="F283" s="918" t="s">
        <v>299</v>
      </c>
      <c r="G283" s="918" t="s">
        <v>299</v>
      </c>
      <c r="H283" s="918" t="s">
        <v>1092</v>
      </c>
      <c r="I283" s="918" t="s">
        <v>299</v>
      </c>
      <c r="J283" s="918" t="s">
        <v>299</v>
      </c>
      <c r="K283" s="918"/>
      <c r="L283" s="918"/>
      <c r="M283" s="918"/>
      <c r="N283" s="918"/>
      <c r="O283" s="918"/>
      <c r="P283" s="918"/>
      <c r="Q283" s="918"/>
      <c r="R283" s="918"/>
      <c r="S283" s="918"/>
      <c r="T283" s="918"/>
      <c r="U283" s="918"/>
      <c r="V283" s="918"/>
      <c r="W283" s="951"/>
      <c r="X283" s="918"/>
      <c r="Y283" s="976"/>
      <c r="Z283" s="977"/>
      <c r="AA283" s="978"/>
      <c r="AB283" s="961"/>
      <c r="AC283" s="961"/>
      <c r="AD283" s="961"/>
      <c r="AE283" s="918"/>
      <c r="AF283" s="918"/>
    </row>
    <row r="284" spans="1:32" hidden="1" outlineLevel="1" x14ac:dyDescent="0.2">
      <c r="A284" s="920">
        <v>16</v>
      </c>
      <c r="B284" s="921" t="s">
        <v>2207</v>
      </c>
      <c r="C284" s="920" t="s">
        <v>299</v>
      </c>
      <c r="D284" s="920" t="s">
        <v>299</v>
      </c>
      <c r="E284" s="920" t="s">
        <v>1092</v>
      </c>
      <c r="F284" s="920" t="s">
        <v>1092</v>
      </c>
      <c r="G284" s="920" t="s">
        <v>1092</v>
      </c>
      <c r="H284" s="920" t="s">
        <v>1092</v>
      </c>
      <c r="I284" s="920" t="s">
        <v>1092</v>
      </c>
      <c r="J284" s="920" t="s">
        <v>1092</v>
      </c>
      <c r="K284" s="920"/>
      <c r="L284" s="920"/>
      <c r="M284" s="920"/>
      <c r="N284" s="920"/>
      <c r="O284" s="920"/>
      <c r="P284" s="920"/>
      <c r="Q284" s="920"/>
      <c r="R284" s="920"/>
      <c r="S284" s="920"/>
      <c r="T284" s="920"/>
      <c r="U284" s="920"/>
      <c r="V284" s="920"/>
      <c r="W284" s="955"/>
      <c r="X284" s="920"/>
      <c r="Y284" s="956"/>
      <c r="Z284" s="957"/>
      <c r="AA284" s="958"/>
      <c r="AB284" s="920"/>
      <c r="AC284" s="920"/>
      <c r="AD284" s="920"/>
      <c r="AE284" s="920"/>
      <c r="AF284" s="920"/>
    </row>
    <row r="285" spans="1:32" hidden="1" outlineLevel="1" x14ac:dyDescent="0.2">
      <c r="A285" s="918">
        <v>15</v>
      </c>
      <c r="B285" s="919" t="s">
        <v>2127</v>
      </c>
      <c r="C285" s="918" t="s">
        <v>299</v>
      </c>
      <c r="D285" s="918" t="s">
        <v>299</v>
      </c>
      <c r="E285" s="918" t="s">
        <v>1092</v>
      </c>
      <c r="F285" s="918" t="s">
        <v>1092</v>
      </c>
      <c r="G285" s="918" t="s">
        <v>1092</v>
      </c>
      <c r="H285" s="918" t="s">
        <v>1092</v>
      </c>
      <c r="I285" s="918" t="s">
        <v>1092</v>
      </c>
      <c r="J285" s="918" t="s">
        <v>1092</v>
      </c>
      <c r="K285" s="918"/>
      <c r="L285" s="918"/>
      <c r="M285" s="918"/>
      <c r="N285" s="918"/>
      <c r="O285" s="918"/>
      <c r="P285" s="918"/>
      <c r="Q285" s="918"/>
      <c r="R285" s="918"/>
      <c r="S285" s="918"/>
      <c r="T285" s="918"/>
      <c r="U285" s="918"/>
      <c r="V285" s="918"/>
      <c r="W285" s="951"/>
      <c r="X285" s="918"/>
      <c r="Y285" s="976"/>
      <c r="Z285" s="977"/>
      <c r="AA285" s="978"/>
      <c r="AB285" s="961"/>
      <c r="AC285" s="961"/>
      <c r="AD285" s="961"/>
      <c r="AE285" s="918"/>
      <c r="AF285" s="918"/>
    </row>
    <row r="286" spans="1:32" hidden="1" outlineLevel="1" x14ac:dyDescent="0.2">
      <c r="A286" s="920">
        <v>16</v>
      </c>
      <c r="B286" s="921" t="s">
        <v>2128</v>
      </c>
      <c r="C286" s="920" t="s">
        <v>299</v>
      </c>
      <c r="D286" s="920" t="s">
        <v>299</v>
      </c>
      <c r="E286" s="920" t="s">
        <v>1092</v>
      </c>
      <c r="F286" s="920" t="s">
        <v>1092</v>
      </c>
      <c r="G286" s="920" t="s">
        <v>1092</v>
      </c>
      <c r="H286" s="920" t="s">
        <v>1092</v>
      </c>
      <c r="I286" s="920" t="s">
        <v>1092</v>
      </c>
      <c r="J286" s="920" t="s">
        <v>1092</v>
      </c>
      <c r="K286" s="920"/>
      <c r="L286" s="920"/>
      <c r="M286" s="920"/>
      <c r="N286" s="920"/>
      <c r="O286" s="920"/>
      <c r="P286" s="920"/>
      <c r="Q286" s="920"/>
      <c r="R286" s="920"/>
      <c r="S286" s="920"/>
      <c r="T286" s="920"/>
      <c r="U286" s="920"/>
      <c r="V286" s="920"/>
      <c r="W286" s="955"/>
      <c r="X286" s="920"/>
      <c r="Y286" s="956"/>
      <c r="Z286" s="957"/>
      <c r="AA286" s="958"/>
      <c r="AB286" s="920"/>
      <c r="AC286" s="920"/>
      <c r="AD286" s="920"/>
      <c r="AE286" s="920"/>
      <c r="AF286" s="920"/>
    </row>
    <row r="287" spans="1:32" hidden="1" outlineLevel="1" x14ac:dyDescent="0.2">
      <c r="A287" s="918">
        <v>17</v>
      </c>
      <c r="B287" s="919" t="s">
        <v>2129</v>
      </c>
      <c r="C287" s="918" t="s">
        <v>299</v>
      </c>
      <c r="D287" s="918" t="s">
        <v>299</v>
      </c>
      <c r="E287" s="918" t="s">
        <v>1092</v>
      </c>
      <c r="F287" s="918" t="s">
        <v>1092</v>
      </c>
      <c r="G287" s="918" t="s">
        <v>1092</v>
      </c>
      <c r="H287" s="918" t="s">
        <v>1092</v>
      </c>
      <c r="I287" s="918" t="s">
        <v>1092</v>
      </c>
      <c r="J287" s="918" t="s">
        <v>1092</v>
      </c>
      <c r="K287" s="918"/>
      <c r="L287" s="918"/>
      <c r="M287" s="918"/>
      <c r="N287" s="918"/>
      <c r="O287" s="918"/>
      <c r="P287" s="918"/>
      <c r="Q287" s="918"/>
      <c r="R287" s="918"/>
      <c r="S287" s="918"/>
      <c r="T287" s="918"/>
      <c r="U287" s="918"/>
      <c r="V287" s="918"/>
      <c r="W287" s="951"/>
      <c r="X287" s="918"/>
      <c r="Y287" s="976"/>
      <c r="Z287" s="977"/>
      <c r="AA287" s="978"/>
      <c r="AB287" s="961"/>
      <c r="AC287" s="961"/>
      <c r="AD287" s="961"/>
      <c r="AE287" s="918"/>
      <c r="AF287" s="918"/>
    </row>
    <row r="288" spans="1:32" ht="36" hidden="1" outlineLevel="1" x14ac:dyDescent="0.2">
      <c r="A288" s="920">
        <v>18</v>
      </c>
      <c r="B288" s="921" t="s">
        <v>2130</v>
      </c>
      <c r="C288" s="920" t="s">
        <v>299</v>
      </c>
      <c r="D288" s="920" t="s">
        <v>299</v>
      </c>
      <c r="E288" s="920" t="s">
        <v>1092</v>
      </c>
      <c r="F288" s="920" t="s">
        <v>299</v>
      </c>
      <c r="G288" s="920" t="s">
        <v>1092</v>
      </c>
      <c r="H288" s="920" t="s">
        <v>299</v>
      </c>
      <c r="I288" s="920" t="s">
        <v>299</v>
      </c>
      <c r="J288" s="920" t="s">
        <v>1092</v>
      </c>
      <c r="K288" s="920"/>
      <c r="L288" s="920"/>
      <c r="M288" s="920"/>
      <c r="N288" s="920"/>
      <c r="O288" s="920"/>
      <c r="P288" s="920"/>
      <c r="Q288" s="920"/>
      <c r="R288" s="920"/>
      <c r="S288" s="920"/>
      <c r="T288" s="920"/>
      <c r="U288" s="920"/>
      <c r="V288" s="920"/>
      <c r="W288" s="955"/>
      <c r="X288" s="920"/>
      <c r="Y288" s="956"/>
      <c r="Z288" s="957"/>
      <c r="AA288" s="958"/>
      <c r="AB288" s="920"/>
      <c r="AC288" s="920"/>
      <c r="AD288" s="920"/>
      <c r="AE288" s="920"/>
      <c r="AF288" s="920"/>
    </row>
    <row r="289" spans="1:32" ht="24" hidden="1" outlineLevel="1" x14ac:dyDescent="0.2">
      <c r="A289" s="918">
        <v>19</v>
      </c>
      <c r="B289" s="919" t="s">
        <v>2131</v>
      </c>
      <c r="C289" s="918" t="s">
        <v>299</v>
      </c>
      <c r="D289" s="918" t="s">
        <v>299</v>
      </c>
      <c r="E289" s="918" t="s">
        <v>299</v>
      </c>
      <c r="F289" s="918" t="s">
        <v>299</v>
      </c>
      <c r="G289" s="918" t="s">
        <v>299</v>
      </c>
      <c r="H289" s="918" t="s">
        <v>299</v>
      </c>
      <c r="I289" s="918" t="s">
        <v>299</v>
      </c>
      <c r="J289" s="918" t="s">
        <v>1092</v>
      </c>
      <c r="K289" s="918"/>
      <c r="L289" s="918"/>
      <c r="M289" s="918"/>
      <c r="N289" s="918"/>
      <c r="O289" s="918"/>
      <c r="P289" s="918"/>
      <c r="Q289" s="918"/>
      <c r="R289" s="918"/>
      <c r="S289" s="918"/>
      <c r="T289" s="918"/>
      <c r="U289" s="918"/>
      <c r="V289" s="918"/>
      <c r="W289" s="951"/>
      <c r="X289" s="918"/>
      <c r="Y289" s="976"/>
      <c r="Z289" s="977"/>
      <c r="AA289" s="978"/>
      <c r="AB289" s="961"/>
      <c r="AC289" s="961"/>
      <c r="AD289" s="961"/>
      <c r="AE289" s="918"/>
      <c r="AF289" s="918"/>
    </row>
    <row r="290" spans="1:32" ht="24" hidden="1" outlineLevel="1" x14ac:dyDescent="0.2">
      <c r="A290" s="920">
        <v>20</v>
      </c>
      <c r="B290" s="921" t="s">
        <v>2132</v>
      </c>
      <c r="C290" s="920" t="s">
        <v>299</v>
      </c>
      <c r="D290" s="920" t="s">
        <v>299</v>
      </c>
      <c r="E290" s="920" t="s">
        <v>299</v>
      </c>
      <c r="F290" s="920" t="s">
        <v>299</v>
      </c>
      <c r="G290" s="920" t="s">
        <v>299</v>
      </c>
      <c r="H290" s="920" t="s">
        <v>299</v>
      </c>
      <c r="I290" s="920" t="s">
        <v>299</v>
      </c>
      <c r="J290" s="920" t="s">
        <v>1092</v>
      </c>
      <c r="K290" s="920"/>
      <c r="L290" s="920"/>
      <c r="M290" s="920"/>
      <c r="N290" s="920"/>
      <c r="O290" s="920"/>
      <c r="P290" s="920"/>
      <c r="Q290" s="920"/>
      <c r="R290" s="920"/>
      <c r="S290" s="920"/>
      <c r="T290" s="920"/>
      <c r="U290" s="920"/>
      <c r="V290" s="920"/>
      <c r="W290" s="955"/>
      <c r="X290" s="920"/>
      <c r="Y290" s="956"/>
      <c r="Z290" s="957"/>
      <c r="AA290" s="958"/>
      <c r="AB290" s="920"/>
      <c r="AC290" s="920"/>
      <c r="AD290" s="920"/>
      <c r="AE290" s="920"/>
      <c r="AF290" s="920"/>
    </row>
    <row r="291" spans="1:32" hidden="1" outlineLevel="1" x14ac:dyDescent="0.2">
      <c r="A291" s="918">
        <v>21</v>
      </c>
      <c r="B291" s="919" t="s">
        <v>2133</v>
      </c>
      <c r="C291" s="918" t="s">
        <v>299</v>
      </c>
      <c r="D291" s="918" t="s">
        <v>299</v>
      </c>
      <c r="E291" s="918" t="s">
        <v>299</v>
      </c>
      <c r="F291" s="918" t="s">
        <v>299</v>
      </c>
      <c r="G291" s="918" t="s">
        <v>299</v>
      </c>
      <c r="H291" s="918" t="s">
        <v>299</v>
      </c>
      <c r="I291" s="918" t="s">
        <v>299</v>
      </c>
      <c r="J291" s="918" t="s">
        <v>1092</v>
      </c>
      <c r="K291" s="918"/>
      <c r="L291" s="918"/>
      <c r="M291" s="918"/>
      <c r="N291" s="918"/>
      <c r="O291" s="918"/>
      <c r="P291" s="918"/>
      <c r="Q291" s="918"/>
      <c r="R291" s="918"/>
      <c r="S291" s="918"/>
      <c r="T291" s="918"/>
      <c r="U291" s="918"/>
      <c r="V291" s="918"/>
      <c r="W291" s="951"/>
      <c r="X291" s="918"/>
      <c r="Y291" s="976"/>
      <c r="Z291" s="977"/>
      <c r="AA291" s="978"/>
      <c r="AB291" s="961"/>
      <c r="AC291" s="961"/>
      <c r="AD291" s="961"/>
      <c r="AE291" s="918"/>
      <c r="AF291" s="918"/>
    </row>
    <row r="292" spans="1:32" ht="12.75" hidden="1" outlineLevel="1" thickBot="1" x14ac:dyDescent="0.25">
      <c r="A292" s="920">
        <v>22</v>
      </c>
      <c r="B292" s="921" t="s">
        <v>2134</v>
      </c>
      <c r="C292" s="920" t="s">
        <v>1092</v>
      </c>
      <c r="D292" s="920" t="s">
        <v>1092</v>
      </c>
      <c r="E292" s="920" t="s">
        <v>1092</v>
      </c>
      <c r="F292" s="920" t="s">
        <v>1092</v>
      </c>
      <c r="G292" s="920" t="s">
        <v>1092</v>
      </c>
      <c r="H292" s="920" t="s">
        <v>1092</v>
      </c>
      <c r="I292" s="920" t="s">
        <v>1092</v>
      </c>
      <c r="J292" s="920" t="s">
        <v>1092</v>
      </c>
      <c r="K292" s="920"/>
      <c r="L292" s="920"/>
      <c r="M292" s="920"/>
      <c r="N292" s="920"/>
      <c r="O292" s="920"/>
      <c r="P292" s="920"/>
      <c r="Q292" s="920"/>
      <c r="R292" s="920"/>
      <c r="S292" s="920"/>
      <c r="T292" s="920"/>
      <c r="U292" s="920"/>
      <c r="V292" s="920"/>
      <c r="W292" s="955"/>
      <c r="X292" s="920"/>
      <c r="Y292" s="979"/>
      <c r="Z292" s="980"/>
      <c r="AA292" s="958"/>
      <c r="AB292" s="920"/>
      <c r="AC292" s="920"/>
      <c r="AD292" s="920"/>
      <c r="AE292" s="920"/>
      <c r="AF292" s="920"/>
    </row>
    <row r="293" spans="1:32" hidden="1" outlineLevel="1" x14ac:dyDescent="0.2">
      <c r="A293" s="918">
        <v>23</v>
      </c>
      <c r="B293" s="919" t="s">
        <v>2183</v>
      </c>
      <c r="C293" s="918"/>
      <c r="D293" s="918"/>
      <c r="E293" s="918"/>
      <c r="F293" s="918"/>
      <c r="G293" s="918"/>
      <c r="H293" s="918"/>
      <c r="I293" s="918"/>
      <c r="J293" s="918"/>
      <c r="K293" s="918"/>
      <c r="L293" s="918"/>
      <c r="M293" s="918"/>
      <c r="N293" s="918"/>
      <c r="O293" s="918"/>
      <c r="P293" s="918"/>
      <c r="Q293" s="918"/>
      <c r="R293" s="918"/>
      <c r="S293" s="918"/>
      <c r="T293" s="918"/>
      <c r="U293" s="918"/>
      <c r="V293" s="918"/>
      <c r="W293" s="918"/>
      <c r="X293" s="918"/>
      <c r="Y293" s="961"/>
      <c r="Z293" s="961"/>
      <c r="AA293" s="961"/>
      <c r="AB293" s="961"/>
      <c r="AC293" s="961"/>
      <c r="AD293" s="961"/>
      <c r="AE293" s="918"/>
      <c r="AF293" s="918"/>
    </row>
  </sheetData>
  <mergeCells count="7">
    <mergeCell ref="X1:X2"/>
    <mergeCell ref="Y1:AF1"/>
    <mergeCell ref="A1:A2"/>
    <mergeCell ref="B1:B2"/>
    <mergeCell ref="C1:K1"/>
    <mergeCell ref="L1:U1"/>
    <mergeCell ref="V1:W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D01C1A5A-68AB-40C5-A336-E78EACDBBC83}">
            <xm:f>NOT(ISERROR(SEARCH("+",Y3)))</xm:f>
            <xm:f>"+"</xm:f>
            <x14:dxf>
              <font>
                <color rgb="FF006100"/>
              </font>
              <fill>
                <patternFill>
                  <bgColor rgb="FFC6EFCE"/>
                </patternFill>
              </fill>
            </x14:dxf>
          </x14:cfRule>
          <xm:sqref>Y3:AE248</xm:sqref>
        </x14:conditionalFormatting>
        <x14:conditionalFormatting xmlns:xm="http://schemas.microsoft.com/office/excel/2006/main">
          <x14:cfRule type="containsText" priority="3" operator="containsText" id="{189406CD-08E6-48D3-87FC-C6BBF72B3B25}">
            <xm:f>NOT(ISERROR(SEARCH("+",Y250)))</xm:f>
            <xm:f>"+"</xm:f>
            <x14:dxf>
              <font>
                <color rgb="FF006100"/>
              </font>
              <fill>
                <patternFill>
                  <bgColor rgb="FFC6EFCE"/>
                </patternFill>
              </fill>
            </x14:dxf>
          </x14:cfRule>
          <xm:sqref>Y250:AE250 Y252:AE252 Y254:AE254 Y256:AE256 Y258:AE258</xm:sqref>
        </x14:conditionalFormatting>
        <x14:conditionalFormatting xmlns:xm="http://schemas.microsoft.com/office/excel/2006/main">
          <x14:cfRule type="containsText" priority="1" operator="containsText" id="{3F49AF13-D213-475B-A573-9B4886EB113C}">
            <xm:f>NOT(ISERROR(SEARCH("+",Y260)))</xm:f>
            <xm:f>"+"</xm:f>
            <x14:dxf>
              <font>
                <color rgb="FF006100"/>
              </font>
              <fill>
                <patternFill>
                  <bgColor rgb="FFC6EFCE"/>
                </patternFill>
              </fill>
            </x14:dxf>
          </x14:cfRule>
          <xm:sqref>Y260:AE293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32"/>
  <sheetViews>
    <sheetView zoomScale="80" zoomScaleNormal="80" workbookViewId="0">
      <selection activeCell="A34" sqref="A34"/>
    </sheetView>
  </sheetViews>
  <sheetFormatPr defaultColWidth="9.28515625" defaultRowHeight="15" outlineLevelCol="1" x14ac:dyDescent="0.25"/>
  <cols>
    <col min="1" max="1" width="58.28515625" style="1" customWidth="1"/>
    <col min="2" max="2" width="13.28515625" style="1" customWidth="1"/>
    <col min="3" max="3" width="30.7109375" style="1" customWidth="1" outlineLevel="1"/>
    <col min="4" max="4" width="17.7109375" style="1" customWidth="1" outlineLevel="1"/>
    <col min="5" max="5" width="85.5703125" style="1" customWidth="1" outlineLevel="1"/>
    <col min="6" max="6" width="39.7109375" style="1" customWidth="1" outlineLevel="1"/>
    <col min="7" max="7" width="6" customWidth="1"/>
    <col min="8" max="8" width="26.42578125" style="1" customWidth="1" outlineLevel="1"/>
    <col min="9" max="9" width="14" style="1" customWidth="1" outlineLevel="1"/>
    <col min="10" max="10" width="11.42578125" style="1" customWidth="1" outlineLevel="1"/>
    <col min="11" max="11" width="15.28515625" style="1" customWidth="1" outlineLevel="1"/>
    <col min="12" max="12" width="20" style="1" customWidth="1" outlineLevel="1"/>
    <col min="16" max="16384" width="9.28515625" style="1"/>
  </cols>
  <sheetData>
    <row r="1" spans="1:12" ht="27" thickBot="1" x14ac:dyDescent="0.45">
      <c r="A1" s="1179" t="s">
        <v>1641</v>
      </c>
      <c r="B1" s="1179"/>
      <c r="C1" s="1181" t="s">
        <v>2135</v>
      </c>
      <c r="D1" s="1182"/>
      <c r="E1" s="1182"/>
      <c r="F1" s="1183"/>
      <c r="H1" s="1181" t="s">
        <v>2136</v>
      </c>
      <c r="I1" s="1182"/>
      <c r="J1" s="1182"/>
      <c r="K1" s="1182"/>
      <c r="L1" s="1183"/>
    </row>
    <row r="2" spans="1:12" ht="79.5" thickBot="1" x14ac:dyDescent="0.3">
      <c r="A2" s="1180"/>
      <c r="B2" s="1180"/>
      <c r="C2" s="939" t="s">
        <v>1642</v>
      </c>
      <c r="D2" s="940" t="s">
        <v>1646</v>
      </c>
      <c r="E2" s="940" t="s">
        <v>1648</v>
      </c>
      <c r="F2" s="941" t="s">
        <v>1650</v>
      </c>
      <c r="G2" s="1184"/>
      <c r="H2" s="939" t="s">
        <v>1645</v>
      </c>
      <c r="I2" s="940" t="s">
        <v>1643</v>
      </c>
      <c r="J2" s="940" t="s">
        <v>1644</v>
      </c>
      <c r="K2" s="940" t="s">
        <v>1649</v>
      </c>
      <c r="L2" s="941" t="s">
        <v>1647</v>
      </c>
    </row>
    <row r="3" spans="1:12" ht="15.75" x14ac:dyDescent="0.25">
      <c r="A3" s="146" t="str">
        <f>'2.ФС для Заполнения'!B329</f>
        <v>1С:УПП 1.3.</v>
      </c>
      <c r="B3" s="934" t="str">
        <f>'2.ФС для Заполнения'!AA329</f>
        <v>НЕТ</v>
      </c>
      <c r="C3" s="936"/>
      <c r="D3" s="924"/>
      <c r="E3" s="924" t="s">
        <v>2147</v>
      </c>
      <c r="F3" s="925"/>
      <c r="G3" s="1184"/>
      <c r="H3" s="936"/>
      <c r="I3" s="924"/>
      <c r="J3" s="924"/>
      <c r="K3" s="924"/>
      <c r="L3" s="925"/>
    </row>
    <row r="4" spans="1:12" ht="94.5" x14ac:dyDescent="0.25">
      <c r="A4" s="115" t="str">
        <f>'2.ФС для Заполнения'!B330</f>
        <v>1С:Бухгалтерия 8 вер.3 (Вариант 1) Отображение   факта доходов и расходов, ДДС в проектном бюджетировании автоматически по данным «1С: Бухгалтерия 8 ПРОФ»  (Возможно включение в Кейс с увеличением стоимости) Не применимо для целей 4.5; 4.6.)</v>
      </c>
      <c r="B4" s="223" t="str">
        <f>'2.ФС для Заполнения'!AA330</f>
        <v>НЕТ</v>
      </c>
      <c r="C4" s="937"/>
      <c r="D4" s="926"/>
      <c r="E4" s="926" t="s">
        <v>2147</v>
      </c>
      <c r="F4" s="927"/>
      <c r="G4" s="1184"/>
      <c r="H4" s="937"/>
      <c r="I4" s="926"/>
      <c r="J4" s="926"/>
      <c r="K4" s="926"/>
      <c r="L4" s="927"/>
    </row>
    <row r="5" spans="1:12" ht="47.25" x14ac:dyDescent="0.25">
      <c r="A5" s="146" t="str">
        <f>'2.ФС для Заполнения'!B331</f>
        <v>1С:Бухгалтерия 8 вер.3 (Вариант 2) (или вер. 2) Обмен НСИ и первичной документацией с ERP+PM (Используется для целей 4.5; 4.6)</v>
      </c>
      <c r="B5" s="935" t="str">
        <f>'2.ФС для Заполнения'!AA331</f>
        <v>НЕТ</v>
      </c>
      <c r="C5" s="928"/>
      <c r="D5" s="929"/>
      <c r="E5" s="926" t="s">
        <v>2147</v>
      </c>
      <c r="F5" s="930"/>
      <c r="G5" s="1184"/>
      <c r="H5" s="928"/>
      <c r="I5" s="929"/>
      <c r="J5" s="929"/>
      <c r="K5" s="929"/>
      <c r="L5" s="930"/>
    </row>
    <row r="6" spans="1:12" ht="47.25" x14ac:dyDescent="0.25">
      <c r="A6" s="146" t="str">
        <f>'2.ФС для Заполнения'!B332</f>
        <v xml:space="preserve">1С:Зарплата и управление персоналом 8 вер.3 (или вер. 2.5) Выгрузка Данных для расчёта ЗП из контура PM в ЗУП </v>
      </c>
      <c r="B6" s="223" t="str">
        <f>'2.ФС для Заполнения'!AA332</f>
        <v>НЕТ</v>
      </c>
      <c r="C6" s="928"/>
      <c r="D6" s="929"/>
      <c r="E6" s="926" t="s">
        <v>2147</v>
      </c>
      <c r="F6" s="930"/>
      <c r="G6" s="1184"/>
      <c r="H6" s="928"/>
      <c r="I6" s="929"/>
      <c r="J6" s="929"/>
      <c r="K6" s="929"/>
      <c r="L6" s="930"/>
    </row>
    <row r="7" spans="1:12" ht="47.25" x14ac:dyDescent="0.25">
      <c r="A7" s="146" t="str">
        <f>'2.ФС для Заполнения'!B333</f>
        <v>1С:Зарплата и управление персоналом 8 вер.3 (или вер. 2.5) Начисленная ЗП для распределения в контуре ERP (используется для целей 7.6.)</v>
      </c>
      <c r="B7" s="223" t="str">
        <f>'2.ФС для Заполнения'!AA333</f>
        <v>НЕТ</v>
      </c>
      <c r="C7" s="928"/>
      <c r="D7" s="929"/>
      <c r="E7" s="926" t="s">
        <v>2147</v>
      </c>
      <c r="F7" s="930"/>
      <c r="G7" s="1184"/>
      <c r="H7" s="928"/>
      <c r="I7" s="929"/>
      <c r="J7" s="929"/>
      <c r="K7" s="929"/>
      <c r="L7" s="930"/>
    </row>
    <row r="8" spans="1:12" ht="78.75" x14ac:dyDescent="0.25">
      <c r="A8" s="146" t="str">
        <f>'2.ФС для Заполнения'!B334</f>
        <v>1С:Зарплата и управление персоналом 8 вер.3 (или вер. 2.5) Синхронизация структуры ролей и трудовых ресурсов с учетом приема и кадровых перемещений (без учета перепланирования проектов)</v>
      </c>
      <c r="B8" s="223" t="str">
        <f>'2.ФС для Заполнения'!AA334</f>
        <v>НЕТ</v>
      </c>
      <c r="C8" s="928"/>
      <c r="D8" s="929"/>
      <c r="E8" s="926" t="s">
        <v>2147</v>
      </c>
      <c r="F8" s="930"/>
      <c r="G8" s="1184"/>
      <c r="H8" s="928"/>
      <c r="I8" s="929"/>
      <c r="J8" s="929"/>
      <c r="K8" s="929"/>
      <c r="L8" s="930"/>
    </row>
    <row r="9" spans="1:12" ht="47.25" x14ac:dyDescent="0.25">
      <c r="A9" s="146" t="str">
        <f>'2.ФС для Заполнения'!B335</f>
        <v>1С:Управление холдингом (либо 1С:Консолидация). Обмен НСИ и первичкой для целей проектного бюджетирования</v>
      </c>
      <c r="B9" s="223" t="str">
        <f>'2.ФС для Заполнения'!AA335</f>
        <v>НЕТ</v>
      </c>
      <c r="C9" s="928"/>
      <c r="D9" s="929"/>
      <c r="E9" s="926" t="s">
        <v>2147</v>
      </c>
      <c r="F9" s="930"/>
      <c r="G9" s="1184"/>
      <c r="H9" s="928"/>
      <c r="I9" s="929"/>
      <c r="J9" s="929"/>
      <c r="K9" s="929"/>
      <c r="L9" s="930"/>
    </row>
    <row r="10" spans="1:12" ht="45" x14ac:dyDescent="0.25">
      <c r="A10" s="121" t="str">
        <f>'2.ФС для Заполнения'!B336</f>
        <v>1С:Управление холдингом (либо 1С:Консолидация) Обмен проектными данными для целей корпоративного бюджетирования и казначейства</v>
      </c>
      <c r="B10" s="223" t="str">
        <f>'2.ФС для Заполнения'!AA336</f>
        <v>НЕТ</v>
      </c>
      <c r="C10" s="928"/>
      <c r="D10" s="929"/>
      <c r="E10" s="926" t="s">
        <v>2147</v>
      </c>
      <c r="F10" s="930"/>
      <c r="G10" s="1184"/>
      <c r="H10" s="928"/>
      <c r="I10" s="929"/>
      <c r="J10" s="929"/>
      <c r="K10" s="929"/>
      <c r="L10" s="930"/>
    </row>
    <row r="11" spans="1:12" x14ac:dyDescent="0.25">
      <c r="A11" s="121" t="str">
        <f>'2.ФС для Заполнения'!B337</f>
        <v>Oracle Primavera</v>
      </c>
      <c r="B11" s="223" t="str">
        <f>'2.ФС для Заполнения'!AA337</f>
        <v>НЕТ</v>
      </c>
      <c r="C11" s="938"/>
      <c r="D11" s="929"/>
      <c r="E11" s="926" t="s">
        <v>2147</v>
      </c>
      <c r="F11" s="930"/>
      <c r="G11" s="1184"/>
      <c r="H11" s="928"/>
      <c r="I11" s="929"/>
      <c r="J11" s="929"/>
      <c r="K11" s="929"/>
      <c r="L11" s="930"/>
    </row>
    <row r="12" spans="1:12" x14ac:dyDescent="0.25">
      <c r="A12" s="121" t="str">
        <f>'2.ФС для Заполнения'!B338</f>
        <v>SAP (или ERP система другого вендора)</v>
      </c>
      <c r="B12" s="223" t="str">
        <f>'2.ФС для Заполнения'!AA338</f>
        <v>НЕТ</v>
      </c>
      <c r="C12" s="938"/>
      <c r="D12" s="929"/>
      <c r="E12" s="926" t="s">
        <v>2147</v>
      </c>
      <c r="F12" s="930"/>
      <c r="G12" s="1184"/>
      <c r="H12" s="928"/>
      <c r="I12" s="929"/>
      <c r="J12" s="929"/>
      <c r="K12" s="929"/>
      <c r="L12" s="930"/>
    </row>
    <row r="13" spans="1:12" x14ac:dyDescent="0.25">
      <c r="A13" s="121" t="str">
        <f>'2.ФС для Заполнения'!B339</f>
        <v>Lotus Notes (или СЭД других вендоров)</v>
      </c>
      <c r="B13" s="223" t="str">
        <f>'2.ФС для Заполнения'!AA339</f>
        <v>НЕТ</v>
      </c>
      <c r="C13" s="938"/>
      <c r="D13" s="929"/>
      <c r="E13" s="926" t="s">
        <v>2147</v>
      </c>
      <c r="F13" s="930"/>
      <c r="G13" s="1184"/>
      <c r="H13" s="928"/>
      <c r="I13" s="929"/>
      <c r="J13" s="929"/>
      <c r="K13" s="929"/>
      <c r="L13" s="930"/>
    </row>
    <row r="14" spans="1:12" ht="30" x14ac:dyDescent="0.25">
      <c r="A14" s="121" t="str">
        <f>'2.ФС для Заполнения'!B340</f>
        <v>Bitrix 24 (Возможно включение в Кейс с увеличением стоимости) (оценку подтвердить у Ватенкина Александра)</v>
      </c>
      <c r="B14" s="223" t="str">
        <f>'2.ФС для Заполнения'!AA340</f>
        <v>НЕТ</v>
      </c>
      <c r="C14" s="928"/>
      <c r="D14" s="929"/>
      <c r="E14" s="926" t="s">
        <v>2147</v>
      </c>
      <c r="F14" s="930"/>
      <c r="G14" s="1184"/>
      <c r="H14" s="928"/>
      <c r="I14" s="929"/>
      <c r="J14" s="929"/>
      <c r="K14" s="929"/>
      <c r="L14" s="930"/>
    </row>
    <row r="15" spans="1:12" ht="15.75" x14ac:dyDescent="0.25">
      <c r="A15" s="146" t="str">
        <f>'2.ФС для Заполнения'!B341</f>
        <v>1С:____</v>
      </c>
      <c r="B15" s="223" t="str">
        <f>'2.ФС для Заполнения'!AA341</f>
        <v>НЕТ</v>
      </c>
      <c r="C15" s="928"/>
      <c r="D15" s="929"/>
      <c r="E15" s="926" t="s">
        <v>2147</v>
      </c>
      <c r="F15" s="930"/>
      <c r="G15" s="1184"/>
      <c r="H15" s="928"/>
      <c r="I15" s="929"/>
      <c r="J15" s="929"/>
      <c r="K15" s="929"/>
      <c r="L15" s="930"/>
    </row>
    <row r="16" spans="1:12" ht="15.75" x14ac:dyDescent="0.25">
      <c r="A16" s="146" t="str">
        <f>'2.ФС для Заполнения'!B342</f>
        <v>1С:____</v>
      </c>
      <c r="B16" s="223" t="str">
        <f>'2.ФС для Заполнения'!AA342</f>
        <v>НЕТ</v>
      </c>
      <c r="C16" s="928"/>
      <c r="D16" s="929"/>
      <c r="E16" s="926" t="s">
        <v>2147</v>
      </c>
      <c r="F16" s="930"/>
      <c r="G16" s="1184"/>
      <c r="H16" s="928"/>
      <c r="I16" s="929"/>
      <c r="J16" s="929"/>
      <c r="K16" s="929"/>
      <c r="L16" s="930"/>
    </row>
    <row r="17" spans="1:12" ht="15.75" x14ac:dyDescent="0.25">
      <c r="A17" s="146" t="str">
        <f>'2.ФС для Заполнения'!B343</f>
        <v>1С:____</v>
      </c>
      <c r="B17" s="223" t="str">
        <f>'2.ФС для Заполнения'!AA343</f>
        <v>НЕТ</v>
      </c>
      <c r="C17" s="928"/>
      <c r="D17" s="929"/>
      <c r="E17" s="926" t="s">
        <v>2147</v>
      </c>
      <c r="F17" s="930"/>
      <c r="G17" s="1184"/>
      <c r="H17" s="928"/>
      <c r="I17" s="929"/>
      <c r="J17" s="929"/>
      <c r="K17" s="929"/>
      <c r="L17" s="930"/>
    </row>
    <row r="18" spans="1:12" ht="15.75" x14ac:dyDescent="0.25">
      <c r="A18" s="146" t="str">
        <f>'2.ФС для Заполнения'!B344</f>
        <v>1С:____</v>
      </c>
      <c r="B18" s="223" t="str">
        <f>'2.ФС для Заполнения'!AA344</f>
        <v>НЕТ</v>
      </c>
      <c r="C18" s="928"/>
      <c r="D18" s="929"/>
      <c r="E18" s="926" t="s">
        <v>2147</v>
      </c>
      <c r="F18" s="930"/>
      <c r="G18" s="1184"/>
      <c r="H18" s="928"/>
      <c r="I18" s="929"/>
      <c r="J18" s="929"/>
      <c r="K18" s="929"/>
      <c r="L18" s="930"/>
    </row>
    <row r="19" spans="1:12" ht="15.75" x14ac:dyDescent="0.25">
      <c r="A19" s="146" t="str">
        <f>'2.ФС для Заполнения'!B345</f>
        <v>1С:____</v>
      </c>
      <c r="B19" s="223" t="str">
        <f>'2.ФС для Заполнения'!AA345</f>
        <v>НЕТ</v>
      </c>
      <c r="C19" s="928"/>
      <c r="D19" s="929"/>
      <c r="E19" s="926" t="s">
        <v>2147</v>
      </c>
      <c r="F19" s="930"/>
      <c r="G19" s="1184"/>
      <c r="H19" s="928"/>
      <c r="I19" s="929"/>
      <c r="J19" s="929"/>
      <c r="K19" s="929"/>
      <c r="L19" s="930"/>
    </row>
    <row r="20" spans="1:12" ht="15.75" x14ac:dyDescent="0.25">
      <c r="A20" s="146" t="str">
        <f>'2.ФС для Заполнения'!B346</f>
        <v>1С:____</v>
      </c>
      <c r="B20" s="223" t="str">
        <f>'2.ФС для Заполнения'!AA346</f>
        <v>НЕТ</v>
      </c>
      <c r="C20" s="928"/>
      <c r="D20" s="929"/>
      <c r="E20" s="929" t="s">
        <v>2147</v>
      </c>
      <c r="F20" s="930"/>
      <c r="G20" s="1184"/>
      <c r="H20" s="928"/>
      <c r="I20" s="929"/>
      <c r="J20" s="929"/>
      <c r="K20" s="929"/>
      <c r="L20" s="930"/>
    </row>
    <row r="21" spans="1:12" ht="15.75" x14ac:dyDescent="0.25">
      <c r="A21" s="146" t="str">
        <f>'2.ФС для Заполнения'!B347</f>
        <v>1С:____</v>
      </c>
      <c r="B21" s="223" t="str">
        <f>'2.ФС для Заполнения'!AA347</f>
        <v>НЕТ</v>
      </c>
      <c r="C21" s="928"/>
      <c r="D21" s="929"/>
      <c r="E21" s="929" t="s">
        <v>2147</v>
      </c>
      <c r="F21" s="930"/>
      <c r="G21" s="1184"/>
      <c r="H21" s="928"/>
      <c r="I21" s="929"/>
      <c r="J21" s="929"/>
      <c r="K21" s="929"/>
      <c r="L21" s="930"/>
    </row>
    <row r="22" spans="1:12" x14ac:dyDescent="0.25">
      <c r="A22" s="121" t="str">
        <f>'2.ФС для Заполнения'!B348</f>
        <v>Др. вендор</v>
      </c>
      <c r="B22" s="223" t="str">
        <f>'2.ФС для Заполнения'!AA348</f>
        <v>НЕТ</v>
      </c>
      <c r="C22" s="928"/>
      <c r="D22" s="929"/>
      <c r="E22" s="929" t="s">
        <v>2147</v>
      </c>
      <c r="F22" s="930"/>
      <c r="G22" s="1184"/>
      <c r="H22" s="928"/>
      <c r="I22" s="929"/>
      <c r="J22" s="929"/>
      <c r="K22" s="929"/>
      <c r="L22" s="930"/>
    </row>
    <row r="23" spans="1:12" x14ac:dyDescent="0.25">
      <c r="A23" s="121" t="str">
        <f>'2.ФС для Заполнения'!B349</f>
        <v>Др. вендор</v>
      </c>
      <c r="B23" s="223" t="str">
        <f>'2.ФС для Заполнения'!AA349</f>
        <v>НЕТ</v>
      </c>
      <c r="C23" s="928"/>
      <c r="D23" s="929"/>
      <c r="E23" s="929" t="s">
        <v>2147</v>
      </c>
      <c r="F23" s="930"/>
      <c r="G23" s="1184"/>
      <c r="H23" s="928"/>
      <c r="I23" s="929"/>
      <c r="J23" s="929"/>
      <c r="K23" s="929"/>
      <c r="L23" s="930"/>
    </row>
    <row r="24" spans="1:12" x14ac:dyDescent="0.25">
      <c r="A24" s="121" t="str">
        <f>'2.ФС для Заполнения'!B350</f>
        <v>Др. вендор</v>
      </c>
      <c r="B24" s="223" t="str">
        <f>'2.ФС для Заполнения'!AA350</f>
        <v>НЕТ</v>
      </c>
      <c r="C24" s="928"/>
      <c r="D24" s="929"/>
      <c r="E24" s="929" t="s">
        <v>2147</v>
      </c>
      <c r="F24" s="930"/>
      <c r="G24" s="1184"/>
      <c r="H24" s="928"/>
      <c r="I24" s="929"/>
      <c r="J24" s="929"/>
      <c r="K24" s="929"/>
      <c r="L24" s="930"/>
    </row>
    <row r="25" spans="1:12" x14ac:dyDescent="0.25">
      <c r="A25" s="121" t="str">
        <f>'2.ФС для Заполнения'!B351</f>
        <v>Др. вендор</v>
      </c>
      <c r="B25" s="223" t="str">
        <f>'2.ФС для Заполнения'!AA351</f>
        <v>НЕТ</v>
      </c>
      <c r="C25" s="928"/>
      <c r="D25" s="929"/>
      <c r="E25" s="929" t="s">
        <v>2147</v>
      </c>
      <c r="F25" s="930"/>
      <c r="G25" s="1184"/>
      <c r="H25" s="928"/>
      <c r="I25" s="929"/>
      <c r="J25" s="929"/>
      <c r="K25" s="929"/>
      <c r="L25" s="930"/>
    </row>
    <row r="26" spans="1:12" x14ac:dyDescent="0.25">
      <c r="A26" s="121" t="str">
        <f>'2.ФС для Заполнения'!B352</f>
        <v>Др. вендор</v>
      </c>
      <c r="B26" s="223" t="str">
        <f>'2.ФС для Заполнения'!AA352</f>
        <v>НЕТ</v>
      </c>
      <c r="C26" s="928"/>
      <c r="D26" s="929"/>
      <c r="E26" s="929" t="s">
        <v>2147</v>
      </c>
      <c r="F26" s="930"/>
      <c r="G26" s="1184"/>
      <c r="H26" s="928"/>
      <c r="I26" s="929"/>
      <c r="J26" s="929"/>
      <c r="K26" s="929"/>
      <c r="L26" s="930"/>
    </row>
    <row r="27" spans="1:12" x14ac:dyDescent="0.25">
      <c r="A27" s="121" t="str">
        <f>'2.ФС для Заполнения'!B353</f>
        <v>Др. вендор</v>
      </c>
      <c r="B27" s="223" t="str">
        <f>'2.ФС для Заполнения'!AA353</f>
        <v>НЕТ</v>
      </c>
      <c r="C27" s="928"/>
      <c r="D27" s="929"/>
      <c r="E27" s="929" t="s">
        <v>2147</v>
      </c>
      <c r="F27" s="930"/>
      <c r="G27" s="1184"/>
      <c r="H27" s="928"/>
      <c r="I27" s="929"/>
      <c r="J27" s="929"/>
      <c r="K27" s="929"/>
      <c r="L27" s="930"/>
    </row>
    <row r="28" spans="1:12" x14ac:dyDescent="0.25">
      <c r="A28" s="121" t="str">
        <f>'2.ФС для Заполнения'!B354</f>
        <v>Др. вендор</v>
      </c>
      <c r="B28" s="223" t="str">
        <f>'2.ФС для Заполнения'!AA354</f>
        <v>НЕТ</v>
      </c>
      <c r="C28" s="928"/>
      <c r="D28" s="929"/>
      <c r="E28" s="929" t="s">
        <v>2147</v>
      </c>
      <c r="F28" s="930"/>
      <c r="G28" s="1184"/>
      <c r="H28" s="928"/>
      <c r="I28" s="929"/>
      <c r="J28" s="929"/>
      <c r="K28" s="929"/>
      <c r="L28" s="930"/>
    </row>
    <row r="29" spans="1:12" ht="15.75" thickBot="1" x14ac:dyDescent="0.3">
      <c r="A29" s="155" t="str">
        <f>'2.ФС для Заполнения'!B355</f>
        <v>Др. вендор</v>
      </c>
      <c r="B29" s="223" t="str">
        <f>'2.ФС для Заполнения'!AA355</f>
        <v>НЕТ</v>
      </c>
      <c r="C29" s="931"/>
      <c r="D29" s="932"/>
      <c r="E29" s="932" t="s">
        <v>2147</v>
      </c>
      <c r="F29" s="933"/>
      <c r="G29" s="1184"/>
      <c r="H29" s="931"/>
      <c r="I29" s="932"/>
      <c r="J29" s="932"/>
      <c r="K29" s="932"/>
      <c r="L29" s="933"/>
    </row>
    <row r="31" spans="1:12" ht="18.75" x14ac:dyDescent="0.3">
      <c r="A31" s="942" t="s">
        <v>2149</v>
      </c>
    </row>
    <row r="32" spans="1:12" ht="62.25" customHeight="1" x14ac:dyDescent="0.25">
      <c r="A32" s="1178" t="s">
        <v>2148</v>
      </c>
      <c r="B32" s="1178"/>
      <c r="C32" s="1178"/>
      <c r="D32" s="1178"/>
      <c r="E32" s="1178"/>
    </row>
  </sheetData>
  <autoFilter ref="A1:F29" xr:uid="{00000000-0009-0000-0000-000005000000}">
    <filterColumn colId="2" showButton="0"/>
    <filterColumn colId="3" showButton="0"/>
    <filterColumn colId="4" showButton="0"/>
  </autoFilter>
  <mergeCells count="6">
    <mergeCell ref="A32:E32"/>
    <mergeCell ref="A1:A2"/>
    <mergeCell ref="C1:F1"/>
    <mergeCell ref="H1:L1"/>
    <mergeCell ref="G2:G29"/>
    <mergeCell ref="B1:B2"/>
  </mergeCells>
  <conditionalFormatting sqref="B3:B29">
    <cfRule type="cellIs" dxfId="198" priority="1" operator="equal">
      <formula>"НЕТ"</formula>
    </cfRule>
    <cfRule type="cellIs" dxfId="197" priority="2" operator="equal">
      <formula>"ДА"</formula>
    </cfRule>
  </conditionalFormatting>
  <conditionalFormatting sqref="C9 F9 H9 K9">
    <cfRule type="cellIs" dxfId="196" priority="5" operator="equal">
      <formula>"НЕТ"</formula>
    </cfRule>
    <cfRule type="cellIs" dxfId="195" priority="6" operator="equal">
      <formula>"ДА"</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66"/>
  <sheetViews>
    <sheetView tabSelected="1" zoomScale="70" zoomScaleNormal="70" workbookViewId="0">
      <pane xSplit="5" ySplit="2" topLeftCell="F3" activePane="bottomRight" state="frozen"/>
      <selection pane="topRight" activeCell="F1" sqref="F1"/>
      <selection pane="bottomLeft" activeCell="A3" sqref="A3"/>
      <selection pane="bottomRight" activeCell="B70" sqref="B70"/>
    </sheetView>
  </sheetViews>
  <sheetFormatPr defaultColWidth="9.28515625" defaultRowHeight="15" outlineLevelCol="1" x14ac:dyDescent="0.25"/>
  <cols>
    <col min="1" max="1" width="2.7109375" customWidth="1"/>
    <col min="2" max="2" width="61.42578125" style="1" customWidth="1"/>
    <col min="3" max="3" width="20.5703125" style="1" customWidth="1"/>
    <col min="4" max="4" width="22.42578125" style="1" customWidth="1"/>
    <col min="5" max="5" width="13" style="1" customWidth="1"/>
    <col min="6" max="6" width="23.42578125" style="1" customWidth="1" collapsed="1"/>
    <col min="7" max="7" width="98.7109375" style="1" hidden="1" customWidth="1" outlineLevel="1"/>
    <col min="8" max="8" width="23.42578125" style="1" customWidth="1" collapsed="1"/>
    <col min="9" max="9" width="98.7109375" style="1" hidden="1" customWidth="1" outlineLevel="1"/>
    <col min="10" max="10" width="23.42578125" style="1" customWidth="1" collapsed="1"/>
    <col min="11" max="11" width="98.7109375" style="1" hidden="1" customWidth="1" outlineLevel="1"/>
    <col min="12" max="14" width="23.42578125" style="1" customWidth="1"/>
    <col min="15" max="16384" width="9.28515625" style="1"/>
  </cols>
  <sheetData>
    <row r="1" spans="2:14" ht="18.75" customHeight="1" thickBot="1" x14ac:dyDescent="0.3">
      <c r="B1" s="1185" t="s">
        <v>2165</v>
      </c>
      <c r="C1" s="1185"/>
      <c r="D1" s="1185"/>
      <c r="E1" s="1186"/>
      <c r="F1" s="1200" t="s">
        <v>713</v>
      </c>
      <c r="G1" s="1201"/>
      <c r="H1" s="1201"/>
      <c r="I1" s="1201"/>
      <c r="J1" s="1202"/>
      <c r="K1" s="784"/>
      <c r="L1" s="517" t="s">
        <v>714</v>
      </c>
      <c r="M1" s="517" t="s">
        <v>715</v>
      </c>
      <c r="N1" s="518" t="s">
        <v>504</v>
      </c>
    </row>
    <row r="2" spans="2:14" ht="35.25" thickBot="1" x14ac:dyDescent="0.3">
      <c r="B2" s="1188" t="s">
        <v>0</v>
      </c>
      <c r="C2" s="1189"/>
      <c r="D2" s="1189"/>
      <c r="E2" s="1190"/>
      <c r="F2" s="782" t="s">
        <v>712</v>
      </c>
      <c r="G2" s="785" t="s">
        <v>1445</v>
      </c>
      <c r="H2" s="422" t="s">
        <v>711</v>
      </c>
      <c r="I2" s="785" t="s">
        <v>1445</v>
      </c>
      <c r="J2" s="192" t="s">
        <v>719</v>
      </c>
      <c r="K2" s="785" t="s">
        <v>1445</v>
      </c>
    </row>
    <row r="3" spans="2:14" ht="18" thickBot="1" x14ac:dyDescent="0.3">
      <c r="B3" s="1207"/>
      <c r="C3" s="1208"/>
      <c r="D3" s="1208"/>
      <c r="E3" s="1209"/>
      <c r="F3" s="624" t="s">
        <v>246</v>
      </c>
      <c r="G3" s="782"/>
      <c r="H3" s="624" t="s">
        <v>246</v>
      </c>
      <c r="I3" s="782"/>
      <c r="J3" s="624" t="s">
        <v>246</v>
      </c>
      <c r="K3" s="782"/>
      <c r="L3" s="623" t="s">
        <v>243</v>
      </c>
      <c r="M3" s="623" t="s">
        <v>243</v>
      </c>
      <c r="N3" s="623" t="s">
        <v>243</v>
      </c>
    </row>
    <row r="4" spans="2:14" ht="16.5" thickBot="1" x14ac:dyDescent="0.3">
      <c r="B4" s="1210" t="s">
        <v>716</v>
      </c>
      <c r="C4" s="1211"/>
      <c r="D4" s="1211"/>
      <c r="E4" s="1212"/>
      <c r="F4" s="627">
        <f t="shared" ref="F4:N4" si="0">SUM(F5:F20)</f>
        <v>3677400</v>
      </c>
      <c r="G4" s="786"/>
      <c r="H4" s="627">
        <f t="shared" si="0"/>
        <v>5297400</v>
      </c>
      <c r="I4" s="786"/>
      <c r="J4" s="627">
        <f t="shared" si="0"/>
        <v>9292320</v>
      </c>
      <c r="K4" s="786"/>
      <c r="L4" s="628">
        <f t="shared" si="0"/>
        <v>0</v>
      </c>
      <c r="M4" s="627">
        <f t="shared" si="0"/>
        <v>0</v>
      </c>
      <c r="N4" s="627">
        <f t="shared" si="0"/>
        <v>0</v>
      </c>
    </row>
    <row r="5" spans="2:14" x14ac:dyDescent="0.25">
      <c r="B5" s="1204" t="s">
        <v>283</v>
      </c>
      <c r="C5" s="1205"/>
      <c r="D5" s="1205"/>
      <c r="E5" s="1206"/>
      <c r="F5" s="631">
        <f>IF(F$3="ДА",'Очередь 1 Кейс-Совм'!F74,0)</f>
        <v>0</v>
      </c>
      <c r="G5" s="787"/>
      <c r="H5" s="629">
        <f>IF(H$3="ДА",'Очередь 1 Кейс-Совм'!Q74,0)</f>
        <v>0</v>
      </c>
      <c r="I5" s="787"/>
      <c r="J5" s="630">
        <f>IF(J$3="ДА",'Очередь 1 ПРОФ_КОРП'!P73,0)</f>
        <v>0</v>
      </c>
      <c r="K5" s="787"/>
      <c r="L5" s="631">
        <f>IF(L$3="ДА",'Очередь 2 ПРОФ_КОРП'!P72,0)</f>
        <v>0</v>
      </c>
      <c r="M5" s="629">
        <f>IF(M$3="ДА",'Очередь 3 ПРОФ_КОРП'!P72,0)</f>
        <v>0</v>
      </c>
      <c r="N5" s="630">
        <f>IF(N$3="ДА",'Развитие ПРОФ_КОРП'!N72,0)</f>
        <v>0</v>
      </c>
    </row>
    <row r="6" spans="2:14" x14ac:dyDescent="0.25">
      <c r="B6" s="1191" t="s">
        <v>282</v>
      </c>
      <c r="C6" s="1192"/>
      <c r="D6" s="1192"/>
      <c r="E6" s="1193"/>
      <c r="F6" s="634">
        <f>IF(F$3="ДА",'Очередь 1 Кейс-Совм'!F75,0)</f>
        <v>0</v>
      </c>
      <c r="G6" s="625"/>
      <c r="H6" s="632">
        <f>IF(H$3="ДА",'Очередь 1 Кейс-Совм'!Q75,0)</f>
        <v>0</v>
      </c>
      <c r="I6" s="625"/>
      <c r="J6" s="633">
        <f>IF(J$3="ДА",'Очередь 1 ПРОФ_КОРП'!P74,0)</f>
        <v>0</v>
      </c>
      <c r="K6" s="625"/>
      <c r="L6" s="634">
        <f>IF(L$3="ДА",'Очередь 2 ПРОФ_КОРП'!P73,0)</f>
        <v>0</v>
      </c>
      <c r="M6" s="632">
        <f>IF(M$3="ДА",'Очередь 3 ПРОФ_КОРП'!P73,0)</f>
        <v>0</v>
      </c>
      <c r="N6" s="633">
        <f>IF(N$3="ДА",'Развитие ПРОФ_КОРП'!N73,0)</f>
        <v>0</v>
      </c>
    </row>
    <row r="7" spans="2:14" ht="174" customHeight="1" x14ac:dyDescent="0.25">
      <c r="B7" s="1191" t="s">
        <v>699</v>
      </c>
      <c r="C7" s="1192"/>
      <c r="D7" s="1192"/>
      <c r="E7" s="1193"/>
      <c r="F7" s="634">
        <f>IF(F$3="ДА",'Очередь 1 Кейс-Совм'!F76,0)</f>
        <v>324000</v>
      </c>
      <c r="G7" s="625" t="s">
        <v>1608</v>
      </c>
      <c r="H7" s="632">
        <f>IF(H$3="ДА",'Очередь 1 Кейс-Совм'!Q76,0)</f>
        <v>324000</v>
      </c>
      <c r="I7" s="625" t="s">
        <v>1608</v>
      </c>
      <c r="J7" s="633">
        <f>IF(J$3="ДА",'Очередь 1 ПРОФ_КОРП'!P75,0)</f>
        <v>583200</v>
      </c>
      <c r="K7" s="625" t="s">
        <v>1437</v>
      </c>
      <c r="L7" s="634">
        <f>IF(L$3="ДА",'Очередь 2 ПРОФ_КОРП'!P74,0)</f>
        <v>0</v>
      </c>
      <c r="M7" s="632">
        <f>IF(M$3="ДА",'Очередь 3 ПРОФ_КОРП'!P74,0)</f>
        <v>0</v>
      </c>
      <c r="N7" s="633">
        <f>IF(N$3="ДА",'Развитие ПРОФ_КОРП'!N74,0)</f>
        <v>0</v>
      </c>
    </row>
    <row r="8" spans="2:14" ht="151.5" customHeight="1" x14ac:dyDescent="0.25">
      <c r="B8" s="1191" t="s">
        <v>1</v>
      </c>
      <c r="C8" s="1192"/>
      <c r="D8" s="1192"/>
      <c r="E8" s="1193"/>
      <c r="F8" s="634">
        <f>IF(F$3="ДА",'Очередь 1 Кейс-Совм'!F77,0)</f>
        <v>0</v>
      </c>
      <c r="G8" s="625"/>
      <c r="H8" s="632">
        <f>IF(H$3="ДА",'Очередь 1 Кейс-Совм'!Q77,0)</f>
        <v>712800</v>
      </c>
      <c r="I8" s="625" t="s">
        <v>1609</v>
      </c>
      <c r="J8" s="633">
        <f>IF(J$3="ДА",'Очередь 1 ПРОФ_КОРП'!P76,0)</f>
        <v>1036800</v>
      </c>
      <c r="K8" s="625" t="s">
        <v>1438</v>
      </c>
      <c r="L8" s="634">
        <f>IF(L$3="ДА",'Очередь 2 ПРОФ_КОРП'!P75,0)</f>
        <v>0</v>
      </c>
      <c r="M8" s="632">
        <f>IF(M$3="ДА",'Очередь 3 ПРОФ_КОРП'!P75,0)</f>
        <v>0</v>
      </c>
      <c r="N8" s="633">
        <f>IF(N$3="ДА",'Развитие ПРОФ_КОРП'!N75,0)</f>
        <v>0</v>
      </c>
    </row>
    <row r="9" spans="2:14" ht="108" customHeight="1" x14ac:dyDescent="0.25">
      <c r="B9" s="1191" t="s">
        <v>277</v>
      </c>
      <c r="C9" s="1192"/>
      <c r="D9" s="1192"/>
      <c r="E9" s="1193"/>
      <c r="F9" s="634">
        <f>IF(F$3="ДА",'Очередь 1 Кейс-Совм'!F78,0)</f>
        <v>0</v>
      </c>
      <c r="G9" s="625"/>
      <c r="H9" s="632">
        <f>IF(H$3="ДА",'Очередь 1 Кейс-Совм'!Q78,0)</f>
        <v>0</v>
      </c>
      <c r="I9" s="625"/>
      <c r="J9" s="633">
        <f>IF(J$3="ДА",'Очередь 1 ПРОФ_КОРП'!P77,0)</f>
        <v>1555200</v>
      </c>
      <c r="K9" s="625" t="s">
        <v>1439</v>
      </c>
      <c r="L9" s="634">
        <f>IF(L$3="ДА",'Очередь 2 ПРОФ_КОРП'!P76,0)</f>
        <v>0</v>
      </c>
      <c r="M9" s="632">
        <f>IF(M$3="ДА",'Очередь 3 ПРОФ_КОРП'!P76,0)</f>
        <v>0</v>
      </c>
      <c r="N9" s="633">
        <f>IF(N$3="ДА",'Развитие ПРОФ_КОРП'!N76,0)</f>
        <v>0</v>
      </c>
    </row>
    <row r="10" spans="2:14" x14ac:dyDescent="0.25">
      <c r="B10" s="1191" t="s">
        <v>278</v>
      </c>
      <c r="C10" s="1192"/>
      <c r="D10" s="1192"/>
      <c r="E10" s="1193"/>
      <c r="F10" s="634">
        <f>IF(F$3="ДА",'Очередь 1 Кейс-Совм'!F79,0)</f>
        <v>0</v>
      </c>
      <c r="G10" s="625"/>
      <c r="H10" s="632">
        <f>IF(H$3="ДА",'Очередь 1 Кейс-Совм'!Q79,0)</f>
        <v>0</v>
      </c>
      <c r="I10" s="625"/>
      <c r="J10" s="633">
        <f>IF(J$3="ДА",'Очередь 1 ПРОФ_КОРП'!P78,0)</f>
        <v>0</v>
      </c>
      <c r="K10" s="625"/>
      <c r="L10" s="634">
        <f>IF(L$3="ДА",'Очередь 2 ПРОФ_КОРП'!P77,0)</f>
        <v>0</v>
      </c>
      <c r="M10" s="632">
        <f>IF(M$3="ДА",'Очередь 3 ПРОФ_КОРП'!P77,0)</f>
        <v>0</v>
      </c>
      <c r="N10" s="633">
        <f>IF(N$3="ДА",'Развитие ПРОФ_КОРП'!N77,0)</f>
        <v>0</v>
      </c>
    </row>
    <row r="11" spans="2:14" x14ac:dyDescent="0.25">
      <c r="B11" s="1191" t="s">
        <v>279</v>
      </c>
      <c r="C11" s="1192"/>
      <c r="D11" s="1192"/>
      <c r="E11" s="1193"/>
      <c r="F11" s="634">
        <f>IF(F$3="ДА",'Очередь 1 Кейс-Совм'!F80,0)</f>
        <v>0</v>
      </c>
      <c r="G11" s="625"/>
      <c r="H11" s="632">
        <f>IF(H$3="ДА",'Очередь 1 Кейс-Совм'!Q80,0)</f>
        <v>0</v>
      </c>
      <c r="I11" s="625"/>
      <c r="J11" s="633">
        <f>IF(J$3="ДА",'Очередь 1 ПРОФ_КОРП'!P79,0)</f>
        <v>0</v>
      </c>
      <c r="K11" s="625"/>
      <c r="L11" s="634">
        <f>IF(L$3="ДА",'Очередь 2 ПРОФ_КОРП'!P78,0)</f>
        <v>0</v>
      </c>
      <c r="M11" s="632">
        <f>IF(M$3="ДА",'Очередь 3 ПРОФ_КОРП'!P78,0)</f>
        <v>0</v>
      </c>
      <c r="N11" s="633">
        <f>IF(N$3="ДА",'Развитие ПРОФ_КОРП'!N78,0)</f>
        <v>0</v>
      </c>
    </row>
    <row r="12" spans="2:14" ht="207.75" customHeight="1" x14ac:dyDescent="0.25">
      <c r="B12" s="1194" t="s">
        <v>272</v>
      </c>
      <c r="C12" s="1195"/>
      <c r="D12" s="1195"/>
      <c r="E12" s="1196"/>
      <c r="F12" s="634">
        <f>IF(F$3="ДА",'Очередь 1 Кейс-Совм'!F81,0)</f>
        <v>1377000</v>
      </c>
      <c r="G12" s="625" t="s">
        <v>1610</v>
      </c>
      <c r="H12" s="632">
        <f>IF(H$3="ДА",'Очередь 1 Кейс-Совм'!Q81,0)</f>
        <v>1377000</v>
      </c>
      <c r="I12" s="625" t="s">
        <v>1610</v>
      </c>
      <c r="J12" s="633">
        <f>IF(J$3="ДА",'Очередь 1 ПРОФ_КОРП'!P80,0)</f>
        <v>1743120</v>
      </c>
      <c r="K12" s="625" t="s">
        <v>1440</v>
      </c>
      <c r="L12" s="634">
        <f>IF(L$3="ДА",'Очередь 2 ПРОФ_КОРП'!P79,0)</f>
        <v>0</v>
      </c>
      <c r="M12" s="632">
        <f>IF(M$3="ДА",'Очередь 3 ПРОФ_КОРП'!P79,0)</f>
        <v>0</v>
      </c>
      <c r="N12" s="633">
        <f>IF(N$3="ДА",'Развитие ПРОФ_КОРП'!N79,0)</f>
        <v>0</v>
      </c>
    </row>
    <row r="13" spans="2:14" ht="50.25" customHeight="1" x14ac:dyDescent="0.25">
      <c r="B13" s="1194" t="s">
        <v>271</v>
      </c>
      <c r="C13" s="1195"/>
      <c r="D13" s="1195"/>
      <c r="E13" s="1196"/>
      <c r="F13" s="634">
        <f>IF(F$3="ДА",'Очередь 1 Кейс-Совм'!F82,0)</f>
        <v>0</v>
      </c>
      <c r="G13" s="625"/>
      <c r="H13" s="632">
        <f>IF(H$3="ДА",'Очередь 1 Кейс-Совм'!Q82,0)</f>
        <v>907200</v>
      </c>
      <c r="I13" s="625" t="s">
        <v>1611</v>
      </c>
      <c r="J13" s="633">
        <f>IF(J$3="ДА",'Очередь 1 ПРОФ_КОРП'!P81,0)</f>
        <v>1166400</v>
      </c>
      <c r="K13" s="625" t="s">
        <v>1446</v>
      </c>
      <c r="L13" s="634">
        <f>IF(L$3="ДА",'Очередь 2 ПРОФ_КОРП'!P80,0)</f>
        <v>0</v>
      </c>
      <c r="M13" s="632">
        <f>IF(M$3="ДА",'Очередь 3 ПРОФ_КОРП'!P80,0)</f>
        <v>0</v>
      </c>
      <c r="N13" s="633">
        <f>IF(N$3="ДА",'Развитие ПРОФ_КОРП'!N80,0)</f>
        <v>0</v>
      </c>
    </row>
    <row r="14" spans="2:14" ht="88.5" customHeight="1" x14ac:dyDescent="0.25">
      <c r="B14" s="1194" t="s">
        <v>273</v>
      </c>
      <c r="C14" s="1195"/>
      <c r="D14" s="1195"/>
      <c r="E14" s="1196"/>
      <c r="F14" s="634">
        <f>IF(F$3="ДА",'Очередь 1 Кейс-Совм'!F83,0)</f>
        <v>0</v>
      </c>
      <c r="G14" s="788"/>
      <c r="H14" s="632">
        <f>IF(H$3="ДА",'Очередь 1 Кейс-Совм'!Q83,0)</f>
        <v>0</v>
      </c>
      <c r="I14" s="788"/>
      <c r="J14" s="633">
        <f>IF(J$3="ДА",'Очередь 1 ПРОФ_КОРП'!P82,0)</f>
        <v>259200</v>
      </c>
      <c r="K14" s="788" t="s">
        <v>1441</v>
      </c>
      <c r="L14" s="634">
        <f>IF(L$3="ДА",'Очередь 2 ПРОФ_КОРП'!P81,0)</f>
        <v>0</v>
      </c>
      <c r="M14" s="632">
        <f>IF(M$3="ДА",'Очередь 3 ПРОФ_КОРП'!P81,0)</f>
        <v>0</v>
      </c>
      <c r="N14" s="633">
        <f>IF(N$3="ДА",'Развитие ПРОФ_КОРП'!N81,0)</f>
        <v>0</v>
      </c>
    </row>
    <row r="15" spans="2:14" ht="49.5" customHeight="1" x14ac:dyDescent="0.25">
      <c r="B15" s="1194" t="s">
        <v>683</v>
      </c>
      <c r="C15" s="1195"/>
      <c r="D15" s="1195"/>
      <c r="E15" s="1196"/>
      <c r="F15" s="634">
        <f>IF(F$3="ДА",'Очередь 1 Кейс-Совм'!F85,0)</f>
        <v>518400</v>
      </c>
      <c r="G15" s="625" t="s">
        <v>1616</v>
      </c>
      <c r="H15" s="632">
        <f>IF(H$3="ДА",'Очередь 1 Кейс-Совм'!Q85,0)</f>
        <v>518400</v>
      </c>
      <c r="I15" s="625" t="s">
        <v>1617</v>
      </c>
      <c r="J15" s="633">
        <f>IF(J$3="ДА",'Очередь 1 ПРОФ_КОРП'!P84,0)</f>
        <v>518400</v>
      </c>
      <c r="K15" s="625" t="s">
        <v>1447</v>
      </c>
      <c r="L15" s="634">
        <f>IF(L$3="ДА",'Очередь 2 ПРОФ_КОРП'!P83,0)</f>
        <v>0</v>
      </c>
      <c r="M15" s="632">
        <f>IF(M$3="ДА",'Очередь 3 ПРОФ_КОРП'!P83,0)</f>
        <v>0</v>
      </c>
      <c r="N15" s="633">
        <f>IF(N$3="ДА",'Развитие ПРОФ_КОРП'!N83,0)</f>
        <v>0</v>
      </c>
    </row>
    <row r="16" spans="2:14" ht="39.75" customHeight="1" x14ac:dyDescent="0.25">
      <c r="B16" s="1194" t="s">
        <v>588</v>
      </c>
      <c r="C16" s="1195"/>
      <c r="D16" s="1195"/>
      <c r="E16" s="1196"/>
      <c r="F16" s="634">
        <f>IF(F$3="ДА",'Очередь 1 Кейс-Совм'!F86,0)</f>
        <v>324000</v>
      </c>
      <c r="G16" s="625" t="s">
        <v>1612</v>
      </c>
      <c r="H16" s="632">
        <f>IF(H$3="ДА",'Очередь 1 Кейс-Совм'!Q86,0)</f>
        <v>324000</v>
      </c>
      <c r="I16" s="625" t="s">
        <v>1613</v>
      </c>
      <c r="J16" s="633">
        <f>IF(J$3="ДА",'Очередь 1 ПРОФ_КОРП'!P85,0)</f>
        <v>324000</v>
      </c>
      <c r="K16" s="625" t="s">
        <v>1442</v>
      </c>
      <c r="L16" s="634">
        <f>IF(L$3="ДА",'Очередь 2 ПРОФ_КОРП'!P84,0)</f>
        <v>0</v>
      </c>
      <c r="M16" s="632">
        <f>IF(M$3="ДА",'Очередь 3 ПРОФ_КОРП'!P84,0)</f>
        <v>0</v>
      </c>
      <c r="N16" s="633">
        <f>IF(N$3="ДА",'Развитие ПРОФ_КОРП'!N84,0)</f>
        <v>0</v>
      </c>
    </row>
    <row r="17" spans="1:14" ht="69" customHeight="1" x14ac:dyDescent="0.25">
      <c r="B17" s="1194" t="s">
        <v>697</v>
      </c>
      <c r="C17" s="1195"/>
      <c r="D17" s="1195"/>
      <c r="E17" s="1196"/>
      <c r="F17" s="634">
        <f>IF(F$3="ДА",'Очередь 1 Кейс-Совм'!F87,0)</f>
        <v>1134000</v>
      </c>
      <c r="G17" s="625" t="s">
        <v>1614</v>
      </c>
      <c r="H17" s="632">
        <f>IF(H$3="ДА",'Очередь 1 Кейс-Совм'!Q87,0)</f>
        <v>1134000</v>
      </c>
      <c r="I17" s="625" t="s">
        <v>1615</v>
      </c>
      <c r="J17" s="633">
        <f>IF(J$3="ДА",'Очередь 1 ПРОФ_КОРП'!P86,0)</f>
        <v>1458000</v>
      </c>
      <c r="K17" s="625" t="s">
        <v>1443</v>
      </c>
      <c r="L17" s="634">
        <f>IF(L$3="ДА",'Очередь 2 ПРОФ_КОРП'!P85,0)</f>
        <v>0</v>
      </c>
      <c r="M17" s="632">
        <f>IF(M$3="ДА",'Очередь 3 ПРОФ_КОРП'!P85,0)</f>
        <v>0</v>
      </c>
      <c r="N17" s="633">
        <f>IF(N$3="ДА",'Развитие ПРОФ_КОРП'!N85,0)</f>
        <v>0</v>
      </c>
    </row>
    <row r="18" spans="1:14" ht="30.75" customHeight="1" x14ac:dyDescent="0.25">
      <c r="B18" s="1194" t="s">
        <v>698</v>
      </c>
      <c r="C18" s="1195"/>
      <c r="D18" s="1195"/>
      <c r="E18" s="1196"/>
      <c r="F18" s="634">
        <f>IF(F$3="ДА",'Очередь 1 Кейс-Совм'!F88,0)</f>
        <v>0</v>
      </c>
      <c r="G18" s="625" t="s">
        <v>1444</v>
      </c>
      <c r="H18" s="632">
        <f>IF(H$3="ДА",'Очередь 1 Кейс-Совм'!Q88,0)</f>
        <v>0</v>
      </c>
      <c r="I18" s="625" t="s">
        <v>1444</v>
      </c>
      <c r="J18" s="633">
        <f>IF(J$3="ДА",'Очередь 1 ПРОФ_КОРП'!P87,0)</f>
        <v>648000</v>
      </c>
      <c r="K18" s="625" t="s">
        <v>1444</v>
      </c>
      <c r="L18" s="634">
        <f>IF(L$3="ДА",'Очередь 2 ПРОФ_КОРП'!P86,0)</f>
        <v>0</v>
      </c>
      <c r="M18" s="632">
        <f>IF(M$3="ДА",'Очередь 3 ПРОФ_КОРП'!P86,0)</f>
        <v>0</v>
      </c>
      <c r="N18" s="633">
        <f>IF(N$3="ДА",'Развитие ПРОФ_КОРП'!N86,0)</f>
        <v>0</v>
      </c>
    </row>
    <row r="19" spans="1:14" ht="15" customHeight="1" x14ac:dyDescent="0.25">
      <c r="B19" s="1194" t="s">
        <v>276</v>
      </c>
      <c r="C19" s="1195"/>
      <c r="D19" s="1195"/>
      <c r="E19" s="1196"/>
      <c r="F19" s="634">
        <f>IF(F$3="ДА",'Очередь 1 Кейс-Совм'!F89,0)</f>
        <v>0</v>
      </c>
      <c r="G19" s="625"/>
      <c r="H19" s="632">
        <f>IF(H$3="ДА",'Очередь 1 Кейс-Совм'!Q89,0)</f>
        <v>0</v>
      </c>
      <c r="I19" s="625"/>
      <c r="J19" s="633">
        <f>IF(J$3="ДА",'Очередь 1 ПРОФ_КОРП'!P88,0)</f>
        <v>0</v>
      </c>
      <c r="K19" s="625"/>
      <c r="L19" s="634">
        <f>IF(L$3="ДА",'Очередь 2 ПРОФ_КОРП'!P87,0)</f>
        <v>0</v>
      </c>
      <c r="M19" s="632">
        <f>IF(M$3="ДА",'Очередь 3 ПРОФ_КОРП'!P87,0)</f>
        <v>0</v>
      </c>
      <c r="N19" s="633">
        <f>IF(N$3="ДА",'Развитие ПРОФ_КОРП'!N87,0)</f>
        <v>0</v>
      </c>
    </row>
    <row r="20" spans="1:14" ht="15.75" thickBot="1" x14ac:dyDescent="0.3">
      <c r="B20" s="1213" t="s">
        <v>275</v>
      </c>
      <c r="C20" s="1214"/>
      <c r="D20" s="1214"/>
      <c r="E20" s="1215"/>
      <c r="F20" s="634">
        <f>IF(F$3="ДА",'Очередь 1 Кейс-Совм'!F90,0)</f>
        <v>0</v>
      </c>
      <c r="G20" s="626"/>
      <c r="H20" s="632">
        <f>IF(H$3="ДА",'Очередь 1 Кейс-Совм'!Q90,0)</f>
        <v>0</v>
      </c>
      <c r="I20" s="626"/>
      <c r="J20" s="633">
        <f>IF(J$3="ДА",'Очередь 1 ПРОФ_КОРП'!P89,0)</f>
        <v>0</v>
      </c>
      <c r="K20" s="626"/>
      <c r="L20" s="634">
        <f>IF(L$3="ДА",'Очередь 2 ПРОФ_КОРП'!P88,0)</f>
        <v>0</v>
      </c>
      <c r="M20" s="632">
        <f>IF(M$3="ДА",'Очередь 3 ПРОФ_КОРП'!P88,0)</f>
        <v>0</v>
      </c>
      <c r="N20" s="633">
        <f>IF(N$3="ДА",'Развитие ПРОФ_КОРП'!N88,0)</f>
        <v>0</v>
      </c>
    </row>
    <row r="21" spans="1:14" ht="15.75" thickBot="1" x14ac:dyDescent="0.3">
      <c r="B21" s="1197" t="s">
        <v>2227</v>
      </c>
      <c r="C21" s="1198"/>
      <c r="D21" s="1198"/>
      <c r="E21" s="1199"/>
      <c r="F21" s="634">
        <f>IF(F$3="ДА",'Очередь 1 Кейс-Совм'!F91,0)</f>
        <v>2245320</v>
      </c>
      <c r="G21" s="626"/>
      <c r="H21" s="632">
        <f>IF(H$3="ДА",'Очередь 1 Кейс-Совм'!Q91,0)</f>
        <v>2245320</v>
      </c>
      <c r="I21" s="626"/>
      <c r="J21" s="633">
        <f>IF(J$3="ДА",'Очередь 1 ПРОФ_КОРП'!P90,0)</f>
        <v>4278724.5600000005</v>
      </c>
      <c r="K21" s="626"/>
      <c r="L21" s="634">
        <f>IF(L$3="ДА",'Очередь 2 ПРОФ_КОРП'!P89,0)</f>
        <v>0</v>
      </c>
      <c r="M21" s="632">
        <f>IF(M$3="ДА",'Очередь 3 ПРОФ_КОРП'!P89,0)</f>
        <v>0</v>
      </c>
      <c r="N21" s="633">
        <f>IF(N$3="ДА",'Развитие ПРОФ_КОРП'!N89,0)</f>
        <v>0</v>
      </c>
    </row>
    <row r="22" spans="1:14" ht="30" x14ac:dyDescent="0.25">
      <c r="E22" s="635" t="s">
        <v>1436</v>
      </c>
      <c r="F22" s="635">
        <f>'Очередь 1 Кейс-Совм'!M92</f>
        <v>11.25</v>
      </c>
      <c r="G22" s="635"/>
      <c r="H22" s="635">
        <f>IF(H$3="ДА",'Очередь 1 Кейс-Совм'!X92,0)</f>
        <v>13.5</v>
      </c>
      <c r="I22" s="635"/>
      <c r="J22" s="635">
        <f>IF(J$3="ДА",'Очередь 1 ПРОФ_КОРП'!W91,0)</f>
        <v>13.25</v>
      </c>
      <c r="K22" s="635"/>
      <c r="L22" s="635">
        <f>IF(L$3="ДА",'Очередь 2 ПРОФ_КОРП'!X90,0)</f>
        <v>0</v>
      </c>
      <c r="M22" s="635">
        <f>IF(M$3="ДА",'Очередь 3 ПРОФ_КОРП'!X90,0)</f>
        <v>0</v>
      </c>
      <c r="N22" s="635">
        <f>IF(N$3="ДА",'Развитие ПРОФ_КОРП'!V90,0)</f>
        <v>0</v>
      </c>
    </row>
    <row r="24" spans="1:14" ht="21" x14ac:dyDescent="0.25">
      <c r="A24" s="650" t="s">
        <v>1029</v>
      </c>
      <c r="B24" s="516" t="s">
        <v>1030</v>
      </c>
      <c r="C24" s="516" t="s">
        <v>1031</v>
      </c>
      <c r="D24" s="516" t="s">
        <v>693</v>
      </c>
      <c r="E24" s="516" t="s">
        <v>1032</v>
      </c>
      <c r="F24" s="516" t="s">
        <v>1033</v>
      </c>
      <c r="G24" s="516"/>
      <c r="H24" s="516" t="s">
        <v>1033</v>
      </c>
      <c r="I24" s="516"/>
      <c r="J24" s="516" t="s">
        <v>1033</v>
      </c>
      <c r="K24" s="516"/>
      <c r="L24" s="516" t="s">
        <v>1033</v>
      </c>
      <c r="M24" s="516" t="s">
        <v>1033</v>
      </c>
      <c r="N24" s="516" t="s">
        <v>1033</v>
      </c>
    </row>
    <row r="25" spans="1:14" x14ac:dyDescent="0.25">
      <c r="A25" s="651" t="s">
        <v>1356</v>
      </c>
      <c r="B25" s="636"/>
      <c r="C25" s="636"/>
      <c r="D25" s="637"/>
      <c r="E25" s="638">
        <v>1</v>
      </c>
      <c r="F25" s="639">
        <f>SUM(F26:F32)</f>
        <v>0</v>
      </c>
      <c r="G25" s="639"/>
      <c r="H25" s="639">
        <f t="shared" ref="H25:N25" si="1">SUM(H26:H32)</f>
        <v>0</v>
      </c>
      <c r="I25" s="639"/>
      <c r="J25" s="639">
        <f t="shared" si="1"/>
        <v>0</v>
      </c>
      <c r="K25" s="639"/>
      <c r="L25" s="639">
        <f t="shared" si="1"/>
        <v>0</v>
      </c>
      <c r="M25" s="639">
        <f t="shared" si="1"/>
        <v>0</v>
      </c>
      <c r="N25" s="639">
        <f t="shared" si="1"/>
        <v>0</v>
      </c>
    </row>
    <row r="26" spans="1:14" x14ac:dyDescent="0.25">
      <c r="A26" s="652">
        <v>1</v>
      </c>
      <c r="B26" s="514"/>
      <c r="C26" s="641">
        <f>SUMIFS('Прафс-лист на СОФТ'!$E$4:$E$166,'Прафс-лист на СОФТ'!$D$4:$D$166,'Оценка свод КейсПроф + очереди'!B26)</f>
        <v>0</v>
      </c>
      <c r="D26" s="642"/>
      <c r="E26" s="640">
        <v>1</v>
      </c>
      <c r="F26" s="643"/>
      <c r="G26" s="643"/>
      <c r="H26" s="643"/>
      <c r="I26" s="643"/>
      <c r="J26" s="643">
        <f>C26*E26</f>
        <v>0</v>
      </c>
      <c r="K26" s="643"/>
      <c r="L26" s="643"/>
      <c r="M26" s="643"/>
      <c r="N26" s="643"/>
    </row>
    <row r="27" spans="1:14" x14ac:dyDescent="0.25">
      <c r="A27" s="652">
        <v>2</v>
      </c>
      <c r="B27" s="514"/>
      <c r="C27" s="641">
        <f>SUMIFS('Прафс-лист на СОФТ'!$E$4:$E$166,'Прафс-лист на СОФТ'!$D$4:$D$166,'Оценка свод КейсПроф + очереди'!B27)</f>
        <v>0</v>
      </c>
      <c r="D27" s="642"/>
      <c r="E27" s="640"/>
      <c r="F27" s="643"/>
      <c r="G27" s="643"/>
      <c r="H27" s="643"/>
      <c r="I27" s="643"/>
      <c r="J27" s="643">
        <f t="shared" ref="J27:J48" si="2">C27*E27</f>
        <v>0</v>
      </c>
      <c r="K27" s="643"/>
      <c r="L27" s="643"/>
      <c r="M27" s="643"/>
      <c r="N27" s="643"/>
    </row>
    <row r="28" spans="1:14" x14ac:dyDescent="0.25">
      <c r="A28" s="652">
        <v>3</v>
      </c>
      <c r="B28" s="514"/>
      <c r="C28" s="641">
        <f>SUMIFS('Прафс-лист на СОФТ'!$E$4:$E$166,'Прафс-лист на СОФТ'!$D$4:$D$166,'Оценка свод КейсПроф + очереди'!B28)</f>
        <v>0</v>
      </c>
      <c r="D28" s="642"/>
      <c r="E28" s="640"/>
      <c r="F28" s="643"/>
      <c r="G28" s="643"/>
      <c r="H28" s="643"/>
      <c r="I28" s="643"/>
      <c r="J28" s="643">
        <f t="shared" si="2"/>
        <v>0</v>
      </c>
      <c r="K28" s="643"/>
      <c r="L28" s="643"/>
      <c r="M28" s="643"/>
      <c r="N28" s="643"/>
    </row>
    <row r="29" spans="1:14" x14ac:dyDescent="0.25">
      <c r="A29" s="652">
        <v>4</v>
      </c>
      <c r="B29" s="514"/>
      <c r="C29" s="641">
        <f>SUMIFS('Прафс-лист на СОФТ'!$E$4:$E$166,'Прафс-лист на СОФТ'!$D$4:$D$166,'Оценка свод КейсПроф + очереди'!B29)</f>
        <v>0</v>
      </c>
      <c r="D29" s="642"/>
      <c r="E29" s="640"/>
      <c r="F29" s="643"/>
      <c r="G29" s="643"/>
      <c r="H29" s="643"/>
      <c r="I29" s="643"/>
      <c r="J29" s="643">
        <f t="shared" si="2"/>
        <v>0</v>
      </c>
      <c r="K29" s="643"/>
      <c r="L29" s="643"/>
      <c r="M29" s="643"/>
      <c r="N29" s="643"/>
    </row>
    <row r="30" spans="1:14" x14ac:dyDescent="0.25">
      <c r="A30" s="652">
        <v>5</v>
      </c>
      <c r="B30" s="514"/>
      <c r="C30" s="641">
        <f>SUMIFS('Прафс-лист на СОФТ'!$E$4:$E$166,'Прафс-лист на СОФТ'!$D$4:$D$166,'Оценка свод КейсПроф + очереди'!B30)</f>
        <v>0</v>
      </c>
      <c r="D30" s="642"/>
      <c r="E30" s="640"/>
      <c r="F30" s="643"/>
      <c r="G30" s="643"/>
      <c r="H30" s="643"/>
      <c r="I30" s="643"/>
      <c r="J30" s="643">
        <f t="shared" si="2"/>
        <v>0</v>
      </c>
      <c r="K30" s="643"/>
      <c r="L30" s="643"/>
      <c r="M30" s="643"/>
      <c r="N30" s="643"/>
    </row>
    <row r="31" spans="1:14" x14ac:dyDescent="0.25">
      <c r="A31" s="652">
        <v>6</v>
      </c>
      <c r="B31" s="514"/>
      <c r="C31" s="641">
        <f>SUMIFS('Прафс-лист на СОФТ'!$E$4:$E$166,'Прафс-лист на СОФТ'!$D$4:$D$166,'Оценка свод КейсПроф + очереди'!B31)</f>
        <v>0</v>
      </c>
      <c r="D31" s="642"/>
      <c r="E31" s="640"/>
      <c r="F31" s="643"/>
      <c r="G31" s="643"/>
      <c r="H31" s="643"/>
      <c r="I31" s="643"/>
      <c r="J31" s="643">
        <f t="shared" si="2"/>
        <v>0</v>
      </c>
      <c r="K31" s="643"/>
      <c r="L31" s="643"/>
      <c r="M31" s="643"/>
      <c r="N31" s="643"/>
    </row>
    <row r="32" spans="1:14" x14ac:dyDescent="0.25">
      <c r="A32" s="652">
        <v>7</v>
      </c>
      <c r="B32" s="515" t="s">
        <v>1419</v>
      </c>
      <c r="C32" s="641">
        <f>SUMIFS('Прафс-лист на СОФТ'!$E$4:$E$166,'Прафс-лист на СОФТ'!$D$4:$D$166,'Оценка свод КейсПроф + очереди'!B32)</f>
        <v>0</v>
      </c>
      <c r="D32" s="642"/>
      <c r="E32" s="640">
        <v>1</v>
      </c>
      <c r="F32" s="643"/>
      <c r="G32" s="643"/>
      <c r="H32" s="643"/>
      <c r="I32" s="643"/>
      <c r="J32" s="643">
        <f t="shared" si="2"/>
        <v>0</v>
      </c>
      <c r="K32" s="643"/>
      <c r="L32" s="643">
        <v>0</v>
      </c>
      <c r="M32" s="643">
        <v>0</v>
      </c>
      <c r="N32" s="643">
        <v>0</v>
      </c>
    </row>
    <row r="33" spans="1:14" x14ac:dyDescent="0.25">
      <c r="A33" s="651" t="s">
        <v>1418</v>
      </c>
      <c r="B33" s="636"/>
      <c r="C33" s="636"/>
      <c r="D33" s="637"/>
      <c r="E33" s="638">
        <v>1</v>
      </c>
      <c r="F33" s="639">
        <f>SUM(F34:F40)</f>
        <v>0</v>
      </c>
      <c r="G33" s="639"/>
      <c r="H33" s="639">
        <f t="shared" ref="H33:N33" si="3">SUM(H34:H40)</f>
        <v>0</v>
      </c>
      <c r="I33" s="639"/>
      <c r="J33" s="639">
        <f t="shared" si="3"/>
        <v>0</v>
      </c>
      <c r="K33" s="639"/>
      <c r="L33" s="639">
        <f t="shared" si="3"/>
        <v>0</v>
      </c>
      <c r="M33" s="639">
        <f t="shared" si="3"/>
        <v>0</v>
      </c>
      <c r="N33" s="639">
        <f t="shared" si="3"/>
        <v>0</v>
      </c>
    </row>
    <row r="34" spans="1:14" x14ac:dyDescent="0.25">
      <c r="A34" s="652">
        <v>1</v>
      </c>
      <c r="B34" s="514"/>
      <c r="C34" s="641">
        <f>SUMIFS('Прафс-лист на СОФТ'!$E$4:$E$166,'Прафс-лист на СОФТ'!$D$4:$D$166,'Оценка свод КейсПроф + очереди'!B34)</f>
        <v>0</v>
      </c>
      <c r="D34" s="642"/>
      <c r="E34" s="640">
        <v>1</v>
      </c>
      <c r="F34" s="643"/>
      <c r="G34" s="643"/>
      <c r="H34" s="643"/>
      <c r="I34" s="643"/>
      <c r="J34" s="643">
        <f t="shared" si="2"/>
        <v>0</v>
      </c>
      <c r="K34" s="643"/>
      <c r="L34" s="643"/>
      <c r="M34" s="643"/>
      <c r="N34" s="643"/>
    </row>
    <row r="35" spans="1:14" x14ac:dyDescent="0.25">
      <c r="A35" s="652">
        <v>2</v>
      </c>
      <c r="B35" s="514"/>
      <c r="C35" s="641">
        <f>SUMIFS('Прафс-лист на СОФТ'!$E$4:$E$166,'Прафс-лист на СОФТ'!$D$4:$D$166,'Оценка свод КейсПроф + очереди'!B35)</f>
        <v>0</v>
      </c>
      <c r="D35" s="642"/>
      <c r="E35" s="640">
        <v>1</v>
      </c>
      <c r="F35" s="643"/>
      <c r="G35" s="643"/>
      <c r="H35" s="643"/>
      <c r="I35" s="643"/>
      <c r="J35" s="643">
        <f>C35*E35</f>
        <v>0</v>
      </c>
      <c r="K35" s="643"/>
      <c r="L35" s="643"/>
      <c r="M35" s="643"/>
      <c r="N35" s="643"/>
    </row>
    <row r="36" spans="1:14" x14ac:dyDescent="0.25">
      <c r="A36" s="652">
        <v>3</v>
      </c>
      <c r="B36" s="514"/>
      <c r="C36" s="641">
        <f>SUMIFS('Прафс-лист на СОФТ'!$E$4:$E$166,'Прафс-лист на СОФТ'!$D$4:$D$166,'Оценка свод КейсПроф + очереди'!B36)</f>
        <v>0</v>
      </c>
      <c r="D36" s="642"/>
      <c r="E36" s="640"/>
      <c r="F36" s="643"/>
      <c r="G36" s="643"/>
      <c r="H36" s="643"/>
      <c r="I36" s="643"/>
      <c r="J36" s="643">
        <f t="shared" si="2"/>
        <v>0</v>
      </c>
      <c r="K36" s="643"/>
      <c r="L36" s="643"/>
      <c r="M36" s="643"/>
      <c r="N36" s="643"/>
    </row>
    <row r="37" spans="1:14" x14ac:dyDescent="0.25">
      <c r="A37" s="652">
        <v>4</v>
      </c>
      <c r="B37" s="514"/>
      <c r="C37" s="641">
        <f>SUMIFS('Прафс-лист на СОФТ'!$E$4:$E$166,'Прафс-лист на СОФТ'!$D$4:$D$166,'Оценка свод КейсПроф + очереди'!B37)</f>
        <v>0</v>
      </c>
      <c r="D37" s="642"/>
      <c r="E37" s="640"/>
      <c r="F37" s="643"/>
      <c r="G37" s="643"/>
      <c r="H37" s="643"/>
      <c r="I37" s="643"/>
      <c r="J37" s="643">
        <f t="shared" si="2"/>
        <v>0</v>
      </c>
      <c r="K37" s="643"/>
      <c r="L37" s="643"/>
      <c r="M37" s="643"/>
      <c r="N37" s="643"/>
    </row>
    <row r="38" spans="1:14" x14ac:dyDescent="0.25">
      <c r="A38" s="652">
        <v>5</v>
      </c>
      <c r="B38" s="514"/>
      <c r="C38" s="641">
        <f>SUMIFS('Прафс-лист на СОФТ'!$E$4:$E$166,'Прафс-лист на СОФТ'!$D$4:$D$166,'Оценка свод КейсПроф + очереди'!B38)</f>
        <v>0</v>
      </c>
      <c r="D38" s="642"/>
      <c r="E38" s="640"/>
      <c r="F38" s="643"/>
      <c r="G38" s="643"/>
      <c r="H38" s="643"/>
      <c r="I38" s="643"/>
      <c r="J38" s="643">
        <f t="shared" si="2"/>
        <v>0</v>
      </c>
      <c r="K38" s="643"/>
      <c r="L38" s="643"/>
      <c r="M38" s="643"/>
      <c r="N38" s="643"/>
    </row>
    <row r="39" spans="1:14" x14ac:dyDescent="0.25">
      <c r="A39" s="652">
        <v>6</v>
      </c>
      <c r="B39" s="514"/>
      <c r="C39" s="641">
        <f>SUMIFS('Прафс-лист на СОФТ'!$E$4:$E$166,'Прафс-лист на СОФТ'!$D$4:$D$166,'Оценка свод КейсПроф + очереди'!B39)</f>
        <v>0</v>
      </c>
      <c r="D39" s="642"/>
      <c r="E39" s="640"/>
      <c r="F39" s="643"/>
      <c r="G39" s="643"/>
      <c r="H39" s="643"/>
      <c r="I39" s="643"/>
      <c r="J39" s="643">
        <f t="shared" si="2"/>
        <v>0</v>
      </c>
      <c r="K39" s="643"/>
      <c r="L39" s="643"/>
      <c r="M39" s="643"/>
      <c r="N39" s="643"/>
    </row>
    <row r="40" spans="1:14" x14ac:dyDescent="0.25">
      <c r="A40" s="652">
        <v>7</v>
      </c>
      <c r="B40" s="514"/>
      <c r="C40" s="641">
        <f>SUMIFS('Прафс-лист на СОФТ'!$E$4:$E$166,'Прафс-лист на СОФТ'!$D$4:$D$166,'Оценка свод КейсПроф + очереди'!B40)</f>
        <v>0</v>
      </c>
      <c r="D40" s="642"/>
      <c r="E40" s="640"/>
      <c r="F40" s="643"/>
      <c r="G40" s="643"/>
      <c r="H40" s="643"/>
      <c r="I40" s="643"/>
      <c r="J40" s="643">
        <f t="shared" si="2"/>
        <v>0</v>
      </c>
      <c r="K40" s="643"/>
      <c r="L40" s="643">
        <v>0</v>
      </c>
      <c r="M40" s="643">
        <v>0</v>
      </c>
      <c r="N40" s="643">
        <v>0</v>
      </c>
    </row>
    <row r="41" spans="1:14" x14ac:dyDescent="0.25">
      <c r="A41" s="651" t="s">
        <v>1034</v>
      </c>
      <c r="B41" s="636"/>
      <c r="C41" s="636"/>
      <c r="D41" s="637"/>
      <c r="E41" s="638">
        <v>0</v>
      </c>
      <c r="F41" s="639">
        <f t="shared" ref="F41:N41" si="4">SUM(F42:F48)</f>
        <v>0</v>
      </c>
      <c r="G41" s="639"/>
      <c r="H41" s="639">
        <f t="shared" si="4"/>
        <v>0</v>
      </c>
      <c r="I41" s="639"/>
      <c r="J41" s="639">
        <f t="shared" si="4"/>
        <v>0</v>
      </c>
      <c r="K41" s="639"/>
      <c r="L41" s="639">
        <f t="shared" si="4"/>
        <v>0</v>
      </c>
      <c r="M41" s="639">
        <f t="shared" si="4"/>
        <v>0</v>
      </c>
      <c r="N41" s="639">
        <f t="shared" si="4"/>
        <v>0</v>
      </c>
    </row>
    <row r="42" spans="1:14" x14ac:dyDescent="0.25">
      <c r="A42" s="652">
        <v>1</v>
      </c>
      <c r="B42" s="514"/>
      <c r="C42" s="641">
        <f>SUMIFS('Прафс-лист на СОФТ'!$E$4:$E$166,'Прафс-лист на СОФТ'!$D$4:$D$166,'Оценка свод КейсПроф + очереди'!B42)</f>
        <v>0</v>
      </c>
      <c r="D42" s="642"/>
      <c r="E42" s="640"/>
      <c r="F42" s="643"/>
      <c r="G42" s="643"/>
      <c r="H42" s="643"/>
      <c r="I42" s="643"/>
      <c r="J42" s="643">
        <f t="shared" si="2"/>
        <v>0</v>
      </c>
      <c r="K42" s="643"/>
      <c r="L42" s="643"/>
      <c r="M42" s="643"/>
      <c r="N42" s="643"/>
    </row>
    <row r="43" spans="1:14" x14ac:dyDescent="0.25">
      <c r="A43" s="652">
        <v>2</v>
      </c>
      <c r="B43" s="514"/>
      <c r="C43" s="641">
        <f>SUMIFS('Прафс-лист на СОФТ'!$E$4:$E$166,'Прафс-лист на СОФТ'!$D$4:$D$166,'Оценка свод КейсПроф + очереди'!B43)</f>
        <v>0</v>
      </c>
      <c r="D43" s="642"/>
      <c r="E43" s="640"/>
      <c r="F43" s="643"/>
      <c r="G43" s="643"/>
      <c r="H43" s="643"/>
      <c r="I43" s="643"/>
      <c r="J43" s="643">
        <f t="shared" si="2"/>
        <v>0</v>
      </c>
      <c r="K43" s="643"/>
      <c r="L43" s="643"/>
      <c r="M43" s="643"/>
      <c r="N43" s="643"/>
    </row>
    <row r="44" spans="1:14" x14ac:dyDescent="0.25">
      <c r="A44" s="652">
        <v>3</v>
      </c>
      <c r="B44" s="514"/>
      <c r="C44" s="641">
        <f>SUMIFS('Прафс-лист на СОФТ'!$E$4:$E$166,'Прафс-лист на СОФТ'!$D$4:$D$166,'Оценка свод КейсПроф + очереди'!B44)</f>
        <v>0</v>
      </c>
      <c r="D44" s="642"/>
      <c r="E44" s="640"/>
      <c r="F44" s="643"/>
      <c r="G44" s="643"/>
      <c r="H44" s="643"/>
      <c r="I44" s="643"/>
      <c r="J44" s="643">
        <f t="shared" si="2"/>
        <v>0</v>
      </c>
      <c r="K44" s="643"/>
      <c r="L44" s="643"/>
      <c r="M44" s="643"/>
      <c r="N44" s="643"/>
    </row>
    <row r="45" spans="1:14" x14ac:dyDescent="0.25">
      <c r="A45" s="652">
        <v>4</v>
      </c>
      <c r="B45" s="514"/>
      <c r="C45" s="641">
        <f>SUMIFS('Прафс-лист на СОФТ'!$E$4:$E$166,'Прафс-лист на СОФТ'!$D$4:$D$166,'Оценка свод КейсПроф + очереди'!B45)</f>
        <v>0</v>
      </c>
      <c r="D45" s="642"/>
      <c r="E45" s="640"/>
      <c r="F45" s="643"/>
      <c r="G45" s="643"/>
      <c r="H45" s="643"/>
      <c r="I45" s="643"/>
      <c r="J45" s="643">
        <f t="shared" si="2"/>
        <v>0</v>
      </c>
      <c r="K45" s="643"/>
      <c r="L45" s="643"/>
      <c r="M45" s="643"/>
      <c r="N45" s="643"/>
    </row>
    <row r="46" spans="1:14" x14ac:dyDescent="0.25">
      <c r="A46" s="652">
        <v>5</v>
      </c>
      <c r="B46" s="514"/>
      <c r="C46" s="641">
        <f>SUMIFS('Прафс-лист на СОФТ'!$E$4:$E$166,'Прафс-лист на СОФТ'!$D$4:$D$166,'Оценка свод КейсПроф + очереди'!B46)</f>
        <v>0</v>
      </c>
      <c r="D46" s="642"/>
      <c r="E46" s="640"/>
      <c r="F46" s="643"/>
      <c r="G46" s="643"/>
      <c r="H46" s="643"/>
      <c r="I46" s="643"/>
      <c r="J46" s="643">
        <f t="shared" si="2"/>
        <v>0</v>
      </c>
      <c r="K46" s="643"/>
      <c r="L46" s="643"/>
      <c r="M46" s="643"/>
      <c r="N46" s="643"/>
    </row>
    <row r="47" spans="1:14" x14ac:dyDescent="0.25">
      <c r="A47" s="652">
        <v>6</v>
      </c>
      <c r="B47" s="514"/>
      <c r="C47" s="641">
        <f>SUMIFS('Прафс-лист на СОФТ'!$E$4:$E$166,'Прафс-лист на СОФТ'!$D$4:$D$166,'Оценка свод КейсПроф + очереди'!B47)</f>
        <v>0</v>
      </c>
      <c r="D47" s="642"/>
      <c r="E47" s="640"/>
      <c r="F47" s="643"/>
      <c r="G47" s="643"/>
      <c r="H47" s="643"/>
      <c r="I47" s="643"/>
      <c r="J47" s="643">
        <f t="shared" si="2"/>
        <v>0</v>
      </c>
      <c r="K47" s="643"/>
      <c r="L47" s="643"/>
      <c r="M47" s="643"/>
      <c r="N47" s="643"/>
    </row>
    <row r="48" spans="1:14" x14ac:dyDescent="0.25">
      <c r="A48" s="652">
        <v>7</v>
      </c>
      <c r="B48" s="514"/>
      <c r="C48" s="641">
        <f>SUMIFS('Прафс-лист на СОФТ'!$E$4:$E$166,'Прафс-лист на СОФТ'!$D$4:$D$166,'Оценка свод КейсПроф + очереди'!B48)</f>
        <v>0</v>
      </c>
      <c r="D48" s="642"/>
      <c r="E48" s="640"/>
      <c r="F48" s="643"/>
      <c r="G48" s="643"/>
      <c r="H48" s="643"/>
      <c r="I48" s="643"/>
      <c r="J48" s="643">
        <f t="shared" si="2"/>
        <v>0</v>
      </c>
      <c r="K48" s="643"/>
      <c r="L48" s="643"/>
      <c r="M48" s="643"/>
      <c r="N48" s="643"/>
    </row>
    <row r="49" spans="1:14" x14ac:dyDescent="0.25">
      <c r="A49" s="653" t="s">
        <v>1035</v>
      </c>
      <c r="B49" s="644"/>
      <c r="C49" s="644"/>
      <c r="D49" s="645"/>
      <c r="E49" s="516">
        <v>1</v>
      </c>
      <c r="F49" s="646">
        <f>F25+F33+F41</f>
        <v>0</v>
      </c>
      <c r="G49" s="646"/>
      <c r="H49" s="646">
        <f t="shared" ref="H49:N49" si="5">H25+H33+H41</f>
        <v>0</v>
      </c>
      <c r="I49" s="646"/>
      <c r="J49" s="646">
        <f t="shared" si="5"/>
        <v>0</v>
      </c>
      <c r="K49" s="646"/>
      <c r="L49" s="646">
        <f t="shared" si="5"/>
        <v>0</v>
      </c>
      <c r="M49" s="646">
        <f t="shared" si="5"/>
        <v>0</v>
      </c>
      <c r="N49" s="646">
        <f t="shared" si="5"/>
        <v>0</v>
      </c>
    </row>
    <row r="50" spans="1:14" x14ac:dyDescent="0.25">
      <c r="A50" s="651" t="s">
        <v>1036</v>
      </c>
      <c r="B50" s="636"/>
      <c r="C50" s="636"/>
      <c r="D50" s="637"/>
      <c r="E50" s="638">
        <v>0</v>
      </c>
      <c r="F50" s="639">
        <f t="shared" ref="F50:N50" si="6">SUM(F51:F57)</f>
        <v>0</v>
      </c>
      <c r="G50" s="639"/>
      <c r="H50" s="639">
        <f t="shared" si="6"/>
        <v>0</v>
      </c>
      <c r="I50" s="639"/>
      <c r="J50" s="639">
        <f t="shared" si="6"/>
        <v>0</v>
      </c>
      <c r="K50" s="639"/>
      <c r="L50" s="639">
        <f t="shared" si="6"/>
        <v>0</v>
      </c>
      <c r="M50" s="639">
        <f t="shared" si="6"/>
        <v>0</v>
      </c>
      <c r="N50" s="639">
        <f t="shared" si="6"/>
        <v>0</v>
      </c>
    </row>
    <row r="51" spans="1:14" x14ac:dyDescent="0.25">
      <c r="A51" s="652">
        <v>1</v>
      </c>
      <c r="B51" s="514"/>
      <c r="C51" s="641">
        <f>SUMIFS('Прафс-лист на СОФТ'!$E$4:$E$166,'Прафс-лист на СОФТ'!$D$4:$D$166,'Оценка свод КейсПроф + очереди'!B51)</f>
        <v>0</v>
      </c>
      <c r="D51" s="642"/>
      <c r="E51" s="640"/>
      <c r="F51" s="643"/>
      <c r="G51" s="643"/>
      <c r="H51" s="643"/>
      <c r="I51" s="643"/>
      <c r="J51" s="643">
        <f t="shared" ref="J51:J57" si="7">C51*E51</f>
        <v>0</v>
      </c>
      <c r="K51" s="643"/>
      <c r="L51" s="643"/>
      <c r="M51" s="643"/>
      <c r="N51" s="643"/>
    </row>
    <row r="52" spans="1:14" x14ac:dyDescent="0.25">
      <c r="A52" s="652">
        <v>2</v>
      </c>
      <c r="B52" s="514"/>
      <c r="C52" s="641">
        <f>SUMIFS('Прафс-лист на СОФТ'!$E$4:$E$166,'Прафс-лист на СОФТ'!$D$4:$D$166,'Оценка свод КейсПроф + очереди'!B52)</f>
        <v>0</v>
      </c>
      <c r="D52" s="642"/>
      <c r="E52" s="640"/>
      <c r="F52" s="643"/>
      <c r="G52" s="643"/>
      <c r="H52" s="643"/>
      <c r="I52" s="643"/>
      <c r="J52" s="643">
        <f t="shared" si="7"/>
        <v>0</v>
      </c>
      <c r="K52" s="643"/>
      <c r="L52" s="643"/>
      <c r="M52" s="643"/>
      <c r="N52" s="643"/>
    </row>
    <row r="53" spans="1:14" x14ac:dyDescent="0.25">
      <c r="A53" s="652">
        <v>3</v>
      </c>
      <c r="B53" s="514"/>
      <c r="C53" s="641">
        <f>SUMIFS('Прафс-лист на СОФТ'!$E$4:$E$166,'Прафс-лист на СОФТ'!$D$4:$D$166,'Оценка свод КейсПроф + очереди'!B53)</f>
        <v>0</v>
      </c>
      <c r="D53" s="642"/>
      <c r="E53" s="640"/>
      <c r="F53" s="643"/>
      <c r="G53" s="643"/>
      <c r="H53" s="643"/>
      <c r="I53" s="643"/>
      <c r="J53" s="643">
        <f t="shared" si="7"/>
        <v>0</v>
      </c>
      <c r="K53" s="643"/>
      <c r="L53" s="643"/>
      <c r="M53" s="643"/>
      <c r="N53" s="643"/>
    </row>
    <row r="54" spans="1:14" x14ac:dyDescent="0.25">
      <c r="A54" s="652">
        <v>4</v>
      </c>
      <c r="B54" s="514"/>
      <c r="C54" s="641">
        <f>SUMIFS('Прафс-лист на СОФТ'!$E$4:$E$166,'Прафс-лист на СОФТ'!$D$4:$D$166,'Оценка свод КейсПроф + очереди'!B54)</f>
        <v>0</v>
      </c>
      <c r="D54" s="642"/>
      <c r="E54" s="640"/>
      <c r="F54" s="643"/>
      <c r="G54" s="643"/>
      <c r="H54" s="643"/>
      <c r="I54" s="643"/>
      <c r="J54" s="643">
        <f t="shared" si="7"/>
        <v>0</v>
      </c>
      <c r="K54" s="643"/>
      <c r="L54" s="643"/>
      <c r="M54" s="643"/>
      <c r="N54" s="643"/>
    </row>
    <row r="55" spans="1:14" x14ac:dyDescent="0.25">
      <c r="A55" s="652">
        <v>5</v>
      </c>
      <c r="B55" s="514"/>
      <c r="C55" s="641">
        <f>SUMIFS('Прафс-лист на СОФТ'!$E$4:$E$166,'Прафс-лист на СОФТ'!$D$4:$D$166,'Оценка свод КейсПроф + очереди'!B55)</f>
        <v>0</v>
      </c>
      <c r="D55" s="642"/>
      <c r="E55" s="640"/>
      <c r="F55" s="643"/>
      <c r="G55" s="643"/>
      <c r="H55" s="643"/>
      <c r="I55" s="643"/>
      <c r="J55" s="643">
        <f t="shared" si="7"/>
        <v>0</v>
      </c>
      <c r="K55" s="643"/>
      <c r="L55" s="643"/>
      <c r="M55" s="643"/>
      <c r="N55" s="643"/>
    </row>
    <row r="56" spans="1:14" x14ac:dyDescent="0.25">
      <c r="A56" s="652">
        <v>6</v>
      </c>
      <c r="B56" s="514"/>
      <c r="C56" s="641">
        <f>SUMIFS('Прафс-лист на СОФТ'!$E$4:$E$166,'Прафс-лист на СОФТ'!$D$4:$D$166,'Оценка свод КейсПроф + очереди'!B56)</f>
        <v>0</v>
      </c>
      <c r="D56" s="642"/>
      <c r="E56" s="640"/>
      <c r="F56" s="643"/>
      <c r="G56" s="643"/>
      <c r="H56" s="643"/>
      <c r="I56" s="643"/>
      <c r="J56" s="643">
        <f t="shared" si="7"/>
        <v>0</v>
      </c>
      <c r="K56" s="643"/>
      <c r="L56" s="643"/>
      <c r="M56" s="643"/>
      <c r="N56" s="643"/>
    </row>
    <row r="57" spans="1:14" x14ac:dyDescent="0.25">
      <c r="A57" s="652">
        <v>7</v>
      </c>
      <c r="B57" s="514"/>
      <c r="C57" s="641">
        <f>SUMIFS('Прафс-лист на СОФТ'!$E$4:$E$166,'Прафс-лист на СОФТ'!$D$4:$D$166,'Оценка свод КейсПроф + очереди'!B57)</f>
        <v>0</v>
      </c>
      <c r="D57" s="642"/>
      <c r="E57" s="640"/>
      <c r="F57" s="643"/>
      <c r="G57" s="643"/>
      <c r="H57" s="643"/>
      <c r="I57" s="643"/>
      <c r="J57" s="643">
        <f t="shared" si="7"/>
        <v>0</v>
      </c>
      <c r="K57" s="643"/>
      <c r="L57" s="643"/>
      <c r="M57" s="643"/>
      <c r="N57" s="643"/>
    </row>
    <row r="58" spans="1:14" x14ac:dyDescent="0.25">
      <c r="A58" s="654" t="s">
        <v>1037</v>
      </c>
      <c r="B58" s="647"/>
      <c r="C58" s="647"/>
      <c r="D58" s="647"/>
      <c r="E58" s="647"/>
      <c r="F58" s="646">
        <f>F49+F50</f>
        <v>0</v>
      </c>
      <c r="G58" s="646"/>
      <c r="H58" s="646">
        <f t="shared" ref="H58:N58" si="8">H49+H50</f>
        <v>0</v>
      </c>
      <c r="I58" s="646"/>
      <c r="J58" s="646">
        <f t="shared" si="8"/>
        <v>0</v>
      </c>
      <c r="K58" s="646"/>
      <c r="L58" s="646">
        <f t="shared" si="8"/>
        <v>0</v>
      </c>
      <c r="M58" s="646">
        <f t="shared" si="8"/>
        <v>0</v>
      </c>
      <c r="N58" s="646">
        <f t="shared" si="8"/>
        <v>0</v>
      </c>
    </row>
    <row r="61" spans="1:14" ht="27" customHeight="1" x14ac:dyDescent="0.25">
      <c r="B61" s="1187" t="s">
        <v>1018</v>
      </c>
      <c r="C61" s="1187"/>
      <c r="D61" s="1187"/>
      <c r="E61" s="1187"/>
      <c r="F61" s="1203" t="s">
        <v>711</v>
      </c>
      <c r="G61" s="1203"/>
      <c r="H61" s="1203"/>
      <c r="I61" s="1203"/>
      <c r="J61" s="1203"/>
      <c r="K61" s="783"/>
      <c r="L61" s="30" t="s">
        <v>562</v>
      </c>
      <c r="M61" s="30" t="s">
        <v>530</v>
      </c>
      <c r="N61" s="30"/>
    </row>
    <row r="62" spans="1:14" x14ac:dyDescent="0.25">
      <c r="B62" s="1187" t="s">
        <v>1017</v>
      </c>
      <c r="C62" s="1187"/>
      <c r="D62" s="1187"/>
      <c r="E62" s="1187"/>
      <c r="F62" s="30">
        <f>'2.ФС для Заполнения'!$AD4</f>
        <v>30</v>
      </c>
      <c r="G62" s="30"/>
      <c r="H62" s="30">
        <f>'2.ФС для Заполнения'!$AD4</f>
        <v>30</v>
      </c>
      <c r="I62" s="30"/>
      <c r="J62" s="30">
        <f>'2.ФС для Заполнения'!$AD4</f>
        <v>30</v>
      </c>
      <c r="K62" s="30"/>
      <c r="L62" s="30">
        <f>'2.ФС для Заполнения'!AG4</f>
        <v>95</v>
      </c>
      <c r="M62" s="30">
        <f>'2.ФС для Заполнения'!AJ4</f>
        <v>95</v>
      </c>
      <c r="N62" s="30">
        <v>95</v>
      </c>
    </row>
    <row r="63" spans="1:14" x14ac:dyDescent="0.25">
      <c r="B63" s="1187" t="s">
        <v>1019</v>
      </c>
      <c r="C63" s="1187"/>
      <c r="D63" s="1187"/>
      <c r="E63" s="1187"/>
      <c r="F63" s="648">
        <f t="shared" ref="F63:N63" si="9">F4/F66</f>
        <v>735.48</v>
      </c>
      <c r="G63" s="648"/>
      <c r="H63" s="648">
        <f t="shared" si="9"/>
        <v>1059.48</v>
      </c>
      <c r="I63" s="648"/>
      <c r="J63" s="648">
        <f t="shared" si="9"/>
        <v>1858.4639999999999</v>
      </c>
      <c r="K63" s="648"/>
      <c r="L63" s="648">
        <f t="shared" si="9"/>
        <v>0</v>
      </c>
      <c r="M63" s="648">
        <f t="shared" si="9"/>
        <v>0</v>
      </c>
      <c r="N63" s="648">
        <f t="shared" si="9"/>
        <v>0</v>
      </c>
    </row>
    <row r="64" spans="1:14" x14ac:dyDescent="0.25">
      <c r="B64" s="1187" t="s">
        <v>1020</v>
      </c>
      <c r="C64" s="1187"/>
      <c r="D64" s="1187"/>
      <c r="E64" s="1187"/>
      <c r="F64" s="648">
        <f>F63/F62</f>
        <v>24.516000000000002</v>
      </c>
      <c r="G64" s="648"/>
      <c r="H64" s="648">
        <f t="shared" ref="H64:N64" si="10">H63/H62</f>
        <v>35.316000000000003</v>
      </c>
      <c r="I64" s="648"/>
      <c r="J64" s="648">
        <f t="shared" si="10"/>
        <v>61.948799999999999</v>
      </c>
      <c r="K64" s="648"/>
      <c r="L64" s="648">
        <f t="shared" si="10"/>
        <v>0</v>
      </c>
      <c r="M64" s="648">
        <f t="shared" si="10"/>
        <v>0</v>
      </c>
      <c r="N64" s="648">
        <f t="shared" si="10"/>
        <v>0</v>
      </c>
    </row>
    <row r="65" spans="2:14" x14ac:dyDescent="0.25">
      <c r="B65" s="1187" t="s">
        <v>1021</v>
      </c>
      <c r="C65" s="1187"/>
      <c r="D65" s="1187"/>
      <c r="E65" s="1187"/>
      <c r="F65" s="30"/>
      <c r="G65" s="30"/>
      <c r="H65" s="30"/>
      <c r="I65" s="30"/>
      <c r="J65" s="30">
        <v>29</v>
      </c>
      <c r="K65" s="30"/>
      <c r="L65" s="30">
        <v>46</v>
      </c>
      <c r="M65" s="30"/>
      <c r="N65" s="30"/>
    </row>
    <row r="66" spans="2:14" x14ac:dyDescent="0.25">
      <c r="B66" s="1187" t="s">
        <v>248</v>
      </c>
      <c r="C66" s="1187"/>
      <c r="D66" s="1187"/>
      <c r="E66" s="1187"/>
      <c r="F66" s="649">
        <f>'Очередь 1 Кейс-Совм'!C32</f>
        <v>5000</v>
      </c>
      <c r="G66" s="649"/>
      <c r="H66" s="649">
        <f>'Очередь 1 Кейс-Совм'!C32</f>
        <v>5000</v>
      </c>
      <c r="I66" s="649"/>
      <c r="J66" s="649">
        <f>'Очередь 1 ПРОФ_КОРП'!C32</f>
        <v>5000</v>
      </c>
      <c r="K66" s="649"/>
      <c r="L66" s="649">
        <f>'Очередь 2 ПРОФ_КОРП'!C32</f>
        <v>6500</v>
      </c>
      <c r="M66" s="649">
        <f>'Очередь 3 ПРОФ_КОРП'!C32</f>
        <v>5000</v>
      </c>
      <c r="N66" s="649">
        <f>'Развитие ПРОФ_КОРП'!C32</f>
        <v>5000</v>
      </c>
    </row>
  </sheetData>
  <mergeCells count="29">
    <mergeCell ref="F1:J1"/>
    <mergeCell ref="F61:J61"/>
    <mergeCell ref="B9:E9"/>
    <mergeCell ref="B8:E8"/>
    <mergeCell ref="B7:E7"/>
    <mergeCell ref="B6:E6"/>
    <mergeCell ref="B5:E5"/>
    <mergeCell ref="B3:E3"/>
    <mergeCell ref="B4:E4"/>
    <mergeCell ref="B20:E20"/>
    <mergeCell ref="B19:E19"/>
    <mergeCell ref="B18:E18"/>
    <mergeCell ref="B12:E12"/>
    <mergeCell ref="B17:E17"/>
    <mergeCell ref="B16:E16"/>
    <mergeCell ref="B15:E15"/>
    <mergeCell ref="B1:E1"/>
    <mergeCell ref="B66:E66"/>
    <mergeCell ref="B65:E65"/>
    <mergeCell ref="B64:E64"/>
    <mergeCell ref="B63:E63"/>
    <mergeCell ref="B62:E62"/>
    <mergeCell ref="B2:E2"/>
    <mergeCell ref="B11:E11"/>
    <mergeCell ref="B10:E10"/>
    <mergeCell ref="B61:E61"/>
    <mergeCell ref="B14:E14"/>
    <mergeCell ref="B13:E13"/>
    <mergeCell ref="B21:E21"/>
  </mergeCells>
  <conditionalFormatting sqref="F5:F21 H5:H21 J5:J21 L5:N21">
    <cfRule type="colorScale" priority="1">
      <colorScale>
        <cfvo type="min"/>
        <cfvo type="max"/>
        <color rgb="FFFCFCFF"/>
        <color rgb="FF63BE7B"/>
      </colorScale>
    </cfRule>
  </conditionalFormatting>
  <dataValidations count="1">
    <dataValidation type="list" allowBlank="1" showInputMessage="1" showErrorMessage="1" sqref="L3:N3 J3 F3 H3" xr:uid="{00000000-0002-0000-0600-000000000000}">
      <formula1>"ДА,Нет"</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1000000}">
          <x14:formula1>
            <xm:f>'Прафс-лист на СОФТ'!$D$4:$D$22</xm:f>
          </x14:formula1>
          <xm:sqref>B26:B31</xm:sqref>
        </x14:dataValidation>
        <x14:dataValidation type="list" allowBlank="1" showInputMessage="1" showErrorMessage="1" xr:uid="{00000000-0002-0000-0600-000002000000}">
          <x14:formula1>
            <xm:f>'Прафс-лист на СОФТ'!$D$33:$D$102</xm:f>
          </x14:formula1>
          <xm:sqref>B34:B40</xm:sqref>
        </x14:dataValidation>
        <x14:dataValidation type="list" allowBlank="1" showInputMessage="1" showErrorMessage="1" xr:uid="{00000000-0002-0000-0600-000003000000}">
          <x14:formula1>
            <xm:f>'Прафс-лист на СОФТ'!$D$24:$D$32</xm:f>
          </x14:formula1>
          <xm:sqref>B51:B57</xm:sqref>
        </x14:dataValidation>
        <x14:dataValidation type="list" allowBlank="1" showInputMessage="1" showErrorMessage="1" xr:uid="{00000000-0002-0000-0600-000004000000}">
          <x14:formula1>
            <xm:f>'Прафс-лист на СОФТ'!$D$127:$D$166</xm:f>
          </x14:formula1>
          <xm:sqref>B32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E38"/>
  <sheetViews>
    <sheetView zoomScale="85" zoomScaleNormal="85" workbookViewId="0">
      <pane xSplit="1" ySplit="1" topLeftCell="B26" activePane="bottomRight" state="frozen"/>
      <selection pane="topRight" activeCell="B1" sqref="B1"/>
      <selection pane="bottomLeft" activeCell="A2" sqref="A2"/>
      <selection pane="bottomRight" activeCell="B5" sqref="B5"/>
    </sheetView>
  </sheetViews>
  <sheetFormatPr defaultRowHeight="15" outlineLevelRow="1" x14ac:dyDescent="0.25"/>
  <cols>
    <col min="1" max="1" width="47.7109375" style="1" customWidth="1"/>
    <col min="2" max="5" width="52.28515625" customWidth="1"/>
  </cols>
  <sheetData>
    <row r="1" spans="1:5" x14ac:dyDescent="0.25">
      <c r="A1" s="294" t="s">
        <v>576</v>
      </c>
      <c r="B1" s="294" t="s">
        <v>577</v>
      </c>
      <c r="C1" s="294" t="s">
        <v>578</v>
      </c>
      <c r="D1" s="294" t="s">
        <v>580</v>
      </c>
      <c r="E1" s="294" t="s">
        <v>579</v>
      </c>
    </row>
    <row r="2" spans="1:5" ht="105" outlineLevel="1" x14ac:dyDescent="0.25">
      <c r="A2" s="293" t="s">
        <v>282</v>
      </c>
      <c r="B2" s="296" t="s">
        <v>299</v>
      </c>
      <c r="C2" s="296" t="s">
        <v>299</v>
      </c>
      <c r="D2" s="296" t="s">
        <v>299</v>
      </c>
      <c r="E2" s="300" t="s">
        <v>591</v>
      </c>
    </row>
    <row r="3" spans="1:5" ht="231.75" customHeight="1" outlineLevel="1" x14ac:dyDescent="0.25">
      <c r="A3" s="293" t="s">
        <v>2</v>
      </c>
      <c r="B3" s="304" t="s">
        <v>581</v>
      </c>
      <c r="C3" s="304" t="s">
        <v>581</v>
      </c>
      <c r="D3" s="297" t="s">
        <v>667</v>
      </c>
      <c r="E3" s="300" t="s">
        <v>668</v>
      </c>
    </row>
    <row r="4" spans="1:5" ht="158.25" customHeight="1" outlineLevel="1" x14ac:dyDescent="0.25">
      <c r="A4" s="293" t="s">
        <v>3</v>
      </c>
      <c r="B4" s="1216" t="s">
        <v>1459</v>
      </c>
      <c r="C4" s="1217"/>
      <c r="D4" s="297" t="s">
        <v>669</v>
      </c>
      <c r="E4" s="300" t="s">
        <v>582</v>
      </c>
    </row>
    <row r="5" spans="1:5" ht="178.5" customHeight="1" outlineLevel="1" x14ac:dyDescent="0.25">
      <c r="A5" s="293" t="s">
        <v>1</v>
      </c>
      <c r="B5" s="299" t="s">
        <v>1460</v>
      </c>
      <c r="C5" s="298" t="s">
        <v>584</v>
      </c>
      <c r="D5" s="297" t="s">
        <v>583</v>
      </c>
      <c r="E5" s="300" t="s">
        <v>670</v>
      </c>
    </row>
    <row r="6" spans="1:5" ht="165" outlineLevel="1" x14ac:dyDescent="0.25">
      <c r="A6" s="293" t="s">
        <v>277</v>
      </c>
      <c r="B6" s="296" t="s">
        <v>299</v>
      </c>
      <c r="C6" s="296" t="s">
        <v>299</v>
      </c>
      <c r="D6" s="297" t="s">
        <v>585</v>
      </c>
      <c r="E6" s="300" t="s">
        <v>586</v>
      </c>
    </row>
    <row r="7" spans="1:5" ht="255" outlineLevel="1" x14ac:dyDescent="0.25">
      <c r="A7" s="293" t="s">
        <v>681</v>
      </c>
      <c r="B7" s="296" t="s">
        <v>299</v>
      </c>
      <c r="C7" s="303" t="s">
        <v>587</v>
      </c>
      <c r="D7" s="297" t="s">
        <v>673</v>
      </c>
      <c r="E7" s="300" t="s">
        <v>671</v>
      </c>
    </row>
    <row r="8" spans="1:5" outlineLevel="1" x14ac:dyDescent="0.25">
      <c r="A8" s="293" t="s">
        <v>279</v>
      </c>
      <c r="B8" s="296" t="s">
        <v>299</v>
      </c>
      <c r="C8" s="296" t="s">
        <v>299</v>
      </c>
      <c r="D8" s="296" t="s">
        <v>299</v>
      </c>
      <c r="E8" s="295"/>
    </row>
    <row r="9" spans="1:5" ht="234" customHeight="1" outlineLevel="1" x14ac:dyDescent="0.25">
      <c r="A9" s="302" t="s">
        <v>272</v>
      </c>
      <c r="B9" s="324" t="s">
        <v>676</v>
      </c>
      <c r="C9" s="325" t="s">
        <v>677</v>
      </c>
      <c r="D9" s="297" t="s">
        <v>674</v>
      </c>
      <c r="E9" s="300" t="s">
        <v>675</v>
      </c>
    </row>
    <row r="10" spans="1:5" ht="60" outlineLevel="1" x14ac:dyDescent="0.25">
      <c r="A10" s="293" t="s">
        <v>271</v>
      </c>
      <c r="B10" s="296" t="s">
        <v>299</v>
      </c>
      <c r="C10" s="303" t="s">
        <v>592</v>
      </c>
      <c r="D10" s="297" t="s">
        <v>593</v>
      </c>
      <c r="E10" s="300" t="s">
        <v>678</v>
      </c>
    </row>
    <row r="11" spans="1:5" ht="75" outlineLevel="1" x14ac:dyDescent="0.25">
      <c r="A11" s="293" t="s">
        <v>682</v>
      </c>
      <c r="B11" s="296" t="s">
        <v>299</v>
      </c>
      <c r="C11" s="296" t="s">
        <v>299</v>
      </c>
      <c r="D11" s="297" t="s">
        <v>679</v>
      </c>
      <c r="E11" s="300" t="s">
        <v>680</v>
      </c>
    </row>
    <row r="12" spans="1:5" ht="45" outlineLevel="1" x14ac:dyDescent="0.25">
      <c r="A12" s="293" t="s">
        <v>683</v>
      </c>
      <c r="B12" s="301" t="s">
        <v>589</v>
      </c>
      <c r="C12" s="303" t="s">
        <v>685</v>
      </c>
      <c r="D12" s="297" t="s">
        <v>590</v>
      </c>
      <c r="E12" s="300" t="s">
        <v>590</v>
      </c>
    </row>
    <row r="13" spans="1:5" ht="60" outlineLevel="1" x14ac:dyDescent="0.25">
      <c r="A13" s="293" t="s">
        <v>588</v>
      </c>
      <c r="B13" s="296" t="s">
        <v>299</v>
      </c>
      <c r="C13" s="303" t="s">
        <v>684</v>
      </c>
      <c r="D13" s="297" t="s">
        <v>590</v>
      </c>
      <c r="E13" s="300" t="s">
        <v>686</v>
      </c>
    </row>
    <row r="14" spans="1:5" ht="45" outlineLevel="1" x14ac:dyDescent="0.25">
      <c r="A14" s="293" t="s">
        <v>687</v>
      </c>
      <c r="B14" s="301" t="s">
        <v>594</v>
      </c>
      <c r="C14" s="303" t="s">
        <v>595</v>
      </c>
      <c r="D14" s="297" t="s">
        <v>596</v>
      </c>
      <c r="E14" s="295"/>
    </row>
    <row r="15" spans="1:5" ht="105" outlineLevel="1" x14ac:dyDescent="0.25">
      <c r="A15" s="293" t="s">
        <v>688</v>
      </c>
      <c r="B15" s="296" t="s">
        <v>299</v>
      </c>
      <c r="C15" s="296" t="s">
        <v>299</v>
      </c>
      <c r="D15" s="301" t="s">
        <v>690</v>
      </c>
      <c r="E15" s="300" t="s">
        <v>689</v>
      </c>
    </row>
    <row r="16" spans="1:5" ht="30" outlineLevel="1" x14ac:dyDescent="0.25">
      <c r="A16" s="293" t="s">
        <v>276</v>
      </c>
      <c r="B16" s="296" t="s">
        <v>299</v>
      </c>
      <c r="C16" s="296" t="s">
        <v>299</v>
      </c>
      <c r="D16" s="296" t="s">
        <v>299</v>
      </c>
      <c r="E16" s="295"/>
    </row>
    <row r="17" spans="2:5" x14ac:dyDescent="0.25">
      <c r="B17" s="1"/>
      <c r="C17" s="1"/>
      <c r="D17" s="1"/>
      <c r="E17" s="1"/>
    </row>
    <row r="18" spans="2:5" x14ac:dyDescent="0.25">
      <c r="B18" s="1"/>
      <c r="C18" s="1"/>
      <c r="D18" s="1"/>
      <c r="E18" s="1"/>
    </row>
    <row r="19" spans="2:5" x14ac:dyDescent="0.25">
      <c r="B19" s="1"/>
      <c r="C19" s="1"/>
      <c r="D19" s="1"/>
      <c r="E19" s="1"/>
    </row>
    <row r="20" spans="2:5" x14ac:dyDescent="0.25">
      <c r="B20" s="1"/>
      <c r="C20" s="1"/>
      <c r="D20" s="1"/>
      <c r="E20" s="1"/>
    </row>
    <row r="21" spans="2:5" x14ac:dyDescent="0.25">
      <c r="B21" s="1"/>
      <c r="C21" s="1"/>
      <c r="D21" s="1"/>
      <c r="E21" s="1"/>
    </row>
    <row r="22" spans="2:5" x14ac:dyDescent="0.25">
      <c r="B22" s="1"/>
      <c r="C22" s="1"/>
      <c r="D22" s="1"/>
      <c r="E22" s="1"/>
    </row>
    <row r="23" spans="2:5" x14ac:dyDescent="0.25">
      <c r="B23" s="1"/>
      <c r="C23" s="1"/>
      <c r="D23" s="1"/>
      <c r="E23" s="1"/>
    </row>
    <row r="24" spans="2:5" x14ac:dyDescent="0.25">
      <c r="B24" s="1"/>
      <c r="C24" s="1"/>
      <c r="D24" s="1"/>
      <c r="E24" s="1"/>
    </row>
    <row r="25" spans="2:5" x14ac:dyDescent="0.25">
      <c r="B25" s="1"/>
      <c r="C25" s="1"/>
      <c r="D25" s="1"/>
      <c r="E25" s="1"/>
    </row>
    <row r="26" spans="2:5" x14ac:dyDescent="0.25">
      <c r="B26" s="1"/>
      <c r="C26" s="1"/>
      <c r="D26" s="1"/>
      <c r="E26" s="1"/>
    </row>
    <row r="27" spans="2:5" x14ac:dyDescent="0.25">
      <c r="B27" s="1"/>
      <c r="C27" s="1"/>
      <c r="D27" s="1"/>
      <c r="E27" s="1"/>
    </row>
    <row r="28" spans="2:5" x14ac:dyDescent="0.25">
      <c r="B28" s="1"/>
      <c r="C28" s="1"/>
      <c r="D28" s="1"/>
      <c r="E28" s="1"/>
    </row>
    <row r="29" spans="2:5" x14ac:dyDescent="0.25">
      <c r="B29" s="1"/>
      <c r="C29" s="1"/>
      <c r="D29" s="1"/>
      <c r="E29" s="1"/>
    </row>
    <row r="30" spans="2:5" x14ac:dyDescent="0.25">
      <c r="B30" s="1"/>
      <c r="C30" s="1"/>
      <c r="D30" s="1"/>
      <c r="E30" s="1"/>
    </row>
    <row r="31" spans="2:5" x14ac:dyDescent="0.25">
      <c r="B31" s="1"/>
      <c r="C31" s="1"/>
      <c r="D31" s="1"/>
      <c r="E31" s="1"/>
    </row>
    <row r="32" spans="2:5" x14ac:dyDescent="0.25">
      <c r="B32" s="1"/>
      <c r="C32" s="1"/>
      <c r="D32" s="1"/>
      <c r="E32" s="1"/>
    </row>
    <row r="33" spans="2:5" x14ac:dyDescent="0.25">
      <c r="B33" s="1"/>
      <c r="C33" s="1"/>
      <c r="D33" s="1"/>
      <c r="E33" s="1"/>
    </row>
    <row r="34" spans="2:5" x14ac:dyDescent="0.25">
      <c r="B34" s="1"/>
      <c r="C34" s="1"/>
      <c r="D34" s="1"/>
      <c r="E34" s="1"/>
    </row>
    <row r="35" spans="2:5" x14ac:dyDescent="0.25">
      <c r="B35" s="1"/>
      <c r="C35" s="1"/>
      <c r="D35" s="1"/>
      <c r="E35" s="1"/>
    </row>
    <row r="36" spans="2:5" x14ac:dyDescent="0.25">
      <c r="B36" s="1"/>
      <c r="C36" s="1"/>
      <c r="D36" s="1"/>
      <c r="E36" s="1"/>
    </row>
    <row r="37" spans="2:5" x14ac:dyDescent="0.25">
      <c r="B37" s="1"/>
      <c r="C37" s="1"/>
      <c r="D37" s="1"/>
      <c r="E37" s="1"/>
    </row>
    <row r="38" spans="2:5" x14ac:dyDescent="0.25">
      <c r="B38" s="1"/>
      <c r="C38" s="1"/>
      <c r="D38" s="1"/>
      <c r="E38" s="1"/>
    </row>
  </sheetData>
  <mergeCells count="1">
    <mergeCell ref="B4:C4"/>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M31"/>
  <sheetViews>
    <sheetView zoomScale="85" zoomScaleNormal="85" workbookViewId="0">
      <pane xSplit="3" ySplit="3" topLeftCell="L4" activePane="bottomRight" state="frozen"/>
      <selection pane="topRight" activeCell="D1" sqref="D1"/>
      <selection pane="bottomLeft" activeCell="A4" sqref="A4"/>
      <selection pane="bottomRight" activeCell="M3" sqref="M3"/>
    </sheetView>
  </sheetViews>
  <sheetFormatPr defaultColWidth="9.28515625" defaultRowHeight="10.5" outlineLevelRow="1" outlineLevelCol="4" x14ac:dyDescent="0.15"/>
  <cols>
    <col min="1" max="1" width="6.5703125" style="699" bestFit="1" customWidth="1"/>
    <col min="2" max="2" width="17" style="683" customWidth="1"/>
    <col min="3" max="3" width="24.42578125" style="683" customWidth="1"/>
    <col min="4" max="4" width="13.42578125" style="700" customWidth="1" outlineLevel="1"/>
    <col min="5" max="5" width="51.7109375" style="701" customWidth="1" outlineLevel="1"/>
    <col min="6" max="6" width="25.7109375" style="683" customWidth="1" outlineLevel="1"/>
    <col min="7" max="7" width="23.42578125" style="683" customWidth="1" outlineLevel="1"/>
    <col min="8" max="8" width="12.42578125" style="683" customWidth="1"/>
    <col min="9" max="9" width="14.5703125" style="683" customWidth="1"/>
    <col min="10" max="10" width="14.5703125" style="683" customWidth="1" outlineLevel="1"/>
    <col min="11" max="11" width="13.7109375" style="683" customWidth="1" outlineLevel="1"/>
    <col min="12" max="12" width="16.7109375" style="683" customWidth="1"/>
    <col min="13" max="15" width="23.42578125" style="683" customWidth="1" outlineLevel="1"/>
    <col min="16" max="16" width="20.28515625" style="683" customWidth="1" outlineLevel="2" collapsed="1"/>
    <col min="17" max="17" width="20.28515625" style="683" hidden="1" customWidth="1" outlineLevel="4"/>
    <col min="18" max="18" width="25.5703125" style="683" hidden="1" customWidth="1" outlineLevel="4"/>
    <col min="19" max="19" width="17.28515625" style="683" hidden="1" customWidth="1" outlineLevel="4"/>
    <col min="20" max="20" width="14.5703125" style="683" customWidth="1" outlineLevel="2"/>
    <col min="21" max="21" width="18.5703125" style="683" customWidth="1" outlineLevel="3" collapsed="1"/>
    <col min="22" max="22" width="12.28515625" style="683" hidden="1" customWidth="1" outlineLevel="4"/>
    <col min="23" max="24" width="17.28515625" style="683" customWidth="1"/>
    <col min="25" max="25" width="12.28515625" style="683" customWidth="1" outlineLevel="1" collapsed="1"/>
    <col min="26" max="26" width="9.28515625" style="683" customWidth="1" outlineLevel="1"/>
    <col min="27" max="27" width="12.28515625" style="683" customWidth="1" outlineLevel="1"/>
    <col min="28" max="28" width="9.28515625" style="683" customWidth="1" outlineLevel="1"/>
    <col min="29" max="29" width="12.28515625" style="683" customWidth="1" outlineLevel="1"/>
    <col min="30" max="30" width="9.28515625" style="683" customWidth="1" outlineLevel="1"/>
    <col min="31" max="31" width="12.28515625" style="683" customWidth="1" outlineLevel="1"/>
    <col min="32" max="32" width="9.28515625" style="683" customWidth="1" outlineLevel="1"/>
    <col min="33" max="33" width="12.28515625" style="683" customWidth="1" outlineLevel="1"/>
    <col min="34" max="34" width="9.28515625" style="683" customWidth="1" outlineLevel="1"/>
    <col min="35" max="35" width="12.28515625" style="683" customWidth="1" outlineLevel="1"/>
    <col min="36" max="36" width="9.28515625" style="683" customWidth="1" outlineLevel="1"/>
    <col min="37" max="37" width="12.28515625" style="683" customWidth="1" outlineLevel="1"/>
    <col min="38" max="39" width="9.28515625" style="683" customWidth="1" outlineLevel="1"/>
    <col min="40" max="16384" width="9.28515625" style="683"/>
  </cols>
  <sheetData>
    <row r="1" spans="1:38" s="660" customFormat="1" ht="42" x14ac:dyDescent="0.25">
      <c r="A1" s="1244" t="s">
        <v>1029</v>
      </c>
      <c r="B1" s="1236" t="s">
        <v>1461</v>
      </c>
      <c r="C1" s="1236" t="s">
        <v>720</v>
      </c>
      <c r="D1" s="1236" t="s">
        <v>1462</v>
      </c>
      <c r="E1" s="1236" t="s">
        <v>1421</v>
      </c>
      <c r="F1" s="1236" t="s">
        <v>781</v>
      </c>
      <c r="G1" s="1236" t="s">
        <v>1463</v>
      </c>
      <c r="H1" s="1236" t="s">
        <v>1537</v>
      </c>
      <c r="I1" s="1237" t="s">
        <v>1464</v>
      </c>
      <c r="J1" s="1237" t="s">
        <v>1465</v>
      </c>
      <c r="K1" s="1237" t="s">
        <v>1466</v>
      </c>
      <c r="L1" s="1243" t="s">
        <v>1467</v>
      </c>
      <c r="M1" s="659" t="s">
        <v>1468</v>
      </c>
      <c r="N1" s="659" t="s">
        <v>1469</v>
      </c>
      <c r="O1" s="1239" t="s">
        <v>1470</v>
      </c>
      <c r="P1" s="1241" t="s">
        <v>1471</v>
      </c>
      <c r="Q1" s="1237" t="s">
        <v>1472</v>
      </c>
      <c r="R1" s="1237" t="s">
        <v>1473</v>
      </c>
      <c r="S1" s="1237" t="s">
        <v>1474</v>
      </c>
      <c r="T1" s="1237" t="s">
        <v>1475</v>
      </c>
      <c r="U1" s="1236" t="s">
        <v>1476</v>
      </c>
      <c r="V1" s="1236" t="s">
        <v>1477</v>
      </c>
      <c r="W1" s="658" t="s">
        <v>1478</v>
      </c>
      <c r="X1" s="1236" t="s">
        <v>1479</v>
      </c>
      <c r="Y1" s="1236" t="s">
        <v>1480</v>
      </c>
      <c r="Z1" s="1236"/>
      <c r="AA1" s="1236" t="s">
        <v>1481</v>
      </c>
      <c r="AB1" s="1236"/>
      <c r="AC1" s="1236" t="s">
        <v>1482</v>
      </c>
      <c r="AD1" s="1236"/>
      <c r="AE1" s="1236" t="s">
        <v>1483</v>
      </c>
      <c r="AF1" s="1236"/>
      <c r="AG1" s="1236" t="s">
        <v>1484</v>
      </c>
      <c r="AH1" s="1236"/>
      <c r="AI1" s="1236" t="s">
        <v>1485</v>
      </c>
      <c r="AJ1" s="1236"/>
      <c r="AK1" s="1236" t="s">
        <v>1486</v>
      </c>
      <c r="AL1" s="1236"/>
    </row>
    <row r="2" spans="1:38" s="660" customFormat="1" ht="21" x14ac:dyDescent="0.25">
      <c r="A2" s="1244"/>
      <c r="B2" s="1236"/>
      <c r="C2" s="1236"/>
      <c r="D2" s="1236"/>
      <c r="E2" s="1236"/>
      <c r="F2" s="1236"/>
      <c r="G2" s="1236"/>
      <c r="H2" s="1236"/>
      <c r="I2" s="1238"/>
      <c r="J2" s="1238"/>
      <c r="K2" s="1238"/>
      <c r="L2" s="1243"/>
      <c r="M2" s="706">
        <f>'Очередь 1 Кейс-Совм'!C52</f>
        <v>0.2</v>
      </c>
      <c r="N2" s="706">
        <f>'Очередь 1 Кейс-Совм'!C52</f>
        <v>0.2</v>
      </c>
      <c r="O2" s="1240"/>
      <c r="P2" s="1242"/>
      <c r="Q2" s="1238"/>
      <c r="R2" s="1238"/>
      <c r="S2" s="1238"/>
      <c r="T2" s="1238"/>
      <c r="U2" s="1236"/>
      <c r="V2" s="1236"/>
      <c r="W2" s="661">
        <v>1.5</v>
      </c>
      <c r="X2" s="1236"/>
      <c r="Y2" s="516" t="s">
        <v>1487</v>
      </c>
      <c r="Z2" s="516" t="s">
        <v>1488</v>
      </c>
      <c r="AA2" s="516" t="s">
        <v>1487</v>
      </c>
      <c r="AB2" s="516" t="s">
        <v>1488</v>
      </c>
      <c r="AC2" s="516" t="s">
        <v>1487</v>
      </c>
      <c r="AD2" s="516" t="s">
        <v>1488</v>
      </c>
      <c r="AE2" s="516" t="s">
        <v>1487</v>
      </c>
      <c r="AF2" s="516" t="s">
        <v>1488</v>
      </c>
      <c r="AG2" s="516" t="s">
        <v>1487</v>
      </c>
      <c r="AH2" s="516" t="s">
        <v>1488</v>
      </c>
      <c r="AI2" s="516" t="s">
        <v>1487</v>
      </c>
      <c r="AJ2" s="516" t="s">
        <v>1488</v>
      </c>
      <c r="AK2" s="516" t="s">
        <v>1487</v>
      </c>
      <c r="AL2" s="516" t="s">
        <v>1488</v>
      </c>
    </row>
    <row r="3" spans="1:38" s="660" customFormat="1" ht="11.25" thickBot="1" x14ac:dyDescent="0.3">
      <c r="A3" s="1227" t="s">
        <v>1489</v>
      </c>
      <c r="B3" s="1228"/>
      <c r="C3" s="1228"/>
      <c r="D3" s="1228"/>
      <c r="E3" s="1228"/>
      <c r="F3" s="1228"/>
      <c r="G3" s="1228"/>
      <c r="H3" s="1229"/>
      <c r="I3" s="662" t="e">
        <f>SUM(I4:I17)</f>
        <v>#REF!</v>
      </c>
      <c r="J3" s="662" t="e">
        <f t="shared" ref="J3:P3" si="0">SUM(J4:J17)</f>
        <v>#REF!</v>
      </c>
      <c r="K3" s="662">
        <f t="shared" si="0"/>
        <v>66</v>
      </c>
      <c r="L3" s="663" t="e">
        <f t="shared" si="0"/>
        <v>#REF!</v>
      </c>
      <c r="M3" s="663" t="e">
        <f t="shared" si="0"/>
        <v>#REF!</v>
      </c>
      <c r="N3" s="663" t="e">
        <f t="shared" si="0"/>
        <v>#REF!</v>
      </c>
      <c r="O3" s="664" t="e">
        <f t="shared" si="0"/>
        <v>#REF!</v>
      </c>
      <c r="P3" s="665">
        <f t="shared" si="0"/>
        <v>0</v>
      </c>
      <c r="Q3" s="662"/>
      <c r="R3" s="662"/>
      <c r="S3" s="662"/>
      <c r="T3" s="666" t="e">
        <f>SUM(T4:T17)</f>
        <v>#REF!</v>
      </c>
      <c r="U3" s="667"/>
      <c r="V3" s="666" t="e">
        <f>SUM(V4:V17)</f>
        <v>#REF!</v>
      </c>
      <c r="W3" s="662" t="e">
        <f>SUM(W4:W17)</f>
        <v>#REF!</v>
      </c>
      <c r="X3" s="668" t="e">
        <f>SUM(X4:X17)</f>
        <v>#REF!</v>
      </c>
      <c r="Y3" s="516"/>
      <c r="Z3" s="516" t="e">
        <f>SUM(Z4:Z17)</f>
        <v>#REF!</v>
      </c>
      <c r="AA3" s="516"/>
      <c r="AB3" s="516" t="e">
        <f>SUM(AB4:AB17)</f>
        <v>#REF!</v>
      </c>
      <c r="AC3" s="516"/>
      <c r="AD3" s="516" t="e">
        <f>SUM(AD4:AD17)</f>
        <v>#REF!</v>
      </c>
      <c r="AE3" s="516"/>
      <c r="AF3" s="516" t="e">
        <f>SUM(AF4:AF17)</f>
        <v>#REF!</v>
      </c>
      <c r="AG3" s="516"/>
      <c r="AH3" s="516" t="e">
        <f>SUM(AH4:AH17)</f>
        <v>#REF!</v>
      </c>
      <c r="AI3" s="516"/>
      <c r="AJ3" s="516" t="e">
        <f>SUM(AJ4:AJ17)</f>
        <v>#REF!</v>
      </c>
      <c r="AK3" s="516"/>
      <c r="AL3" s="516" t="e">
        <f>SUM(AL4:AL17)</f>
        <v>#REF!</v>
      </c>
    </row>
    <row r="4" spans="1:38" ht="126" outlineLevel="1" x14ac:dyDescent="0.15">
      <c r="A4" s="669" t="s">
        <v>396</v>
      </c>
      <c r="B4" s="1218" t="s">
        <v>1538</v>
      </c>
      <c r="C4" s="670" t="s">
        <v>1490</v>
      </c>
      <c r="D4" s="671" t="s">
        <v>1491</v>
      </c>
      <c r="E4" s="670" t="s">
        <v>1539</v>
      </c>
      <c r="F4" s="670" t="s">
        <v>1540</v>
      </c>
      <c r="G4" s="670" t="s">
        <v>1492</v>
      </c>
      <c r="H4" s="672"/>
      <c r="I4" s="673">
        <f t="shared" ref="I4:I15" si="1">J4+K4</f>
        <v>2.5</v>
      </c>
      <c r="J4" s="674">
        <f t="shared" ref="J4:J13" si="2">ROUNDUP(W4*W$2,0)</f>
        <v>2</v>
      </c>
      <c r="K4" s="673">
        <f>W4*0.5</f>
        <v>0.5</v>
      </c>
      <c r="L4" s="675">
        <f t="shared" ref="L4:L19" si="3">O4+N4+M4</f>
        <v>101155.6</v>
      </c>
      <c r="M4" s="675">
        <f t="shared" ref="M4:N17" si="4">$O4*M$2</f>
        <v>14450.800000000001</v>
      </c>
      <c r="N4" s="675">
        <f>$O4*N$2</f>
        <v>14450.800000000001</v>
      </c>
      <c r="O4" s="676">
        <f t="shared" ref="O4:O17" si="5">T4+P4</f>
        <v>72254</v>
      </c>
      <c r="P4" s="677">
        <f t="shared" ref="P4:P15" si="6">Q4*($E$30+$E$31)+R4*$E$29*S4</f>
        <v>0</v>
      </c>
      <c r="Q4" s="678"/>
      <c r="R4" s="678"/>
      <c r="S4" s="678"/>
      <c r="T4" s="679">
        <f t="shared" ref="T4:T11" si="7">V4+(V4*U4)</f>
        <v>72254</v>
      </c>
      <c r="U4" s="680">
        <v>3.2199999999999999E-2</v>
      </c>
      <c r="V4" s="679">
        <f t="shared" ref="V4:V14" si="8">X4*$E$27</f>
        <v>70000</v>
      </c>
      <c r="W4" s="674">
        <v>1</v>
      </c>
      <c r="X4" s="681">
        <f>ROUNDUP(SUM(Z4+AB4+AD4+AF4+AH4+AJ4+AL4),0)</f>
        <v>14</v>
      </c>
      <c r="Y4" s="640">
        <v>63</v>
      </c>
      <c r="Z4" s="638">
        <f t="shared" ref="Z4:Z15" si="9">$E$28*W4*Y4/100</f>
        <v>5.04</v>
      </c>
      <c r="AA4" s="640">
        <v>100</v>
      </c>
      <c r="AB4" s="638">
        <f t="shared" ref="AB4:AB15" si="10">$E$28*W4*AA4/100</f>
        <v>8</v>
      </c>
      <c r="AC4" s="640"/>
      <c r="AD4" s="638">
        <f t="shared" ref="AD4:AD15" si="11">$E$28*W4*AC4/100</f>
        <v>0</v>
      </c>
      <c r="AE4" s="640"/>
      <c r="AF4" s="638">
        <f t="shared" ref="AF4:AF15" si="12">$E$28*W4*AE4/100</f>
        <v>0</v>
      </c>
      <c r="AG4" s="640">
        <v>0</v>
      </c>
      <c r="AH4" s="638">
        <f t="shared" ref="AH4:AH15" si="13">$E$28*W4*AG4/100</f>
        <v>0</v>
      </c>
      <c r="AI4" s="640"/>
      <c r="AJ4" s="638">
        <f t="shared" ref="AJ4:AJ15" si="14">$E$28*W4*AI4/100</f>
        <v>0</v>
      </c>
      <c r="AK4" s="640"/>
      <c r="AL4" s="682">
        <f t="shared" ref="AL4:AL15" si="15">$E$28*W4*AK4/100</f>
        <v>0</v>
      </c>
    </row>
    <row r="5" spans="1:38" ht="168" outlineLevel="1" x14ac:dyDescent="0.15">
      <c r="A5" s="669" t="s">
        <v>397</v>
      </c>
      <c r="B5" s="1219"/>
      <c r="C5" s="670" t="s">
        <v>1493</v>
      </c>
      <c r="D5" s="671" t="s">
        <v>1491</v>
      </c>
      <c r="E5" s="670" t="s">
        <v>1494</v>
      </c>
      <c r="F5" s="670" t="s">
        <v>1495</v>
      </c>
      <c r="G5" s="670" t="s">
        <v>1496</v>
      </c>
      <c r="H5" s="672" t="str">
        <f>A4</f>
        <v>1.1.</v>
      </c>
      <c r="I5" s="673">
        <f t="shared" si="1"/>
        <v>6.5</v>
      </c>
      <c r="J5" s="674">
        <f t="shared" si="2"/>
        <v>5</v>
      </c>
      <c r="K5" s="673">
        <f>W5*0.5</f>
        <v>1.5</v>
      </c>
      <c r="L5" s="675">
        <f t="shared" si="3"/>
        <v>301350</v>
      </c>
      <c r="M5" s="675">
        <f t="shared" si="4"/>
        <v>43050</v>
      </c>
      <c r="N5" s="675">
        <f t="shared" si="4"/>
        <v>43050</v>
      </c>
      <c r="O5" s="676">
        <f t="shared" si="5"/>
        <v>215250</v>
      </c>
      <c r="P5" s="677">
        <f t="shared" si="6"/>
        <v>0</v>
      </c>
      <c r="Q5" s="678"/>
      <c r="R5" s="678"/>
      <c r="S5" s="678"/>
      <c r="T5" s="679">
        <f t="shared" si="7"/>
        <v>215250</v>
      </c>
      <c r="U5" s="680">
        <v>0.05</v>
      </c>
      <c r="V5" s="679">
        <f t="shared" si="8"/>
        <v>205000</v>
      </c>
      <c r="W5" s="674">
        <v>3</v>
      </c>
      <c r="X5" s="681">
        <f>ROUNDUP(SUM(Z5+AB5+AD5+AF5+AH5+AJ5+AL5),0)</f>
        <v>41</v>
      </c>
      <c r="Y5" s="640">
        <v>67</v>
      </c>
      <c r="Z5" s="638">
        <f t="shared" si="9"/>
        <v>16.079999999999998</v>
      </c>
      <c r="AA5" s="640">
        <v>100</v>
      </c>
      <c r="AB5" s="638">
        <f t="shared" si="10"/>
        <v>24</v>
      </c>
      <c r="AC5" s="640"/>
      <c r="AD5" s="638">
        <f t="shared" si="11"/>
        <v>0</v>
      </c>
      <c r="AE5" s="640"/>
      <c r="AF5" s="638">
        <f t="shared" si="12"/>
        <v>0</v>
      </c>
      <c r="AG5" s="640">
        <v>0</v>
      </c>
      <c r="AH5" s="638">
        <f t="shared" si="13"/>
        <v>0</v>
      </c>
      <c r="AI5" s="640"/>
      <c r="AJ5" s="638">
        <f t="shared" si="14"/>
        <v>0</v>
      </c>
      <c r="AK5" s="640"/>
      <c r="AL5" s="682">
        <f t="shared" si="15"/>
        <v>0</v>
      </c>
    </row>
    <row r="6" spans="1:38" ht="42" outlineLevel="1" x14ac:dyDescent="0.15">
      <c r="A6" s="669" t="s">
        <v>398</v>
      </c>
      <c r="B6" s="1220"/>
      <c r="C6" s="514" t="s">
        <v>1497</v>
      </c>
      <c r="D6" s="640" t="s">
        <v>1498</v>
      </c>
      <c r="E6" s="514" t="s">
        <v>1499</v>
      </c>
      <c r="F6" s="514" t="s">
        <v>1500</v>
      </c>
      <c r="G6" s="514" t="s">
        <v>1501</v>
      </c>
      <c r="H6" s="669" t="str">
        <f>A5</f>
        <v>1.2.</v>
      </c>
      <c r="I6" s="673">
        <f t="shared" ref="I6" si="16">J6+K6</f>
        <v>10</v>
      </c>
      <c r="J6" s="674">
        <f t="shared" ref="J6" si="17">ROUNDUP(W6*W$2,0)</f>
        <v>0</v>
      </c>
      <c r="K6" s="673">
        <v>10</v>
      </c>
      <c r="L6" s="675">
        <f t="shared" ref="L6" si="18">O6+N6+M6</f>
        <v>0</v>
      </c>
      <c r="M6" s="675">
        <f t="shared" si="4"/>
        <v>0</v>
      </c>
      <c r="N6" s="675">
        <f t="shared" si="4"/>
        <v>0</v>
      </c>
      <c r="O6" s="676">
        <f t="shared" ref="O6" si="19">T6+P6</f>
        <v>0</v>
      </c>
      <c r="P6" s="677">
        <f t="shared" ref="P6" si="20">Q6*($E$30+$E$31)+R6*$E$29*S6</f>
        <v>0</v>
      </c>
      <c r="Q6" s="678"/>
      <c r="R6" s="678"/>
      <c r="S6" s="678"/>
      <c r="T6" s="679">
        <f t="shared" ref="T6" si="21">V6+(V6*U6)</f>
        <v>0</v>
      </c>
      <c r="U6" s="680"/>
      <c r="V6" s="679">
        <f t="shared" ref="V6" si="22">X6*$E$27</f>
        <v>0</v>
      </c>
      <c r="W6" s="673">
        <v>0</v>
      </c>
      <c r="X6" s="681">
        <f t="shared" ref="X6" si="23">ROUNDUP(SUM(Z6+AB6+AD6+AF6+AH6+AJ6+AL6),0)</f>
        <v>0</v>
      </c>
      <c r="Y6" s="640">
        <v>0</v>
      </c>
      <c r="Z6" s="638">
        <f t="shared" ref="Z6" si="24">$E$28*W6*Y6/100</f>
        <v>0</v>
      </c>
      <c r="AA6" s="640"/>
      <c r="AB6" s="638">
        <f t="shared" ref="AB6" si="25">$E$28*W6*AA6/100</f>
        <v>0</v>
      </c>
      <c r="AC6" s="640"/>
      <c r="AD6" s="638">
        <f t="shared" ref="AD6" si="26">$E$28*W6*AC6/100</f>
        <v>0</v>
      </c>
      <c r="AE6" s="640"/>
      <c r="AF6" s="638">
        <f t="shared" ref="AF6" si="27">$E$28*W6*AE6/100</f>
        <v>0</v>
      </c>
      <c r="AG6" s="640"/>
      <c r="AH6" s="638">
        <f t="shared" ref="AH6" si="28">$E$28*W6*AG6/100</f>
        <v>0</v>
      </c>
      <c r="AI6" s="640"/>
      <c r="AJ6" s="638">
        <f t="shared" ref="AJ6" si="29">$E$28*W6*AI6/100</f>
        <v>0</v>
      </c>
      <c r="AK6" s="640"/>
      <c r="AL6" s="682">
        <f t="shared" ref="AL6" si="30">$E$28*W6*AK6/100</f>
        <v>0</v>
      </c>
    </row>
    <row r="7" spans="1:38" ht="136.5" outlineLevel="1" x14ac:dyDescent="0.15">
      <c r="A7" s="669" t="s">
        <v>406</v>
      </c>
      <c r="B7" s="1218" t="s">
        <v>1502</v>
      </c>
      <c r="C7" s="514" t="s">
        <v>761</v>
      </c>
      <c r="D7" s="640" t="s">
        <v>1491</v>
      </c>
      <c r="E7" s="514" t="s">
        <v>1504</v>
      </c>
      <c r="F7" s="514" t="s">
        <v>1505</v>
      </c>
      <c r="G7" s="514" t="s">
        <v>1506</v>
      </c>
      <c r="H7" s="669" t="str">
        <f>A6</f>
        <v>1.3.</v>
      </c>
      <c r="I7" s="673">
        <f t="shared" si="1"/>
        <v>7</v>
      </c>
      <c r="J7" s="674">
        <f t="shared" si="2"/>
        <v>5</v>
      </c>
      <c r="K7" s="673">
        <f>ROUNDUP(W7*0.5,0)</f>
        <v>2</v>
      </c>
      <c r="L7" s="675">
        <f t="shared" si="3"/>
        <v>235200</v>
      </c>
      <c r="M7" s="675">
        <f t="shared" si="4"/>
        <v>33600</v>
      </c>
      <c r="N7" s="675">
        <f t="shared" si="4"/>
        <v>33600</v>
      </c>
      <c r="O7" s="676">
        <f t="shared" si="5"/>
        <v>168000</v>
      </c>
      <c r="P7" s="677">
        <f t="shared" si="6"/>
        <v>0</v>
      </c>
      <c r="Q7" s="678"/>
      <c r="R7" s="678"/>
      <c r="S7" s="678"/>
      <c r="T7" s="679">
        <f t="shared" si="7"/>
        <v>168000</v>
      </c>
      <c r="U7" s="680">
        <v>0.05</v>
      </c>
      <c r="V7" s="679">
        <f t="shared" si="8"/>
        <v>160000</v>
      </c>
      <c r="W7" s="686">
        <v>3</v>
      </c>
      <c r="X7" s="681">
        <f t="shared" ref="X7:X19" si="31">ROUNDUP(SUM(Z7+AB7+AD7+AF7+AH7+AJ7+AL7),0)</f>
        <v>32</v>
      </c>
      <c r="Y7" s="640">
        <v>30</v>
      </c>
      <c r="Z7" s="638">
        <f t="shared" si="9"/>
        <v>7.2</v>
      </c>
      <c r="AA7" s="640">
        <v>100</v>
      </c>
      <c r="AB7" s="638">
        <f t="shared" si="10"/>
        <v>24</v>
      </c>
      <c r="AC7" s="640"/>
      <c r="AD7" s="638">
        <f t="shared" si="11"/>
        <v>0</v>
      </c>
      <c r="AE7" s="640"/>
      <c r="AF7" s="638">
        <f t="shared" si="12"/>
        <v>0</v>
      </c>
      <c r="AG7" s="640">
        <v>0</v>
      </c>
      <c r="AH7" s="638">
        <f t="shared" si="13"/>
        <v>0</v>
      </c>
      <c r="AI7" s="640"/>
      <c r="AJ7" s="638">
        <f t="shared" si="14"/>
        <v>0</v>
      </c>
      <c r="AK7" s="640"/>
      <c r="AL7" s="682">
        <f t="shared" si="15"/>
        <v>0</v>
      </c>
    </row>
    <row r="8" spans="1:38" ht="147" outlineLevel="1" x14ac:dyDescent="0.15">
      <c r="A8" s="669" t="s">
        <v>407</v>
      </c>
      <c r="B8" s="1219"/>
      <c r="C8" s="514" t="s">
        <v>762</v>
      </c>
      <c r="D8" s="640" t="s">
        <v>1491</v>
      </c>
      <c r="E8" s="514" t="s">
        <v>1507</v>
      </c>
      <c r="F8" s="514" t="s">
        <v>1508</v>
      </c>
      <c r="G8" s="514" t="s">
        <v>1509</v>
      </c>
      <c r="H8" s="669" t="str">
        <f t="shared" ref="H8:H17" si="32">A7</f>
        <v>2.1.</v>
      </c>
      <c r="I8" s="673">
        <f t="shared" si="1"/>
        <v>11</v>
      </c>
      <c r="J8" s="674">
        <f t="shared" si="2"/>
        <v>8</v>
      </c>
      <c r="K8" s="673">
        <f>ROUNDUP(W8*0.5,0)</f>
        <v>3</v>
      </c>
      <c r="L8" s="675">
        <f t="shared" si="3"/>
        <v>554400</v>
      </c>
      <c r="M8" s="675">
        <f t="shared" si="4"/>
        <v>79200</v>
      </c>
      <c r="N8" s="675">
        <f t="shared" si="4"/>
        <v>79200</v>
      </c>
      <c r="O8" s="676">
        <f t="shared" si="5"/>
        <v>396000</v>
      </c>
      <c r="P8" s="677">
        <f t="shared" si="6"/>
        <v>0</v>
      </c>
      <c r="Q8" s="678"/>
      <c r="R8" s="678"/>
      <c r="S8" s="678"/>
      <c r="T8" s="679">
        <f t="shared" si="7"/>
        <v>396000</v>
      </c>
      <c r="U8" s="680">
        <v>0.1</v>
      </c>
      <c r="V8" s="679">
        <f t="shared" si="8"/>
        <v>360000</v>
      </c>
      <c r="W8" s="673">
        <v>5</v>
      </c>
      <c r="X8" s="681">
        <f t="shared" si="31"/>
        <v>72</v>
      </c>
      <c r="Y8" s="640">
        <v>30</v>
      </c>
      <c r="Z8" s="638">
        <f t="shared" si="9"/>
        <v>12</v>
      </c>
      <c r="AA8" s="640">
        <v>100</v>
      </c>
      <c r="AB8" s="638">
        <f t="shared" si="10"/>
        <v>40</v>
      </c>
      <c r="AC8" s="640"/>
      <c r="AD8" s="638">
        <f t="shared" si="11"/>
        <v>0</v>
      </c>
      <c r="AE8" s="640"/>
      <c r="AF8" s="638">
        <f t="shared" si="12"/>
        <v>0</v>
      </c>
      <c r="AG8" s="640">
        <v>50</v>
      </c>
      <c r="AH8" s="638">
        <f t="shared" si="13"/>
        <v>20</v>
      </c>
      <c r="AI8" s="640"/>
      <c r="AJ8" s="638">
        <f t="shared" si="14"/>
        <v>0</v>
      </c>
      <c r="AK8" s="640"/>
      <c r="AL8" s="682">
        <f t="shared" si="15"/>
        <v>0</v>
      </c>
    </row>
    <row r="9" spans="1:38" ht="157.5" outlineLevel="1" x14ac:dyDescent="0.15">
      <c r="A9" s="669" t="s">
        <v>408</v>
      </c>
      <c r="B9" s="1219"/>
      <c r="C9" s="687" t="s">
        <v>1515</v>
      </c>
      <c r="D9" s="640" t="s">
        <v>1491</v>
      </c>
      <c r="E9" s="514" t="s">
        <v>1541</v>
      </c>
      <c r="F9" s="514" t="s">
        <v>1516</v>
      </c>
      <c r="G9" s="514" t="s">
        <v>1517</v>
      </c>
      <c r="H9" s="669" t="str">
        <f t="shared" si="32"/>
        <v>2.2.</v>
      </c>
      <c r="I9" s="673">
        <f t="shared" si="1"/>
        <v>7</v>
      </c>
      <c r="J9" s="674">
        <f t="shared" si="2"/>
        <v>5</v>
      </c>
      <c r="K9" s="673">
        <f>ROUNDUP(W9*0.5,0)</f>
        <v>2</v>
      </c>
      <c r="L9" s="675">
        <f t="shared" si="3"/>
        <v>252280</v>
      </c>
      <c r="M9" s="675">
        <f t="shared" si="4"/>
        <v>36040</v>
      </c>
      <c r="N9" s="675">
        <f t="shared" si="4"/>
        <v>36040</v>
      </c>
      <c r="O9" s="676">
        <f t="shared" si="5"/>
        <v>180200</v>
      </c>
      <c r="P9" s="677">
        <f t="shared" si="6"/>
        <v>0</v>
      </c>
      <c r="Q9" s="678"/>
      <c r="R9" s="678"/>
      <c r="S9" s="678"/>
      <c r="T9" s="679">
        <f t="shared" si="7"/>
        <v>180200</v>
      </c>
      <c r="U9" s="680">
        <v>0.06</v>
      </c>
      <c r="V9" s="679">
        <f t="shared" si="8"/>
        <v>170000</v>
      </c>
      <c r="W9" s="673">
        <v>3</v>
      </c>
      <c r="X9" s="681">
        <f t="shared" si="31"/>
        <v>34</v>
      </c>
      <c r="Y9" s="640">
        <v>40</v>
      </c>
      <c r="Z9" s="638">
        <f t="shared" si="9"/>
        <v>9.6</v>
      </c>
      <c r="AA9" s="640">
        <v>100</v>
      </c>
      <c r="AB9" s="638">
        <f t="shared" si="10"/>
        <v>24</v>
      </c>
      <c r="AC9" s="640"/>
      <c r="AD9" s="638">
        <f t="shared" si="11"/>
        <v>0</v>
      </c>
      <c r="AE9" s="640"/>
      <c r="AF9" s="638">
        <f t="shared" si="12"/>
        <v>0</v>
      </c>
      <c r="AG9" s="640"/>
      <c r="AH9" s="638">
        <f t="shared" si="13"/>
        <v>0</v>
      </c>
      <c r="AI9" s="640"/>
      <c r="AJ9" s="638">
        <f t="shared" si="14"/>
        <v>0</v>
      </c>
      <c r="AK9" s="640"/>
      <c r="AL9" s="682">
        <f t="shared" si="15"/>
        <v>0</v>
      </c>
    </row>
    <row r="10" spans="1:38" ht="157.5" outlineLevel="1" x14ac:dyDescent="0.15">
      <c r="A10" s="669" t="s">
        <v>409</v>
      </c>
      <c r="B10" s="1219"/>
      <c r="C10" s="687" t="s">
        <v>704</v>
      </c>
      <c r="D10" s="640" t="s">
        <v>1491</v>
      </c>
      <c r="E10" s="514" t="s">
        <v>1542</v>
      </c>
      <c r="F10" s="514" t="s">
        <v>1518</v>
      </c>
      <c r="G10" s="514" t="s">
        <v>1519</v>
      </c>
      <c r="H10" s="669" t="str">
        <f t="shared" si="32"/>
        <v>2.3.</v>
      </c>
      <c r="I10" s="673">
        <f t="shared" si="1"/>
        <v>4</v>
      </c>
      <c r="J10" s="674">
        <f t="shared" si="2"/>
        <v>3</v>
      </c>
      <c r="K10" s="673">
        <f>ROUNDUP(W10*0.5,0)</f>
        <v>1</v>
      </c>
      <c r="L10" s="675">
        <f t="shared" si="3"/>
        <v>161700</v>
      </c>
      <c r="M10" s="675">
        <f t="shared" si="4"/>
        <v>23100</v>
      </c>
      <c r="N10" s="675">
        <f t="shared" si="4"/>
        <v>23100</v>
      </c>
      <c r="O10" s="676">
        <f t="shared" si="5"/>
        <v>115500</v>
      </c>
      <c r="P10" s="677">
        <f t="shared" si="6"/>
        <v>0</v>
      </c>
      <c r="Q10" s="678"/>
      <c r="R10" s="678"/>
      <c r="S10" s="678"/>
      <c r="T10" s="679">
        <f t="shared" si="7"/>
        <v>115500</v>
      </c>
      <c r="U10" s="680">
        <v>0.1</v>
      </c>
      <c r="V10" s="679">
        <f t="shared" si="8"/>
        <v>105000</v>
      </c>
      <c r="W10" s="673">
        <v>2</v>
      </c>
      <c r="X10" s="681">
        <f t="shared" si="31"/>
        <v>21</v>
      </c>
      <c r="Y10" s="640">
        <v>30</v>
      </c>
      <c r="Z10" s="638">
        <f t="shared" si="9"/>
        <v>4.8</v>
      </c>
      <c r="AA10" s="640">
        <v>50</v>
      </c>
      <c r="AB10" s="638">
        <f t="shared" si="10"/>
        <v>8</v>
      </c>
      <c r="AC10" s="640"/>
      <c r="AD10" s="638">
        <f t="shared" si="11"/>
        <v>0</v>
      </c>
      <c r="AE10" s="640"/>
      <c r="AF10" s="638">
        <f t="shared" si="12"/>
        <v>0</v>
      </c>
      <c r="AG10" s="640">
        <v>50</v>
      </c>
      <c r="AH10" s="638">
        <f t="shared" si="13"/>
        <v>8</v>
      </c>
      <c r="AI10" s="640"/>
      <c r="AJ10" s="638">
        <f t="shared" si="14"/>
        <v>0</v>
      </c>
      <c r="AK10" s="640"/>
      <c r="AL10" s="682">
        <f t="shared" si="15"/>
        <v>0</v>
      </c>
    </row>
    <row r="11" spans="1:38" ht="42" outlineLevel="1" x14ac:dyDescent="0.15">
      <c r="A11" s="669" t="s">
        <v>410</v>
      </c>
      <c r="B11" s="1220"/>
      <c r="C11" s="514" t="s">
        <v>1497</v>
      </c>
      <c r="D11" s="640" t="s">
        <v>1498</v>
      </c>
      <c r="E11" s="514" t="s">
        <v>1499</v>
      </c>
      <c r="F11" s="514" t="s">
        <v>1500</v>
      </c>
      <c r="G11" s="514" t="s">
        <v>1501</v>
      </c>
      <c r="H11" s="669" t="str">
        <f>A8</f>
        <v>2.2.</v>
      </c>
      <c r="I11" s="673">
        <f t="shared" si="1"/>
        <v>10</v>
      </c>
      <c r="J11" s="674">
        <f t="shared" si="2"/>
        <v>0</v>
      </c>
      <c r="K11" s="673">
        <v>10</v>
      </c>
      <c r="L11" s="675">
        <f t="shared" si="3"/>
        <v>0</v>
      </c>
      <c r="M11" s="675">
        <f t="shared" si="4"/>
        <v>0</v>
      </c>
      <c r="N11" s="675">
        <f t="shared" si="4"/>
        <v>0</v>
      </c>
      <c r="O11" s="676">
        <f t="shared" si="5"/>
        <v>0</v>
      </c>
      <c r="P11" s="677">
        <f t="shared" si="6"/>
        <v>0</v>
      </c>
      <c r="Q11" s="678"/>
      <c r="R11" s="678"/>
      <c r="S11" s="678"/>
      <c r="T11" s="679">
        <f t="shared" si="7"/>
        <v>0</v>
      </c>
      <c r="U11" s="680"/>
      <c r="V11" s="679">
        <f t="shared" si="8"/>
        <v>0</v>
      </c>
      <c r="W11" s="673">
        <v>0</v>
      </c>
      <c r="X11" s="681">
        <f t="shared" si="31"/>
        <v>0</v>
      </c>
      <c r="Y11" s="640">
        <v>0</v>
      </c>
      <c r="Z11" s="638">
        <f t="shared" si="9"/>
        <v>0</v>
      </c>
      <c r="AA11" s="640"/>
      <c r="AB11" s="638">
        <f t="shared" si="10"/>
        <v>0</v>
      </c>
      <c r="AC11" s="640"/>
      <c r="AD11" s="638">
        <f t="shared" si="11"/>
        <v>0</v>
      </c>
      <c r="AE11" s="640"/>
      <c r="AF11" s="638">
        <f t="shared" si="12"/>
        <v>0</v>
      </c>
      <c r="AG11" s="640"/>
      <c r="AH11" s="638">
        <f t="shared" si="13"/>
        <v>0</v>
      </c>
      <c r="AI11" s="640"/>
      <c r="AJ11" s="638">
        <f t="shared" si="14"/>
        <v>0</v>
      </c>
      <c r="AK11" s="640"/>
      <c r="AL11" s="682">
        <f t="shared" si="15"/>
        <v>0</v>
      </c>
    </row>
    <row r="12" spans="1:38" ht="115.5" outlineLevel="1" x14ac:dyDescent="0.15">
      <c r="A12" s="669" t="s">
        <v>415</v>
      </c>
      <c r="B12" s="1221" t="s">
        <v>1510</v>
      </c>
      <c r="C12" s="687" t="s">
        <v>1511</v>
      </c>
      <c r="D12" s="688" t="s">
        <v>1491</v>
      </c>
      <c r="E12" s="687" t="s">
        <v>1549</v>
      </c>
      <c r="F12" s="514" t="s">
        <v>1512</v>
      </c>
      <c r="G12" s="514" t="s">
        <v>1513</v>
      </c>
      <c r="H12" s="669" t="str">
        <f>A11</f>
        <v>2.5.</v>
      </c>
      <c r="I12" s="673">
        <f t="shared" si="1"/>
        <v>11</v>
      </c>
      <c r="J12" s="674">
        <f t="shared" si="2"/>
        <v>8</v>
      </c>
      <c r="K12" s="673">
        <f>ROUNDUP(W12*0.5,0)</f>
        <v>3</v>
      </c>
      <c r="L12" s="675">
        <f t="shared" si="3"/>
        <v>389550</v>
      </c>
      <c r="M12" s="675">
        <f t="shared" si="4"/>
        <v>55650</v>
      </c>
      <c r="N12" s="675">
        <f t="shared" si="4"/>
        <v>55650</v>
      </c>
      <c r="O12" s="676">
        <f>T12+P12</f>
        <v>278250</v>
      </c>
      <c r="P12" s="677">
        <f t="shared" si="6"/>
        <v>0</v>
      </c>
      <c r="Q12" s="689"/>
      <c r="R12" s="689"/>
      <c r="S12" s="689"/>
      <c r="T12" s="679">
        <f>V12+(V12*U12)</f>
        <v>278250</v>
      </c>
      <c r="U12" s="680">
        <v>0.05</v>
      </c>
      <c r="V12" s="679">
        <f t="shared" si="8"/>
        <v>265000</v>
      </c>
      <c r="W12" s="684">
        <f>('Очередь 1 Кейс-Совм'!C46+'Очередь 1 Кейс-Совм'!E49/16)/8</f>
        <v>5.0390625</v>
      </c>
      <c r="X12" s="681">
        <f t="shared" si="31"/>
        <v>53</v>
      </c>
      <c r="Y12" s="640">
        <v>30</v>
      </c>
      <c r="Z12" s="638">
        <f t="shared" si="9"/>
        <v>12.09375</v>
      </c>
      <c r="AA12" s="640">
        <v>100</v>
      </c>
      <c r="AB12" s="638">
        <f t="shared" si="10"/>
        <v>40.3125</v>
      </c>
      <c r="AC12" s="640"/>
      <c r="AD12" s="638">
        <f t="shared" si="11"/>
        <v>0</v>
      </c>
      <c r="AE12" s="640"/>
      <c r="AF12" s="638">
        <f t="shared" si="12"/>
        <v>0</v>
      </c>
      <c r="AG12" s="640"/>
      <c r="AH12" s="638">
        <f t="shared" si="13"/>
        <v>0</v>
      </c>
      <c r="AI12" s="640"/>
      <c r="AJ12" s="638">
        <f t="shared" si="14"/>
        <v>0</v>
      </c>
      <c r="AK12" s="640"/>
      <c r="AL12" s="682">
        <f t="shared" si="15"/>
        <v>0</v>
      </c>
    </row>
    <row r="13" spans="1:38" ht="138.75" customHeight="1" outlineLevel="1" x14ac:dyDescent="0.15">
      <c r="A13" s="669" t="s">
        <v>416</v>
      </c>
      <c r="B13" s="1222"/>
      <c r="C13" s="687" t="s">
        <v>1543</v>
      </c>
      <c r="D13" s="688" t="s">
        <v>1491</v>
      </c>
      <c r="E13" s="687" t="s">
        <v>1544</v>
      </c>
      <c r="F13" s="514" t="s">
        <v>1545</v>
      </c>
      <c r="G13" s="514" t="s">
        <v>1513</v>
      </c>
      <c r="H13" s="669" t="str">
        <f>A12</f>
        <v>3.1.</v>
      </c>
      <c r="I13" s="673" t="e">
        <f t="shared" si="1"/>
        <v>#REF!</v>
      </c>
      <c r="J13" s="674" t="e">
        <f t="shared" si="2"/>
        <v>#REF!</v>
      </c>
      <c r="K13" s="673">
        <v>3</v>
      </c>
      <c r="L13" s="675" t="e">
        <f t="shared" si="3"/>
        <v>#REF!</v>
      </c>
      <c r="M13" s="675" t="e">
        <f t="shared" si="4"/>
        <v>#REF!</v>
      </c>
      <c r="N13" s="675" t="e">
        <f t="shared" si="4"/>
        <v>#REF!</v>
      </c>
      <c r="O13" s="676" t="e">
        <f>T13+P13</f>
        <v>#REF!</v>
      </c>
      <c r="P13" s="677">
        <f t="shared" si="6"/>
        <v>0</v>
      </c>
      <c r="Q13" s="689"/>
      <c r="R13" s="689"/>
      <c r="S13" s="689"/>
      <c r="T13" s="679" t="e">
        <f>V13+(V13*U13)</f>
        <v>#REF!</v>
      </c>
      <c r="U13" s="680">
        <v>0.1</v>
      </c>
      <c r="V13" s="679" t="e">
        <f t="shared" si="8"/>
        <v>#REF!</v>
      </c>
      <c r="W13" s="684" t="e">
        <f>'Очередь 1 Кейс-Совм'!#REF!/5</f>
        <v>#REF!</v>
      </c>
      <c r="X13" s="681" t="e">
        <f t="shared" si="31"/>
        <v>#REF!</v>
      </c>
      <c r="Y13" s="640">
        <v>30</v>
      </c>
      <c r="Z13" s="638" t="e">
        <f t="shared" si="9"/>
        <v>#REF!</v>
      </c>
      <c r="AA13" s="640">
        <v>80</v>
      </c>
      <c r="AB13" s="638" t="e">
        <f t="shared" si="10"/>
        <v>#REF!</v>
      </c>
      <c r="AC13" s="640"/>
      <c r="AD13" s="638" t="e">
        <f t="shared" si="11"/>
        <v>#REF!</v>
      </c>
      <c r="AE13" s="640"/>
      <c r="AF13" s="638" t="e">
        <f t="shared" si="12"/>
        <v>#REF!</v>
      </c>
      <c r="AG13" s="640"/>
      <c r="AH13" s="638" t="e">
        <f t="shared" si="13"/>
        <v>#REF!</v>
      </c>
      <c r="AI13" s="640"/>
      <c r="AJ13" s="638" t="e">
        <f t="shared" si="14"/>
        <v>#REF!</v>
      </c>
      <c r="AK13" s="640"/>
      <c r="AL13" s="682" t="e">
        <f t="shared" si="15"/>
        <v>#REF!</v>
      </c>
    </row>
    <row r="14" spans="1:38" ht="68.25" customHeight="1" outlineLevel="1" x14ac:dyDescent="0.15">
      <c r="A14" s="669" t="s">
        <v>417</v>
      </c>
      <c r="B14" s="1223"/>
      <c r="C14" s="514" t="s">
        <v>1497</v>
      </c>
      <c r="D14" s="640" t="s">
        <v>1498</v>
      </c>
      <c r="E14" s="514" t="s">
        <v>1499</v>
      </c>
      <c r="F14" s="514" t="s">
        <v>1500</v>
      </c>
      <c r="G14" s="514" t="s">
        <v>1501</v>
      </c>
      <c r="H14" s="669" t="str">
        <f>A13</f>
        <v>3.2.</v>
      </c>
      <c r="I14" s="673">
        <f t="shared" si="1"/>
        <v>10</v>
      </c>
      <c r="J14" s="673">
        <f>W14*1.5</f>
        <v>0</v>
      </c>
      <c r="K14" s="673">
        <v>10</v>
      </c>
      <c r="L14" s="675">
        <f t="shared" si="3"/>
        <v>0</v>
      </c>
      <c r="M14" s="675">
        <f t="shared" si="4"/>
        <v>0</v>
      </c>
      <c r="N14" s="675">
        <f t="shared" si="4"/>
        <v>0</v>
      </c>
      <c r="O14" s="676">
        <f t="shared" ref="O14:O15" si="33">T14+P14</f>
        <v>0</v>
      </c>
      <c r="P14" s="677">
        <f t="shared" si="6"/>
        <v>0</v>
      </c>
      <c r="Q14" s="689"/>
      <c r="R14" s="689"/>
      <c r="S14" s="689"/>
      <c r="T14" s="679">
        <f t="shared" ref="T14:T17" si="34">V14+(V14*U14)</f>
        <v>0</v>
      </c>
      <c r="U14" s="680"/>
      <c r="V14" s="679">
        <f t="shared" si="8"/>
        <v>0</v>
      </c>
      <c r="W14" s="673">
        <v>0</v>
      </c>
      <c r="X14" s="681">
        <f t="shared" si="31"/>
        <v>0</v>
      </c>
      <c r="Y14" s="640">
        <v>0</v>
      </c>
      <c r="Z14" s="638">
        <f t="shared" si="9"/>
        <v>0</v>
      </c>
      <c r="AA14" s="640"/>
      <c r="AB14" s="638">
        <f t="shared" si="10"/>
        <v>0</v>
      </c>
      <c r="AC14" s="640"/>
      <c r="AD14" s="638">
        <f t="shared" si="11"/>
        <v>0</v>
      </c>
      <c r="AE14" s="640"/>
      <c r="AF14" s="638">
        <f t="shared" si="12"/>
        <v>0</v>
      </c>
      <c r="AG14" s="640"/>
      <c r="AH14" s="638">
        <f t="shared" si="13"/>
        <v>0</v>
      </c>
      <c r="AI14" s="640"/>
      <c r="AJ14" s="638">
        <f t="shared" si="14"/>
        <v>0</v>
      </c>
      <c r="AK14" s="640"/>
      <c r="AL14" s="682">
        <f t="shared" si="15"/>
        <v>0</v>
      </c>
    </row>
    <row r="15" spans="1:38" ht="50.25" customHeight="1" outlineLevel="1" x14ac:dyDescent="0.15">
      <c r="A15" s="669" t="s">
        <v>422</v>
      </c>
      <c r="B15" s="1224" t="s">
        <v>1514</v>
      </c>
      <c r="C15" s="687" t="s">
        <v>1546</v>
      </c>
      <c r="D15" s="640" t="s">
        <v>1498</v>
      </c>
      <c r="E15" s="514"/>
      <c r="F15" s="514"/>
      <c r="G15" s="514"/>
      <c r="H15" s="669" t="str">
        <f>A5</f>
        <v>1.2.</v>
      </c>
      <c r="I15" s="673">
        <f t="shared" si="1"/>
        <v>5</v>
      </c>
      <c r="J15" s="674">
        <f>ROUNDUP(W15*W$2,0)</f>
        <v>0</v>
      </c>
      <c r="K15" s="673">
        <v>5</v>
      </c>
      <c r="L15" s="675">
        <f t="shared" si="3"/>
        <v>0</v>
      </c>
      <c r="M15" s="675">
        <f t="shared" si="4"/>
        <v>0</v>
      </c>
      <c r="N15" s="675">
        <f t="shared" si="4"/>
        <v>0</v>
      </c>
      <c r="O15" s="676">
        <f t="shared" si="33"/>
        <v>0</v>
      </c>
      <c r="P15" s="677">
        <f t="shared" si="6"/>
        <v>0</v>
      </c>
      <c r="Q15" s="689"/>
      <c r="R15" s="689"/>
      <c r="S15" s="689"/>
      <c r="T15" s="679">
        <f t="shared" si="34"/>
        <v>0</v>
      </c>
      <c r="U15" s="680">
        <v>0.1</v>
      </c>
      <c r="V15" s="679"/>
      <c r="W15" s="673">
        <v>0</v>
      </c>
      <c r="X15" s="681">
        <f t="shared" si="31"/>
        <v>0</v>
      </c>
      <c r="Y15" s="640">
        <v>0</v>
      </c>
      <c r="Z15" s="638">
        <f t="shared" si="9"/>
        <v>0</v>
      </c>
      <c r="AA15" s="640"/>
      <c r="AB15" s="638">
        <f t="shared" si="10"/>
        <v>0</v>
      </c>
      <c r="AC15" s="640"/>
      <c r="AD15" s="638">
        <f t="shared" si="11"/>
        <v>0</v>
      </c>
      <c r="AE15" s="640"/>
      <c r="AF15" s="638">
        <f t="shared" si="12"/>
        <v>0</v>
      </c>
      <c r="AG15" s="640"/>
      <c r="AH15" s="638">
        <f t="shared" si="13"/>
        <v>0</v>
      </c>
      <c r="AI15" s="640"/>
      <c r="AJ15" s="638">
        <f t="shared" si="14"/>
        <v>0</v>
      </c>
      <c r="AK15" s="640"/>
      <c r="AL15" s="682">
        <f t="shared" si="15"/>
        <v>0</v>
      </c>
    </row>
    <row r="16" spans="1:38" ht="142.5" customHeight="1" outlineLevel="1" x14ac:dyDescent="0.15">
      <c r="A16" s="669" t="s">
        <v>423</v>
      </c>
      <c r="B16" s="1225"/>
      <c r="C16" s="514" t="s">
        <v>1520</v>
      </c>
      <c r="D16" s="640" t="s">
        <v>1521</v>
      </c>
      <c r="E16" s="514" t="s">
        <v>1522</v>
      </c>
      <c r="F16" s="514" t="s">
        <v>1523</v>
      </c>
      <c r="G16" s="514" t="s">
        <v>1524</v>
      </c>
      <c r="H16" s="669" t="str">
        <f>A14</f>
        <v>3.3.</v>
      </c>
      <c r="I16" s="673">
        <f>J16+K16</f>
        <v>20</v>
      </c>
      <c r="J16" s="673">
        <f>W16*1.5</f>
        <v>15</v>
      </c>
      <c r="K16" s="673">
        <f>ROUNDUP(W16*0.5,0)</f>
        <v>5</v>
      </c>
      <c r="L16" s="675">
        <f t="shared" si="3"/>
        <v>954800</v>
      </c>
      <c r="M16" s="675">
        <f t="shared" si="4"/>
        <v>136400</v>
      </c>
      <c r="N16" s="675">
        <f t="shared" si="4"/>
        <v>136400</v>
      </c>
      <c r="O16" s="676">
        <f t="shared" si="5"/>
        <v>682000</v>
      </c>
      <c r="P16" s="677">
        <f>Q16*($E$30+$E$31)+R16*$E$29*S16</f>
        <v>0</v>
      </c>
      <c r="Q16" s="689"/>
      <c r="R16" s="689"/>
      <c r="S16" s="689"/>
      <c r="T16" s="679">
        <f t="shared" si="34"/>
        <v>682000</v>
      </c>
      <c r="U16" s="680">
        <v>0.1</v>
      </c>
      <c r="V16" s="679">
        <f>X16*$E$27</f>
        <v>620000</v>
      </c>
      <c r="W16" s="673">
        <v>10</v>
      </c>
      <c r="X16" s="681">
        <f t="shared" si="31"/>
        <v>124</v>
      </c>
      <c r="Y16" s="640">
        <v>30</v>
      </c>
      <c r="Z16" s="638">
        <f>$E$28*W16*Y16/100</f>
        <v>24</v>
      </c>
      <c r="AA16" s="640">
        <v>100</v>
      </c>
      <c r="AB16" s="638">
        <f>$E$28*W16*AA16/100</f>
        <v>80</v>
      </c>
      <c r="AC16" s="640"/>
      <c r="AD16" s="638">
        <f>$E$28*W16*AC16/100</f>
        <v>0</v>
      </c>
      <c r="AE16" s="640"/>
      <c r="AF16" s="638">
        <f>$E$28*W16*AE16/100</f>
        <v>0</v>
      </c>
      <c r="AG16" s="640">
        <v>25</v>
      </c>
      <c r="AH16" s="638">
        <f>$E$28*W16*AG16/100</f>
        <v>20</v>
      </c>
      <c r="AI16" s="640"/>
      <c r="AJ16" s="638">
        <f>$E$28*W16*AI16/100</f>
        <v>0</v>
      </c>
      <c r="AK16" s="640"/>
      <c r="AL16" s="682">
        <f>$E$28*W16*AK16/100</f>
        <v>0</v>
      </c>
    </row>
    <row r="17" spans="1:38" ht="77.25" customHeight="1" outlineLevel="1" x14ac:dyDescent="0.15">
      <c r="A17" s="669" t="s">
        <v>424</v>
      </c>
      <c r="B17" s="1226"/>
      <c r="C17" s="514" t="s">
        <v>1497</v>
      </c>
      <c r="D17" s="640" t="s">
        <v>1498</v>
      </c>
      <c r="E17" s="514" t="s">
        <v>1525</v>
      </c>
      <c r="F17" s="514" t="s">
        <v>1500</v>
      </c>
      <c r="G17" s="514" t="s">
        <v>1501</v>
      </c>
      <c r="H17" s="669" t="str">
        <f t="shared" si="32"/>
        <v>4.2.</v>
      </c>
      <c r="I17" s="673">
        <f>J17+K17</f>
        <v>10</v>
      </c>
      <c r="J17" s="673">
        <f>W17*1.5</f>
        <v>0</v>
      </c>
      <c r="K17" s="673">
        <v>10</v>
      </c>
      <c r="L17" s="675">
        <f t="shared" si="3"/>
        <v>0</v>
      </c>
      <c r="M17" s="675">
        <f t="shared" si="4"/>
        <v>0</v>
      </c>
      <c r="N17" s="675">
        <f t="shared" si="4"/>
        <v>0</v>
      </c>
      <c r="O17" s="676">
        <f t="shared" si="5"/>
        <v>0</v>
      </c>
      <c r="P17" s="677">
        <f>Q17*($E$30+$E$31)+R17*$E$29*S17</f>
        <v>0</v>
      </c>
      <c r="Q17" s="689"/>
      <c r="R17" s="689"/>
      <c r="S17" s="689"/>
      <c r="T17" s="679">
        <f t="shared" si="34"/>
        <v>0</v>
      </c>
      <c r="U17" s="680">
        <v>0</v>
      </c>
      <c r="V17" s="679">
        <f>X17*$E$27</f>
        <v>0</v>
      </c>
      <c r="W17" s="673">
        <v>0</v>
      </c>
      <c r="X17" s="681">
        <f t="shared" si="31"/>
        <v>0</v>
      </c>
      <c r="Y17" s="640"/>
      <c r="Z17" s="638">
        <f>$E$28*W17*Y17/100</f>
        <v>0</v>
      </c>
      <c r="AA17" s="640"/>
      <c r="AB17" s="638">
        <f>$E$28*W17*AA17/100</f>
        <v>0</v>
      </c>
      <c r="AC17" s="640"/>
      <c r="AD17" s="638">
        <f>$E$28*W17*AC17/100</f>
        <v>0</v>
      </c>
      <c r="AE17" s="640"/>
      <c r="AF17" s="638">
        <f>$E$28*W17*AE17/100</f>
        <v>0</v>
      </c>
      <c r="AG17" s="640"/>
      <c r="AH17" s="638">
        <f>$E$28*W17*AG17/100</f>
        <v>0</v>
      </c>
      <c r="AI17" s="640"/>
      <c r="AJ17" s="638">
        <f>$E$28*W17*AI17/100</f>
        <v>0</v>
      </c>
      <c r="AK17" s="640"/>
      <c r="AL17" s="682">
        <f>$E$28*W17*AK17/100</f>
        <v>0</v>
      </c>
    </row>
    <row r="18" spans="1:38" s="660" customFormat="1" x14ac:dyDescent="0.25">
      <c r="A18" s="1227" t="s">
        <v>1526</v>
      </c>
      <c r="B18" s="1228"/>
      <c r="C18" s="1228"/>
      <c r="D18" s="1228"/>
      <c r="E18" s="1228"/>
      <c r="F18" s="1228"/>
      <c r="G18" s="1228"/>
      <c r="H18" s="1229"/>
      <c r="I18" s="662">
        <f>SUM(I19:I19)</f>
        <v>0</v>
      </c>
      <c r="J18" s="662">
        <f t="shared" ref="J18:P18" si="35">SUM(J19:J19)</f>
        <v>0</v>
      </c>
      <c r="K18" s="662">
        <f t="shared" si="35"/>
        <v>0</v>
      </c>
      <c r="L18" s="663">
        <f t="shared" si="35"/>
        <v>0</v>
      </c>
      <c r="M18" s="663">
        <f t="shared" si="35"/>
        <v>0</v>
      </c>
      <c r="N18" s="663">
        <f t="shared" si="35"/>
        <v>0</v>
      </c>
      <c r="O18" s="663">
        <f t="shared" si="35"/>
        <v>0</v>
      </c>
      <c r="P18" s="663">
        <f t="shared" si="35"/>
        <v>0</v>
      </c>
      <c r="Q18" s="662"/>
      <c r="R18" s="662"/>
      <c r="S18" s="662"/>
      <c r="T18" s="663">
        <f>SUM(T19:T19)</f>
        <v>0</v>
      </c>
      <c r="U18" s="667"/>
      <c r="V18" s="663">
        <f>SUM(V19:V19)</f>
        <v>0</v>
      </c>
      <c r="W18" s="662">
        <f>SUM(W19:W19)</f>
        <v>0</v>
      </c>
      <c r="X18" s="668">
        <f>SUM(X19:X19)</f>
        <v>0</v>
      </c>
      <c r="Y18" s="516"/>
      <c r="Z18" s="516">
        <f>SUM(Z19:Z19)</f>
        <v>0</v>
      </c>
      <c r="AA18" s="516"/>
      <c r="AB18" s="516">
        <f>SUM(AB19:AB19)</f>
        <v>0</v>
      </c>
      <c r="AC18" s="516"/>
      <c r="AD18" s="516">
        <f>SUM(AD19:AD19)</f>
        <v>0</v>
      </c>
      <c r="AE18" s="516"/>
      <c r="AF18" s="516">
        <f>SUM(AF19:AF19)</f>
        <v>0</v>
      </c>
      <c r="AG18" s="516"/>
      <c r="AH18" s="516">
        <f>SUM(AH19:AH19)</f>
        <v>0</v>
      </c>
      <c r="AI18" s="516"/>
      <c r="AJ18" s="516">
        <f>SUM(AJ19:AJ19)</f>
        <v>0</v>
      </c>
      <c r="AK18" s="516"/>
      <c r="AL18" s="516">
        <f>SUM(AL19:AL19)</f>
        <v>0</v>
      </c>
    </row>
    <row r="19" spans="1:38" ht="78" customHeight="1" outlineLevel="1" x14ac:dyDescent="0.15">
      <c r="A19" s="669" t="s">
        <v>446</v>
      </c>
      <c r="B19" s="685" t="s">
        <v>1547</v>
      </c>
      <c r="C19" s="514"/>
      <c r="D19" s="640"/>
      <c r="E19" s="707" t="s">
        <v>1548</v>
      </c>
      <c r="F19" s="690"/>
      <c r="G19" s="514"/>
      <c r="H19" s="669" t="str">
        <f>A17</f>
        <v>4.3.</v>
      </c>
      <c r="I19" s="673"/>
      <c r="J19" s="673">
        <f>W19*1.5</f>
        <v>0</v>
      </c>
      <c r="K19" s="673"/>
      <c r="L19" s="675">
        <f t="shared" si="3"/>
        <v>0</v>
      </c>
      <c r="M19" s="675">
        <f t="shared" ref="M19:N19" si="36">$O19*M$2</f>
        <v>0</v>
      </c>
      <c r="N19" s="675">
        <f t="shared" si="36"/>
        <v>0</v>
      </c>
      <c r="O19" s="676">
        <f>T19+P19</f>
        <v>0</v>
      </c>
      <c r="P19" s="677">
        <f>Q19*($E$30+$E$31)+R19*$E$29*S19</f>
        <v>0</v>
      </c>
      <c r="Q19" s="678"/>
      <c r="R19" s="678"/>
      <c r="S19" s="678"/>
      <c r="T19" s="679">
        <f>V19+(V19*U19)</f>
        <v>0</v>
      </c>
      <c r="U19" s="680">
        <v>0</v>
      </c>
      <c r="V19" s="679">
        <f>X19*$E$27</f>
        <v>0</v>
      </c>
      <c r="W19" s="673">
        <v>0</v>
      </c>
      <c r="X19" s="681">
        <f t="shared" si="31"/>
        <v>0</v>
      </c>
      <c r="Y19" s="640">
        <v>20</v>
      </c>
      <c r="Z19" s="638">
        <f>$E$28*W19*Y19/100</f>
        <v>0</v>
      </c>
      <c r="AA19" s="640">
        <v>50</v>
      </c>
      <c r="AB19" s="638">
        <f>$E$28*W19*AA19/100</f>
        <v>0</v>
      </c>
      <c r="AC19" s="640"/>
      <c r="AD19" s="638">
        <f>$E$28*W19*AC19/100</f>
        <v>0</v>
      </c>
      <c r="AE19" s="640"/>
      <c r="AF19" s="638">
        <f>$E$28*W19*AE19/100</f>
        <v>0</v>
      </c>
      <c r="AG19" s="640">
        <v>25</v>
      </c>
      <c r="AH19" s="638">
        <f>$E$28*W19*AG19/100</f>
        <v>0</v>
      </c>
      <c r="AI19" s="640"/>
      <c r="AJ19" s="638">
        <f>$E$28*W19*AI19/100</f>
        <v>0</v>
      </c>
      <c r="AK19" s="640"/>
      <c r="AL19" s="682">
        <f>$E$28*W19*AK19/100</f>
        <v>0</v>
      </c>
    </row>
    <row r="20" spans="1:38" s="660" customFormat="1" ht="11.25" thickBot="1" x14ac:dyDescent="0.3">
      <c r="A20" s="1227" t="s">
        <v>7</v>
      </c>
      <c r="B20" s="1228"/>
      <c r="C20" s="1228"/>
      <c r="D20" s="1228"/>
      <c r="E20" s="1228"/>
      <c r="F20" s="1228"/>
      <c r="G20" s="1228"/>
      <c r="H20" s="1229"/>
      <c r="I20" s="662" t="e">
        <f>SUM(I3,I18)</f>
        <v>#REF!</v>
      </c>
      <c r="J20" s="662" t="e">
        <f t="shared" ref="J20:P20" si="37">SUM(J3,J18)</f>
        <v>#REF!</v>
      </c>
      <c r="K20" s="662">
        <f t="shared" si="37"/>
        <v>66</v>
      </c>
      <c r="L20" s="663" t="e">
        <f t="shared" si="37"/>
        <v>#REF!</v>
      </c>
      <c r="M20" s="663" t="e">
        <f t="shared" si="37"/>
        <v>#REF!</v>
      </c>
      <c r="N20" s="663" t="e">
        <f t="shared" si="37"/>
        <v>#REF!</v>
      </c>
      <c r="O20" s="664" t="e">
        <f t="shared" si="37"/>
        <v>#REF!</v>
      </c>
      <c r="P20" s="665">
        <f t="shared" si="37"/>
        <v>0</v>
      </c>
      <c r="Q20" s="662"/>
      <c r="R20" s="662"/>
      <c r="S20" s="662"/>
      <c r="T20" s="666" t="e">
        <f>SUM(T3,T18)</f>
        <v>#REF!</v>
      </c>
      <c r="U20" s="667"/>
      <c r="V20" s="666" t="e">
        <f>SUM(V3,V18)</f>
        <v>#REF!</v>
      </c>
      <c r="W20" s="662" t="e">
        <f>SUM(W3,W18)</f>
        <v>#REF!</v>
      </c>
      <c r="X20" s="668" t="e">
        <f>SUM(X3,X18)</f>
        <v>#REF!</v>
      </c>
      <c r="Y20" s="516"/>
      <c r="Z20" s="516" t="e">
        <f>SUM(Z3,Z18)</f>
        <v>#REF!</v>
      </c>
      <c r="AA20" s="516"/>
      <c r="AB20" s="516" t="e">
        <f>SUM(AB3,AB18)</f>
        <v>#REF!</v>
      </c>
      <c r="AC20" s="516"/>
      <c r="AD20" s="516" t="e">
        <f>SUM(AD3,AD18)</f>
        <v>#REF!</v>
      </c>
      <c r="AE20" s="516"/>
      <c r="AF20" s="516" t="e">
        <f>SUM(AF3,AF18)</f>
        <v>#REF!</v>
      </c>
      <c r="AG20" s="516"/>
      <c r="AH20" s="516" t="e">
        <f>SUM(AH3,AH18)</f>
        <v>#REF!</v>
      </c>
      <c r="AI20" s="516"/>
      <c r="AJ20" s="516" t="e">
        <f>SUM(AJ3,AJ18)</f>
        <v>#REF!</v>
      </c>
      <c r="AK20" s="516"/>
      <c r="AL20" s="516" t="e">
        <f>SUM(AL3,AL18)</f>
        <v>#REF!</v>
      </c>
    </row>
    <row r="21" spans="1:38" s="692" customFormat="1" x14ac:dyDescent="0.15">
      <c r="A21" s="691"/>
      <c r="D21" s="693"/>
      <c r="E21" s="694"/>
      <c r="F21" s="695"/>
      <c r="G21" s="695"/>
      <c r="H21" s="696" t="s">
        <v>1527</v>
      </c>
      <c r="I21" s="708" t="e">
        <f>I20/21</f>
        <v>#REF!</v>
      </c>
      <c r="J21" s="708" t="e">
        <f>J20/21</f>
        <v>#REF!</v>
      </c>
      <c r="K21" s="708">
        <f>K20/21</f>
        <v>3.1428571428571428</v>
      </c>
      <c r="M21" s="696"/>
      <c r="N21" s="696"/>
      <c r="O21" s="696"/>
      <c r="P21" s="696"/>
      <c r="Q21" s="696"/>
      <c r="R21" s="696"/>
      <c r="S21" s="696"/>
      <c r="T21" s="696"/>
      <c r="U21" s="696"/>
      <c r="V21" s="696"/>
      <c r="W21" s="697"/>
      <c r="X21" s="697"/>
      <c r="Y21" s="697"/>
      <c r="Z21" s="697"/>
      <c r="AA21" s="697"/>
      <c r="AB21" s="697"/>
      <c r="AC21" s="697"/>
      <c r="AD21" s="697"/>
      <c r="AE21" s="697"/>
      <c r="AF21" s="697"/>
      <c r="AG21" s="697"/>
      <c r="AH21" s="697"/>
      <c r="AI21" s="697"/>
      <c r="AJ21" s="697"/>
      <c r="AK21" s="697"/>
    </row>
    <row r="22" spans="1:38" s="692" customFormat="1" x14ac:dyDescent="0.15">
      <c r="A22" s="691"/>
      <c r="F22" s="695"/>
      <c r="G22" s="695"/>
      <c r="H22" s="1230" t="s">
        <v>1528</v>
      </c>
      <c r="I22" s="1230"/>
      <c r="J22" s="1230"/>
      <c r="K22" s="1230"/>
      <c r="L22" s="1230"/>
      <c r="M22" s="1230"/>
      <c r="N22" s="698"/>
      <c r="O22" s="698"/>
      <c r="P22" s="696"/>
      <c r="Q22" s="696"/>
      <c r="R22" s="696"/>
      <c r="S22" s="696"/>
      <c r="T22" s="696"/>
      <c r="U22" s="696"/>
      <c r="V22" s="696"/>
      <c r="W22" s="697"/>
      <c r="X22" s="697"/>
      <c r="Y22" s="697"/>
      <c r="Z22" s="697"/>
      <c r="AA22" s="697"/>
      <c r="AB22" s="697"/>
      <c r="AC22" s="697"/>
      <c r="AD22" s="697"/>
      <c r="AE22" s="697"/>
      <c r="AF22" s="697"/>
      <c r="AG22" s="697"/>
      <c r="AH22" s="697"/>
      <c r="AI22" s="697"/>
      <c r="AJ22" s="697"/>
      <c r="AK22" s="697"/>
    </row>
    <row r="23" spans="1:38" x14ac:dyDescent="0.15">
      <c r="H23" s="1230" t="s">
        <v>1529</v>
      </c>
      <c r="I23" s="1230"/>
      <c r="J23" s="1230"/>
      <c r="K23" s="1230"/>
      <c r="L23" s="1230"/>
      <c r="M23" s="1230"/>
      <c r="N23" s="698"/>
      <c r="O23" s="698"/>
    </row>
    <row r="24" spans="1:38" x14ac:dyDescent="0.15">
      <c r="B24" s="1231" t="s">
        <v>1530</v>
      </c>
      <c r="C24" s="1232"/>
      <c r="D24" s="1232"/>
      <c r="E24" s="1233"/>
      <c r="H24" s="1230" t="s">
        <v>1531</v>
      </c>
      <c r="I24" s="1230"/>
      <c r="J24" s="1230"/>
      <c r="K24" s="1230"/>
      <c r="L24" s="1230"/>
      <c r="M24" s="1230"/>
      <c r="N24" s="698"/>
      <c r="O24" s="698"/>
    </row>
    <row r="25" spans="1:38" ht="80.25" customHeight="1" x14ac:dyDescent="0.15">
      <c r="B25" s="1234" t="s">
        <v>951</v>
      </c>
      <c r="C25" s="511" t="s">
        <v>1027</v>
      </c>
      <c r="D25" s="511" t="s">
        <v>1025</v>
      </c>
      <c r="E25" s="511" t="s">
        <v>1026</v>
      </c>
    </row>
    <row r="26" spans="1:38" ht="12.75" x14ac:dyDescent="0.15">
      <c r="B26" s="1235"/>
      <c r="C26" s="657" t="s">
        <v>577</v>
      </c>
      <c r="D26" s="657" t="s">
        <v>1024</v>
      </c>
      <c r="E26" s="657">
        <v>12</v>
      </c>
    </row>
    <row r="27" spans="1:38" ht="11.25" x14ac:dyDescent="0.15">
      <c r="B27" s="702" t="s">
        <v>1532</v>
      </c>
      <c r="C27" s="702" t="s">
        <v>1532</v>
      </c>
      <c r="D27" s="640"/>
      <c r="E27" s="703">
        <f>'Очередь 1 Кейс-Совм'!C32</f>
        <v>5000</v>
      </c>
      <c r="M27" s="704"/>
      <c r="N27" s="704"/>
      <c r="O27" s="704"/>
    </row>
    <row r="28" spans="1:38" ht="21" x14ac:dyDescent="0.15">
      <c r="B28" s="702" t="s">
        <v>1533</v>
      </c>
      <c r="C28" s="702" t="s">
        <v>1533</v>
      </c>
      <c r="D28" s="640"/>
      <c r="E28" s="705">
        <v>8</v>
      </c>
    </row>
    <row r="29" spans="1:38" ht="31.5" x14ac:dyDescent="0.15">
      <c r="B29" s="702" t="s">
        <v>1534</v>
      </c>
      <c r="C29" s="702" t="s">
        <v>1534</v>
      </c>
      <c r="D29" s="640"/>
      <c r="E29" s="705">
        <v>10000</v>
      </c>
    </row>
    <row r="30" spans="1:38" x14ac:dyDescent="0.15">
      <c r="B30" s="702" t="s">
        <v>1535</v>
      </c>
      <c r="C30" s="702" t="s">
        <v>1535</v>
      </c>
      <c r="D30" s="640"/>
      <c r="E30" s="705">
        <v>1000</v>
      </c>
    </row>
    <row r="31" spans="1:38" ht="42" x14ac:dyDescent="0.15">
      <c r="B31" s="702" t="s">
        <v>1536</v>
      </c>
      <c r="C31" s="702" t="s">
        <v>1536</v>
      </c>
      <c r="D31" s="640"/>
      <c r="E31" s="705">
        <v>4000</v>
      </c>
    </row>
  </sheetData>
  <mergeCells count="40">
    <mergeCell ref="F1:F2"/>
    <mergeCell ref="A1:A2"/>
    <mergeCell ref="B1:B2"/>
    <mergeCell ref="C1:C2"/>
    <mergeCell ref="D1:D2"/>
    <mergeCell ref="E1:E2"/>
    <mergeCell ref="Q1:Q2"/>
    <mergeCell ref="R1:R2"/>
    <mergeCell ref="G1:G2"/>
    <mergeCell ref="H1:H2"/>
    <mergeCell ref="I1:I2"/>
    <mergeCell ref="J1:J2"/>
    <mergeCell ref="K1:K2"/>
    <mergeCell ref="L1:L2"/>
    <mergeCell ref="AK1:AL1"/>
    <mergeCell ref="A3:H3"/>
    <mergeCell ref="B4:B6"/>
    <mergeCell ref="Y1:Z1"/>
    <mergeCell ref="AA1:AB1"/>
    <mergeCell ref="AC1:AD1"/>
    <mergeCell ref="AE1:AF1"/>
    <mergeCell ref="AG1:AH1"/>
    <mergeCell ref="AI1:AJ1"/>
    <mergeCell ref="S1:S2"/>
    <mergeCell ref="T1:T2"/>
    <mergeCell ref="U1:U2"/>
    <mergeCell ref="V1:V2"/>
    <mergeCell ref="X1:X2"/>
    <mergeCell ref="O1:O2"/>
    <mergeCell ref="P1:P2"/>
    <mergeCell ref="H22:M22"/>
    <mergeCell ref="H23:M23"/>
    <mergeCell ref="B24:E24"/>
    <mergeCell ref="H24:M24"/>
    <mergeCell ref="B25:B26"/>
    <mergeCell ref="B7:B11"/>
    <mergeCell ref="B12:B14"/>
    <mergeCell ref="B15:B17"/>
    <mergeCell ref="A18:H18"/>
    <mergeCell ref="A20:H20"/>
  </mergeCells>
  <dataValidations count="2">
    <dataValidation type="whole" operator="greaterThan" allowBlank="1" showInputMessage="1" showErrorMessage="1" sqref="E26" xr:uid="{00000000-0002-0000-0900-000000000000}">
      <formula1>0</formula1>
    </dataValidation>
    <dataValidation type="whole" errorStyle="information" operator="greaterThanOrEqual" allowBlank="1" showInputMessage="1" showErrorMessage="1" sqref="E26" xr:uid="{00000000-0002-0000-0900-000001000000}">
      <formula1>0</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L39"/>
  <sheetViews>
    <sheetView zoomScale="85" zoomScaleNormal="85" workbookViewId="0">
      <pane xSplit="3" ySplit="3" topLeftCell="H4" activePane="bottomRight" state="frozen"/>
      <selection activeCell="A2" sqref="A2"/>
      <selection pane="topRight" activeCell="D2" sqref="D2"/>
      <selection pane="bottomLeft" activeCell="A4" sqref="A4"/>
      <selection pane="bottomRight" activeCell="L9" sqref="L5:L9"/>
    </sheetView>
  </sheetViews>
  <sheetFormatPr defaultColWidth="9.42578125" defaultRowHeight="11.25" outlineLevelCol="4" x14ac:dyDescent="0.15"/>
  <cols>
    <col min="1" max="1" width="9.5703125" style="765" customWidth="1"/>
    <col min="2" max="2" width="20.42578125" style="741" customWidth="1"/>
    <col min="3" max="3" width="48.7109375" style="741" customWidth="1" collapsed="1"/>
    <col min="4" max="4" width="13.42578125" style="774" hidden="1" customWidth="1" outlineLevel="1"/>
    <col min="5" max="5" width="117" style="775" hidden="1" customWidth="1" outlineLevel="1"/>
    <col min="6" max="6" width="34" style="741" hidden="1" customWidth="1" outlineLevel="1"/>
    <col min="7" max="7" width="39.42578125" style="741" hidden="1" customWidth="1" outlineLevel="1"/>
    <col min="8" max="8" width="12.42578125" style="741" customWidth="1"/>
    <col min="9" max="9" width="14" style="741" customWidth="1" collapsed="1"/>
    <col min="10" max="10" width="13.5703125" style="741" hidden="1" customWidth="1" outlineLevel="1"/>
    <col min="11" max="11" width="16.5703125" style="741" hidden="1" customWidth="1" outlineLevel="1"/>
    <col min="12" max="12" width="21.7109375" style="780" customWidth="1"/>
    <col min="13" max="14" width="21.7109375" style="741" customWidth="1" outlineLevel="1"/>
    <col min="15" max="15" width="20.42578125" style="741" customWidth="1" outlineLevel="1"/>
    <col min="16" max="16" width="20.42578125" style="741" customWidth="1" outlineLevel="2" collapsed="1"/>
    <col min="17" max="17" width="25.5703125" style="741" hidden="1" customWidth="1" outlineLevel="3"/>
    <col min="18" max="18" width="17.42578125" style="741" hidden="1" customWidth="1" outlineLevel="3"/>
    <col min="19" max="19" width="14.5703125" style="741" hidden="1" customWidth="1" outlineLevel="3"/>
    <col min="20" max="20" width="18.5703125" style="741" customWidth="1" outlineLevel="2"/>
    <col min="21" max="21" width="14" style="741" customWidth="1" outlineLevel="4"/>
    <col min="22" max="22" width="17.42578125" style="741" customWidth="1" outlineLevel="2"/>
    <col min="23" max="23" width="17.42578125" style="741" customWidth="1" collapsed="1"/>
    <col min="24" max="24" width="12.42578125" style="741" bestFit="1" customWidth="1"/>
    <col min="25" max="38" width="12.28515625" style="741" customWidth="1" outlineLevel="1"/>
    <col min="39" max="16384" width="9.42578125" style="741"/>
  </cols>
  <sheetData>
    <row r="1" spans="1:38" s="716" customFormat="1" ht="18" customHeight="1" x14ac:dyDescent="0.25">
      <c r="A1" s="1247" t="s">
        <v>1029</v>
      </c>
      <c r="B1" s="1248" t="s">
        <v>1461</v>
      </c>
      <c r="C1" s="1248" t="s">
        <v>720</v>
      </c>
      <c r="D1" s="1248" t="s">
        <v>1462</v>
      </c>
      <c r="E1" s="1248" t="s">
        <v>1421</v>
      </c>
      <c r="F1" s="1248" t="s">
        <v>781</v>
      </c>
      <c r="G1" s="1248" t="s">
        <v>1463</v>
      </c>
      <c r="H1" s="1248" t="s">
        <v>1537</v>
      </c>
      <c r="I1" s="1250" t="s">
        <v>1464</v>
      </c>
      <c r="J1" s="1250" t="s">
        <v>1465</v>
      </c>
      <c r="K1" s="1250" t="s">
        <v>1466</v>
      </c>
      <c r="L1" s="1245" t="s">
        <v>1550</v>
      </c>
      <c r="M1" s="1253" t="s">
        <v>1468</v>
      </c>
      <c r="N1" s="1254" t="s">
        <v>1551</v>
      </c>
      <c r="O1" s="1239" t="s">
        <v>1470</v>
      </c>
      <c r="P1" s="1255" t="s">
        <v>1552</v>
      </c>
      <c r="Q1" s="1257" t="s">
        <v>1472</v>
      </c>
      <c r="R1" s="1250" t="s">
        <v>1473</v>
      </c>
      <c r="S1" s="1250" t="s">
        <v>1474</v>
      </c>
      <c r="T1" s="1262" t="s">
        <v>1475</v>
      </c>
      <c r="U1" s="1248" t="s">
        <v>1476</v>
      </c>
      <c r="V1" s="1262" t="s">
        <v>1477</v>
      </c>
      <c r="W1" s="1250" t="s">
        <v>1478</v>
      </c>
      <c r="X1" s="1251" t="s">
        <v>1479</v>
      </c>
      <c r="Y1" s="1248" t="s">
        <v>1480</v>
      </c>
      <c r="Z1" s="1248"/>
      <c r="AA1" s="1248" t="s">
        <v>1481</v>
      </c>
      <c r="AB1" s="1248"/>
      <c r="AC1" s="1248" t="s">
        <v>1482</v>
      </c>
      <c r="AD1" s="1248"/>
      <c r="AE1" s="1248" t="s">
        <v>1483</v>
      </c>
      <c r="AF1" s="1248"/>
      <c r="AG1" s="1248" t="s">
        <v>1484</v>
      </c>
      <c r="AH1" s="1248"/>
      <c r="AI1" s="1248" t="s">
        <v>1485</v>
      </c>
      <c r="AJ1" s="1248"/>
      <c r="AK1" s="1248" t="s">
        <v>1486</v>
      </c>
      <c r="AL1" s="1248"/>
    </row>
    <row r="2" spans="1:38" s="716" customFormat="1" ht="42" customHeight="1" x14ac:dyDescent="0.25">
      <c r="A2" s="1247"/>
      <c r="B2" s="1248"/>
      <c r="C2" s="1248"/>
      <c r="D2" s="1248"/>
      <c r="E2" s="1249"/>
      <c r="F2" s="1248"/>
      <c r="G2" s="1248"/>
      <c r="H2" s="1248"/>
      <c r="I2" s="1249"/>
      <c r="J2" s="1249"/>
      <c r="K2" s="1249"/>
      <c r="L2" s="1246"/>
      <c r="M2" s="1253"/>
      <c r="N2" s="1254"/>
      <c r="O2" s="1240"/>
      <c r="P2" s="1256"/>
      <c r="Q2" s="1258"/>
      <c r="R2" s="1249"/>
      <c r="S2" s="1249"/>
      <c r="T2" s="1263"/>
      <c r="U2" s="1248"/>
      <c r="V2" s="1263"/>
      <c r="W2" s="1249"/>
      <c r="X2" s="1252"/>
      <c r="Y2" s="717" t="s">
        <v>1487</v>
      </c>
      <c r="Z2" s="717" t="s">
        <v>1488</v>
      </c>
      <c r="AA2" s="717" t="s">
        <v>1487</v>
      </c>
      <c r="AB2" s="717" t="s">
        <v>1488</v>
      </c>
      <c r="AC2" s="717" t="s">
        <v>1487</v>
      </c>
      <c r="AD2" s="717" t="s">
        <v>1488</v>
      </c>
      <c r="AE2" s="717" t="s">
        <v>1487</v>
      </c>
      <c r="AF2" s="717" t="s">
        <v>1488</v>
      </c>
      <c r="AG2" s="717" t="s">
        <v>1487</v>
      </c>
      <c r="AH2" s="717" t="s">
        <v>1488</v>
      </c>
      <c r="AI2" s="717" t="s">
        <v>1487</v>
      </c>
      <c r="AJ2" s="717" t="s">
        <v>1488</v>
      </c>
      <c r="AK2" s="717" t="s">
        <v>1487</v>
      </c>
      <c r="AL2" s="717" t="s">
        <v>1488</v>
      </c>
    </row>
    <row r="3" spans="1:38" s="716" customFormat="1" x14ac:dyDescent="0.25">
      <c r="A3" s="718" t="s">
        <v>1553</v>
      </c>
      <c r="B3" s="719"/>
      <c r="C3" s="720"/>
      <c r="D3" s="720"/>
      <c r="E3" s="720"/>
      <c r="F3" s="720"/>
      <c r="G3" s="721"/>
      <c r="H3" s="717"/>
      <c r="I3" s="722"/>
      <c r="J3" s="722"/>
      <c r="K3" s="722"/>
      <c r="L3" s="776"/>
      <c r="M3" s="723">
        <f>'Очередь 1 Кейс-Совм'!C57</f>
        <v>0.2</v>
      </c>
      <c r="N3" s="723">
        <f>'Очередь 1 Кейс-Совм'!C52</f>
        <v>0.2</v>
      </c>
      <c r="O3" s="724"/>
      <c r="P3" s="725"/>
      <c r="Q3" s="725"/>
      <c r="R3" s="722"/>
      <c r="S3" s="722"/>
      <c r="T3" s="726"/>
      <c r="U3" s="727"/>
      <c r="V3" s="726"/>
      <c r="W3" s="722">
        <v>1.5</v>
      </c>
      <c r="X3" s="717"/>
      <c r="Y3" s="717"/>
      <c r="Z3" s="717"/>
      <c r="AA3" s="717"/>
      <c r="AB3" s="717"/>
      <c r="AC3" s="717"/>
      <c r="AD3" s="717"/>
      <c r="AE3" s="717"/>
      <c r="AF3" s="717"/>
      <c r="AG3" s="717"/>
      <c r="AH3" s="717"/>
      <c r="AI3" s="717"/>
      <c r="AJ3" s="717"/>
      <c r="AK3" s="717"/>
      <c r="AL3" s="717"/>
    </row>
    <row r="4" spans="1:38" ht="122.25" customHeight="1" x14ac:dyDescent="0.15">
      <c r="A4" s="728"/>
      <c r="B4" s="729" t="s">
        <v>1554</v>
      </c>
      <c r="C4" s="730" t="s">
        <v>1555</v>
      </c>
      <c r="D4" s="733" t="s">
        <v>1556</v>
      </c>
      <c r="E4" s="729" t="s">
        <v>1557</v>
      </c>
      <c r="F4" s="730"/>
      <c r="G4" s="730"/>
      <c r="H4" s="734"/>
      <c r="I4" s="735"/>
      <c r="J4" s="735"/>
      <c r="K4" s="735"/>
      <c r="L4" s="777">
        <f>O4+N4+M4</f>
        <v>0</v>
      </c>
      <c r="M4" s="731">
        <f t="shared" ref="M4:N25" si="0">$O4*M$3</f>
        <v>0</v>
      </c>
      <c r="N4" s="731">
        <f t="shared" si="0"/>
        <v>0</v>
      </c>
      <c r="O4" s="736">
        <f t="shared" ref="O4:O25" si="1">T4+P4</f>
        <v>0</v>
      </c>
      <c r="P4" s="737">
        <f t="shared" ref="P4:P11" si="2">Q4*($E$36+$E$37)+R4*$E$35*S4</f>
        <v>0</v>
      </c>
      <c r="Q4" s="738"/>
      <c r="R4" s="739"/>
      <c r="S4" s="739"/>
      <c r="T4" s="736">
        <f t="shared" ref="T4:T24" si="3">V4+(V4*U4)</f>
        <v>0</v>
      </c>
      <c r="U4" s="740"/>
      <c r="V4" s="736">
        <f t="shared" ref="V4:V12" si="4">X4*$E$33</f>
        <v>0</v>
      </c>
      <c r="W4" s="735"/>
      <c r="X4" s="681">
        <f t="shared" ref="X4:X27" si="5">ROUNDUP(SUM(Z4+AB4+AD4+AF4+AH4+AJ4+AL4),0)</f>
        <v>0</v>
      </c>
      <c r="Y4" s="732"/>
      <c r="Z4" s="638">
        <f t="shared" ref="Z4:Z27" si="6">$E$34*$W4*Y4/100</f>
        <v>0</v>
      </c>
      <c r="AA4" s="732"/>
      <c r="AB4" s="638">
        <f t="shared" ref="AB4:AB27" si="7">$E$34*$W4*AA4/100</f>
        <v>0</v>
      </c>
      <c r="AC4" s="732"/>
      <c r="AD4" s="638">
        <f t="shared" ref="AD4:AD27" si="8">$E$34*$W4*AC4/100</f>
        <v>0</v>
      </c>
      <c r="AE4" s="732"/>
      <c r="AF4" s="638">
        <f t="shared" ref="AF4:AF27" si="9">$E$34*$W4*AE4/100</f>
        <v>0</v>
      </c>
      <c r="AG4" s="732"/>
      <c r="AH4" s="638">
        <f t="shared" ref="AH4:AH27" si="10">$E$34*$W4*AG4/100</f>
        <v>0</v>
      </c>
      <c r="AI4" s="732"/>
      <c r="AJ4" s="638">
        <f t="shared" ref="AJ4:AJ27" si="11">$E$34*$W4*AI4/100</f>
        <v>0</v>
      </c>
      <c r="AK4" s="732"/>
      <c r="AL4" s="638">
        <f t="shared" ref="AL4:AL27" si="12">$E$34*$W4*AK4/100</f>
        <v>0</v>
      </c>
    </row>
    <row r="5" spans="1:38" ht="122.25" customHeight="1" x14ac:dyDescent="0.15">
      <c r="A5" s="728">
        <v>1</v>
      </c>
      <c r="B5" s="1269" t="s">
        <v>1606</v>
      </c>
      <c r="C5" s="730" t="s">
        <v>1558</v>
      </c>
      <c r="D5" s="733" t="s">
        <v>1491</v>
      </c>
      <c r="E5" s="729" t="s">
        <v>1559</v>
      </c>
      <c r="F5" s="730" t="s">
        <v>1560</v>
      </c>
      <c r="G5" s="730" t="s">
        <v>1561</v>
      </c>
      <c r="H5" s="734"/>
      <c r="I5" s="735">
        <f t="shared" ref="I5:I27" si="13">J5+K5</f>
        <v>4</v>
      </c>
      <c r="J5" s="735">
        <f>ROUNDUP(W5*W$3,0)</f>
        <v>2</v>
      </c>
      <c r="K5" s="735">
        <v>2</v>
      </c>
      <c r="L5" s="777">
        <f t="shared" ref="L5:L27" si="14">O5+N5+M5</f>
        <v>101155.6</v>
      </c>
      <c r="M5" s="731">
        <f t="shared" si="0"/>
        <v>14450.800000000001</v>
      </c>
      <c r="N5" s="731">
        <f t="shared" si="0"/>
        <v>14450.800000000001</v>
      </c>
      <c r="O5" s="736">
        <f t="shared" si="1"/>
        <v>72254</v>
      </c>
      <c r="P5" s="737">
        <f t="shared" si="2"/>
        <v>0</v>
      </c>
      <c r="Q5" s="738"/>
      <c r="R5" s="739"/>
      <c r="S5" s="739"/>
      <c r="T5" s="736">
        <f t="shared" si="3"/>
        <v>72254</v>
      </c>
      <c r="U5" s="680">
        <v>3.2199999999999999E-2</v>
      </c>
      <c r="V5" s="736">
        <f t="shared" si="4"/>
        <v>70000</v>
      </c>
      <c r="W5" s="674">
        <v>1</v>
      </c>
      <c r="X5" s="681">
        <f>ROUNDUP(SUM(Z5+AB5+AD5+AF5+AH5+AJ5+AL5),0)</f>
        <v>14</v>
      </c>
      <c r="Y5" s="640">
        <v>63</v>
      </c>
      <c r="Z5" s="638">
        <f t="shared" si="6"/>
        <v>5.04</v>
      </c>
      <c r="AA5" s="640">
        <v>100</v>
      </c>
      <c r="AB5" s="638">
        <f t="shared" si="7"/>
        <v>8</v>
      </c>
      <c r="AC5" s="732"/>
      <c r="AD5" s="638">
        <f t="shared" si="8"/>
        <v>0</v>
      </c>
      <c r="AE5" s="732"/>
      <c r="AF5" s="638">
        <f t="shared" si="9"/>
        <v>0</v>
      </c>
      <c r="AG5" s="732"/>
      <c r="AH5" s="638">
        <f t="shared" si="10"/>
        <v>0</v>
      </c>
      <c r="AI5" s="732"/>
      <c r="AJ5" s="638">
        <f t="shared" si="11"/>
        <v>0</v>
      </c>
      <c r="AK5" s="732"/>
      <c r="AL5" s="638">
        <f t="shared" si="12"/>
        <v>0</v>
      </c>
    </row>
    <row r="6" spans="1:38" ht="122.25" customHeight="1" x14ac:dyDescent="0.15">
      <c r="A6" s="728">
        <v>1</v>
      </c>
      <c r="B6" s="1270"/>
      <c r="C6" s="670" t="s">
        <v>1493</v>
      </c>
      <c r="D6" s="671" t="s">
        <v>1491</v>
      </c>
      <c r="E6" s="670" t="s">
        <v>1494</v>
      </c>
      <c r="F6" s="670" t="s">
        <v>1495</v>
      </c>
      <c r="G6" s="670" t="s">
        <v>1496</v>
      </c>
      <c r="H6" s="734"/>
      <c r="I6" s="735">
        <f t="shared" ref="I6:I7" si="15">J6+K6</f>
        <v>7</v>
      </c>
      <c r="J6" s="735">
        <f>ROUNDUP(W6*W$3,0)</f>
        <v>5</v>
      </c>
      <c r="K6" s="735">
        <v>2</v>
      </c>
      <c r="L6" s="777">
        <f t="shared" ref="L6:L7" si="16">O6+N6+M6</f>
        <v>301350</v>
      </c>
      <c r="M6" s="731">
        <f t="shared" si="0"/>
        <v>43050</v>
      </c>
      <c r="N6" s="731">
        <f t="shared" si="0"/>
        <v>43050</v>
      </c>
      <c r="O6" s="736">
        <f t="shared" ref="O6:O7" si="17">T6+P6</f>
        <v>215250</v>
      </c>
      <c r="P6" s="737">
        <f t="shared" si="2"/>
        <v>0</v>
      </c>
      <c r="Q6" s="738"/>
      <c r="R6" s="739"/>
      <c r="S6" s="739"/>
      <c r="T6" s="736">
        <f t="shared" ref="T6:T7" si="18">V6+(V6*U6)</f>
        <v>215250</v>
      </c>
      <c r="U6" s="680">
        <v>0.05</v>
      </c>
      <c r="V6" s="736">
        <f t="shared" si="4"/>
        <v>205000</v>
      </c>
      <c r="W6" s="674">
        <v>3</v>
      </c>
      <c r="X6" s="681">
        <f>ROUNDUP(SUM(Z6+AB6+AD6+AF6+AH6+AJ6+AL6),0)</f>
        <v>41</v>
      </c>
      <c r="Y6" s="640">
        <v>67</v>
      </c>
      <c r="Z6" s="638">
        <f t="shared" si="6"/>
        <v>16.079999999999998</v>
      </c>
      <c r="AA6" s="640">
        <v>100</v>
      </c>
      <c r="AB6" s="638">
        <f t="shared" si="7"/>
        <v>24</v>
      </c>
      <c r="AC6" s="732"/>
      <c r="AD6" s="638">
        <f t="shared" si="8"/>
        <v>0</v>
      </c>
      <c r="AE6" s="732"/>
      <c r="AF6" s="638">
        <f t="shared" si="9"/>
        <v>0</v>
      </c>
      <c r="AG6" s="732"/>
      <c r="AH6" s="638">
        <f t="shared" si="10"/>
        <v>0</v>
      </c>
      <c r="AI6" s="732"/>
      <c r="AJ6" s="638">
        <f t="shared" si="11"/>
        <v>0</v>
      </c>
      <c r="AK6" s="732"/>
      <c r="AL6" s="638">
        <f t="shared" si="12"/>
        <v>0</v>
      </c>
    </row>
    <row r="7" spans="1:38" ht="74.25" customHeight="1" x14ac:dyDescent="0.15">
      <c r="A7" s="728">
        <f t="shared" ref="A7:A27" si="19">A6+1</f>
        <v>2</v>
      </c>
      <c r="B7" s="1271"/>
      <c r="C7" s="743" t="s">
        <v>1568</v>
      </c>
      <c r="D7" s="744" t="s">
        <v>1556</v>
      </c>
      <c r="E7" s="743" t="s">
        <v>1569</v>
      </c>
      <c r="F7" s="743" t="s">
        <v>1570</v>
      </c>
      <c r="G7" s="730" t="s">
        <v>1571</v>
      </c>
      <c r="H7" s="734">
        <f t="shared" ref="H7" si="20">A6</f>
        <v>1</v>
      </c>
      <c r="I7" s="735">
        <f t="shared" si="15"/>
        <v>5</v>
      </c>
      <c r="J7" s="735">
        <f>ROUNDUP(W7*W$3,0)</f>
        <v>0</v>
      </c>
      <c r="K7" s="735">
        <v>5</v>
      </c>
      <c r="L7" s="777">
        <f t="shared" si="16"/>
        <v>0</v>
      </c>
      <c r="M7" s="731">
        <f t="shared" si="0"/>
        <v>0</v>
      </c>
      <c r="N7" s="731">
        <f t="shared" si="0"/>
        <v>0</v>
      </c>
      <c r="O7" s="736">
        <f t="shared" si="17"/>
        <v>0</v>
      </c>
      <c r="P7" s="737">
        <f t="shared" si="2"/>
        <v>0</v>
      </c>
      <c r="Q7" s="738"/>
      <c r="R7" s="739"/>
      <c r="S7" s="739"/>
      <c r="T7" s="736">
        <f t="shared" si="18"/>
        <v>0</v>
      </c>
      <c r="U7" s="740"/>
      <c r="V7" s="736">
        <f t="shared" si="4"/>
        <v>0</v>
      </c>
      <c r="W7" s="735">
        <v>0</v>
      </c>
      <c r="X7" s="681">
        <f t="shared" ref="X7" si="21">ROUNDUP(SUM(Z7+AB7+AD7+AF7+AH7+AJ7+AL7),0)</f>
        <v>0</v>
      </c>
      <c r="Y7" s="732">
        <v>0</v>
      </c>
      <c r="Z7" s="638">
        <f t="shared" si="6"/>
        <v>0</v>
      </c>
      <c r="AA7" s="732"/>
      <c r="AB7" s="638">
        <f t="shared" si="7"/>
        <v>0</v>
      </c>
      <c r="AC7" s="732"/>
      <c r="AD7" s="638">
        <f t="shared" si="8"/>
        <v>0</v>
      </c>
      <c r="AE7" s="732"/>
      <c r="AF7" s="638">
        <f t="shared" si="9"/>
        <v>0</v>
      </c>
      <c r="AG7" s="732"/>
      <c r="AH7" s="638">
        <f t="shared" si="10"/>
        <v>0</v>
      </c>
      <c r="AI7" s="732"/>
      <c r="AJ7" s="638">
        <f t="shared" si="11"/>
        <v>0</v>
      </c>
      <c r="AK7" s="732"/>
      <c r="AL7" s="638">
        <f t="shared" si="12"/>
        <v>0</v>
      </c>
    </row>
    <row r="8" spans="1:38" ht="74.25" customHeight="1" x14ac:dyDescent="0.15">
      <c r="A8" s="728">
        <f>A5+1</f>
        <v>2</v>
      </c>
      <c r="B8" s="1269" t="s">
        <v>1607</v>
      </c>
      <c r="C8" s="730" t="s">
        <v>731</v>
      </c>
      <c r="D8" s="733" t="s">
        <v>1498</v>
      </c>
      <c r="E8" s="729" t="s">
        <v>1562</v>
      </c>
      <c r="F8" s="730" t="s">
        <v>1563</v>
      </c>
      <c r="G8" s="730" t="s">
        <v>1564</v>
      </c>
      <c r="H8" s="734">
        <f>A5</f>
        <v>1</v>
      </c>
      <c r="I8" s="735">
        <f t="shared" si="13"/>
        <v>10</v>
      </c>
      <c r="J8" s="735">
        <v>10</v>
      </c>
      <c r="K8" s="735">
        <v>0</v>
      </c>
      <c r="L8" s="777">
        <f t="shared" si="14"/>
        <v>0</v>
      </c>
      <c r="M8" s="731">
        <f t="shared" si="0"/>
        <v>0</v>
      </c>
      <c r="N8" s="731">
        <f t="shared" si="0"/>
        <v>0</v>
      </c>
      <c r="O8" s="736">
        <f t="shared" si="1"/>
        <v>0</v>
      </c>
      <c r="P8" s="737">
        <f t="shared" si="2"/>
        <v>0</v>
      </c>
      <c r="Q8" s="738"/>
      <c r="R8" s="739"/>
      <c r="S8" s="739"/>
      <c r="T8" s="736">
        <f t="shared" si="3"/>
        <v>0</v>
      </c>
      <c r="U8" s="740"/>
      <c r="V8" s="736">
        <f t="shared" si="4"/>
        <v>0</v>
      </c>
      <c r="W8" s="742">
        <v>0</v>
      </c>
      <c r="X8" s="681">
        <f t="shared" si="5"/>
        <v>0</v>
      </c>
      <c r="Y8" s="732">
        <v>30</v>
      </c>
      <c r="Z8" s="638">
        <f t="shared" si="6"/>
        <v>0</v>
      </c>
      <c r="AA8" s="732">
        <v>100</v>
      </c>
      <c r="AB8" s="638">
        <f t="shared" si="7"/>
        <v>0</v>
      </c>
      <c r="AC8" s="732"/>
      <c r="AD8" s="638">
        <f t="shared" si="8"/>
        <v>0</v>
      </c>
      <c r="AE8" s="732"/>
      <c r="AF8" s="638">
        <f t="shared" si="9"/>
        <v>0</v>
      </c>
      <c r="AG8" s="732">
        <v>10</v>
      </c>
      <c r="AH8" s="638">
        <f t="shared" si="10"/>
        <v>0</v>
      </c>
      <c r="AI8" s="732"/>
      <c r="AJ8" s="638">
        <f t="shared" si="11"/>
        <v>0</v>
      </c>
      <c r="AK8" s="732"/>
      <c r="AL8" s="638">
        <f t="shared" si="12"/>
        <v>0</v>
      </c>
    </row>
    <row r="9" spans="1:38" ht="74.25" customHeight="1" x14ac:dyDescent="0.15">
      <c r="A9" s="728">
        <f t="shared" si="19"/>
        <v>3</v>
      </c>
      <c r="B9" s="1270"/>
      <c r="C9" s="730" t="s">
        <v>732</v>
      </c>
      <c r="D9" s="733" t="s">
        <v>1491</v>
      </c>
      <c r="E9" s="730" t="s">
        <v>1565</v>
      </c>
      <c r="F9" s="730" t="s">
        <v>1566</v>
      </c>
      <c r="G9" s="730" t="s">
        <v>1567</v>
      </c>
      <c r="H9" s="734">
        <f t="shared" ref="H9:H25" si="22">A8</f>
        <v>2</v>
      </c>
      <c r="I9" s="735">
        <f t="shared" si="13"/>
        <v>20</v>
      </c>
      <c r="J9" s="735">
        <f>ROUNDUP(W9*W$3,0)</f>
        <v>15</v>
      </c>
      <c r="K9" s="735">
        <f>ROUNDUP(W9*0.5,0)</f>
        <v>5</v>
      </c>
      <c r="L9" s="777">
        <f t="shared" si="14"/>
        <v>885920</v>
      </c>
      <c r="M9" s="731">
        <f t="shared" si="0"/>
        <v>126560</v>
      </c>
      <c r="N9" s="731">
        <f t="shared" si="0"/>
        <v>126560</v>
      </c>
      <c r="O9" s="736">
        <f t="shared" si="1"/>
        <v>632800</v>
      </c>
      <c r="P9" s="737">
        <f t="shared" si="2"/>
        <v>0</v>
      </c>
      <c r="Q9" s="738"/>
      <c r="R9" s="739"/>
      <c r="S9" s="739"/>
      <c r="T9" s="736">
        <f t="shared" si="3"/>
        <v>632800</v>
      </c>
      <c r="U9" s="740">
        <v>0.13</v>
      </c>
      <c r="V9" s="736">
        <f t="shared" si="4"/>
        <v>560000</v>
      </c>
      <c r="W9" s="735">
        <v>10</v>
      </c>
      <c r="X9" s="681">
        <f t="shared" si="5"/>
        <v>112</v>
      </c>
      <c r="Y9" s="732">
        <v>30</v>
      </c>
      <c r="Z9" s="638">
        <f t="shared" si="6"/>
        <v>24</v>
      </c>
      <c r="AA9" s="732">
        <v>100</v>
      </c>
      <c r="AB9" s="638">
        <f t="shared" si="7"/>
        <v>80</v>
      </c>
      <c r="AC9" s="732"/>
      <c r="AD9" s="638">
        <f t="shared" si="8"/>
        <v>0</v>
      </c>
      <c r="AE9" s="732"/>
      <c r="AF9" s="638">
        <f t="shared" si="9"/>
        <v>0</v>
      </c>
      <c r="AG9" s="732">
        <v>10</v>
      </c>
      <c r="AH9" s="638">
        <f t="shared" si="10"/>
        <v>8</v>
      </c>
      <c r="AI9" s="732"/>
      <c r="AJ9" s="638">
        <f t="shared" si="11"/>
        <v>0</v>
      </c>
      <c r="AK9" s="732"/>
      <c r="AL9" s="638">
        <f t="shared" si="12"/>
        <v>0</v>
      </c>
    </row>
    <row r="10" spans="1:38" ht="74.25" customHeight="1" x14ac:dyDescent="0.15">
      <c r="A10" s="728">
        <f t="shared" si="19"/>
        <v>4</v>
      </c>
      <c r="B10" s="1271"/>
      <c r="C10" s="743" t="s">
        <v>1568</v>
      </c>
      <c r="D10" s="744" t="s">
        <v>1556</v>
      </c>
      <c r="E10" s="743" t="s">
        <v>1569</v>
      </c>
      <c r="F10" s="743" t="s">
        <v>1570</v>
      </c>
      <c r="G10" s="730" t="s">
        <v>1571</v>
      </c>
      <c r="H10" s="734">
        <f t="shared" si="22"/>
        <v>3</v>
      </c>
      <c r="I10" s="735">
        <f t="shared" si="13"/>
        <v>5</v>
      </c>
      <c r="J10" s="735">
        <f>ROUNDUP(W10*W$3,0)</f>
        <v>0</v>
      </c>
      <c r="K10" s="735">
        <v>5</v>
      </c>
      <c r="L10" s="777">
        <f t="shared" si="14"/>
        <v>0</v>
      </c>
      <c r="M10" s="731">
        <f t="shared" si="0"/>
        <v>0</v>
      </c>
      <c r="N10" s="731">
        <f t="shared" si="0"/>
        <v>0</v>
      </c>
      <c r="O10" s="736">
        <f t="shared" si="1"/>
        <v>0</v>
      </c>
      <c r="P10" s="737">
        <f t="shared" si="2"/>
        <v>0</v>
      </c>
      <c r="Q10" s="738"/>
      <c r="R10" s="739"/>
      <c r="S10" s="739"/>
      <c r="T10" s="736">
        <f t="shared" si="3"/>
        <v>0</v>
      </c>
      <c r="U10" s="740"/>
      <c r="V10" s="736">
        <f t="shared" si="4"/>
        <v>0</v>
      </c>
      <c r="W10" s="735">
        <v>0</v>
      </c>
      <c r="X10" s="681">
        <f t="shared" si="5"/>
        <v>0</v>
      </c>
      <c r="Y10" s="732">
        <v>0</v>
      </c>
      <c r="Z10" s="638">
        <f t="shared" si="6"/>
        <v>0</v>
      </c>
      <c r="AA10" s="732"/>
      <c r="AB10" s="638">
        <f t="shared" si="7"/>
        <v>0</v>
      </c>
      <c r="AC10" s="732"/>
      <c r="AD10" s="638">
        <f t="shared" si="8"/>
        <v>0</v>
      </c>
      <c r="AE10" s="732"/>
      <c r="AF10" s="638">
        <f t="shared" si="9"/>
        <v>0</v>
      </c>
      <c r="AG10" s="732"/>
      <c r="AH10" s="638">
        <f t="shared" si="10"/>
        <v>0</v>
      </c>
      <c r="AI10" s="732"/>
      <c r="AJ10" s="638">
        <f t="shared" si="11"/>
        <v>0</v>
      </c>
      <c r="AK10" s="732"/>
      <c r="AL10" s="638">
        <f t="shared" si="12"/>
        <v>0</v>
      </c>
    </row>
    <row r="11" spans="1:38" ht="74.25" customHeight="1" x14ac:dyDescent="0.15">
      <c r="A11" s="728">
        <f t="shared" si="19"/>
        <v>5</v>
      </c>
      <c r="B11" s="1259" t="s">
        <v>1572</v>
      </c>
      <c r="C11" s="730" t="s">
        <v>1503</v>
      </c>
      <c r="D11" s="733" t="s">
        <v>1498</v>
      </c>
      <c r="E11" s="730" t="s">
        <v>1573</v>
      </c>
      <c r="F11" s="730" t="s">
        <v>1574</v>
      </c>
      <c r="G11" s="730" t="s">
        <v>1575</v>
      </c>
      <c r="H11" s="734">
        <f t="shared" si="22"/>
        <v>4</v>
      </c>
      <c r="I11" s="735">
        <f t="shared" si="13"/>
        <v>10</v>
      </c>
      <c r="J11" s="735">
        <f>ROUNDUP(W11*W$3,0)</f>
        <v>0</v>
      </c>
      <c r="K11" s="735">
        <v>10</v>
      </c>
      <c r="L11" s="777">
        <f t="shared" si="14"/>
        <v>0</v>
      </c>
      <c r="M11" s="731">
        <f t="shared" si="0"/>
        <v>0</v>
      </c>
      <c r="N11" s="731">
        <f t="shared" si="0"/>
        <v>0</v>
      </c>
      <c r="O11" s="736">
        <f t="shared" si="1"/>
        <v>0</v>
      </c>
      <c r="P11" s="737">
        <f t="shared" si="2"/>
        <v>0</v>
      </c>
      <c r="Q11" s="738"/>
      <c r="R11" s="739"/>
      <c r="S11" s="739"/>
      <c r="T11" s="736">
        <f t="shared" si="3"/>
        <v>0</v>
      </c>
      <c r="U11" s="740">
        <v>0.1</v>
      </c>
      <c r="V11" s="736">
        <f t="shared" si="4"/>
        <v>0</v>
      </c>
      <c r="W11" s="735"/>
      <c r="X11" s="681">
        <f t="shared" si="5"/>
        <v>0</v>
      </c>
      <c r="Y11" s="732">
        <v>30</v>
      </c>
      <c r="Z11" s="638">
        <f t="shared" si="6"/>
        <v>0</v>
      </c>
      <c r="AA11" s="732">
        <v>100</v>
      </c>
      <c r="AB11" s="638">
        <f t="shared" si="7"/>
        <v>0</v>
      </c>
      <c r="AC11" s="732"/>
      <c r="AD11" s="638">
        <f t="shared" si="8"/>
        <v>0</v>
      </c>
      <c r="AE11" s="732"/>
      <c r="AF11" s="638">
        <f t="shared" si="9"/>
        <v>0</v>
      </c>
      <c r="AG11" s="732">
        <v>100</v>
      </c>
      <c r="AH11" s="638">
        <f t="shared" si="10"/>
        <v>0</v>
      </c>
      <c r="AI11" s="732"/>
      <c r="AJ11" s="638">
        <f t="shared" si="11"/>
        <v>0</v>
      </c>
      <c r="AK11" s="732"/>
      <c r="AL11" s="638">
        <f t="shared" si="12"/>
        <v>0</v>
      </c>
    </row>
    <row r="12" spans="1:38" ht="74.25" customHeight="1" x14ac:dyDescent="0.15">
      <c r="A12" s="728">
        <f t="shared" si="19"/>
        <v>6</v>
      </c>
      <c r="B12" s="1260"/>
      <c r="C12" s="514" t="s">
        <v>761</v>
      </c>
      <c r="D12" s="640" t="s">
        <v>1491</v>
      </c>
      <c r="E12" s="514" t="s">
        <v>1504</v>
      </c>
      <c r="F12" s="514" t="s">
        <v>1505</v>
      </c>
      <c r="G12" s="514" t="s">
        <v>1506</v>
      </c>
      <c r="H12" s="669">
        <f>A11</f>
        <v>5</v>
      </c>
      <c r="I12" s="673">
        <f t="shared" si="13"/>
        <v>2</v>
      </c>
      <c r="J12" s="674">
        <f t="shared" ref="J12:J16" si="23">ROUNDUP(W12*W$2,0)</f>
        <v>0</v>
      </c>
      <c r="K12" s="673">
        <f>ROUNDUP(W12*0.5,0)</f>
        <v>2</v>
      </c>
      <c r="L12" s="778">
        <f t="shared" si="14"/>
        <v>235200</v>
      </c>
      <c r="M12" s="731">
        <f t="shared" si="0"/>
        <v>33600</v>
      </c>
      <c r="N12" s="731">
        <f t="shared" si="0"/>
        <v>33600</v>
      </c>
      <c r="O12" s="676">
        <f t="shared" si="1"/>
        <v>168000</v>
      </c>
      <c r="P12" s="737">
        <f t="shared" ref="P12:P16" si="24">Q12*($E$36+$E$37)+R12*$E$35*S12</f>
        <v>0</v>
      </c>
      <c r="Q12" s="678"/>
      <c r="R12" s="678"/>
      <c r="S12" s="678"/>
      <c r="T12" s="679">
        <f t="shared" si="3"/>
        <v>168000</v>
      </c>
      <c r="U12" s="680">
        <v>0.05</v>
      </c>
      <c r="V12" s="679">
        <f t="shared" si="4"/>
        <v>160000</v>
      </c>
      <c r="W12" s="686">
        <v>3</v>
      </c>
      <c r="X12" s="681">
        <f t="shared" si="5"/>
        <v>32</v>
      </c>
      <c r="Y12" s="732">
        <v>30</v>
      </c>
      <c r="Z12" s="638">
        <f t="shared" si="6"/>
        <v>7.2</v>
      </c>
      <c r="AA12" s="732">
        <v>100</v>
      </c>
      <c r="AB12" s="638">
        <f t="shared" si="7"/>
        <v>24</v>
      </c>
      <c r="AC12" s="732"/>
      <c r="AD12" s="638">
        <f t="shared" si="8"/>
        <v>0</v>
      </c>
      <c r="AE12" s="732"/>
      <c r="AF12" s="638">
        <f t="shared" si="9"/>
        <v>0</v>
      </c>
      <c r="AG12" s="732">
        <v>0</v>
      </c>
      <c r="AH12" s="638">
        <f t="shared" si="10"/>
        <v>0</v>
      </c>
      <c r="AI12" s="732"/>
      <c r="AJ12" s="638">
        <f t="shared" si="11"/>
        <v>0</v>
      </c>
      <c r="AK12" s="732"/>
      <c r="AL12" s="638">
        <f t="shared" si="12"/>
        <v>0</v>
      </c>
    </row>
    <row r="13" spans="1:38" ht="74.25" customHeight="1" x14ac:dyDescent="0.15">
      <c r="A13" s="728">
        <f t="shared" si="19"/>
        <v>7</v>
      </c>
      <c r="B13" s="1260"/>
      <c r="C13" s="514" t="s">
        <v>762</v>
      </c>
      <c r="D13" s="640" t="s">
        <v>1491</v>
      </c>
      <c r="E13" s="514" t="s">
        <v>1507</v>
      </c>
      <c r="F13" s="514" t="s">
        <v>1508</v>
      </c>
      <c r="G13" s="514" t="s">
        <v>1509</v>
      </c>
      <c r="H13" s="669">
        <f t="shared" ref="H13:H15" si="25">A12</f>
        <v>6</v>
      </c>
      <c r="I13" s="673">
        <f t="shared" si="13"/>
        <v>3</v>
      </c>
      <c r="J13" s="674">
        <f t="shared" si="23"/>
        <v>0</v>
      </c>
      <c r="K13" s="673">
        <f>ROUNDUP(W13*0.5,0)</f>
        <v>3</v>
      </c>
      <c r="L13" s="778">
        <f t="shared" si="14"/>
        <v>554400</v>
      </c>
      <c r="M13" s="731">
        <f t="shared" si="0"/>
        <v>79200</v>
      </c>
      <c r="N13" s="731">
        <f t="shared" si="0"/>
        <v>79200</v>
      </c>
      <c r="O13" s="676">
        <f t="shared" si="1"/>
        <v>396000</v>
      </c>
      <c r="P13" s="737">
        <f t="shared" si="24"/>
        <v>0</v>
      </c>
      <c r="Q13" s="678"/>
      <c r="R13" s="678"/>
      <c r="S13" s="678"/>
      <c r="T13" s="679">
        <f t="shared" si="3"/>
        <v>396000</v>
      </c>
      <c r="U13" s="680">
        <v>0.1</v>
      </c>
      <c r="V13" s="679">
        <f t="shared" ref="V13:V16" si="26">X13*$E$33</f>
        <v>360000</v>
      </c>
      <c r="W13" s="673">
        <v>5</v>
      </c>
      <c r="X13" s="681">
        <f t="shared" si="5"/>
        <v>72</v>
      </c>
      <c r="Y13" s="732">
        <v>30</v>
      </c>
      <c r="Z13" s="638">
        <f t="shared" si="6"/>
        <v>12</v>
      </c>
      <c r="AA13" s="732">
        <v>100</v>
      </c>
      <c r="AB13" s="638">
        <f t="shared" si="7"/>
        <v>40</v>
      </c>
      <c r="AC13" s="732"/>
      <c r="AD13" s="638">
        <f t="shared" si="8"/>
        <v>0</v>
      </c>
      <c r="AE13" s="732"/>
      <c r="AF13" s="638">
        <f t="shared" si="9"/>
        <v>0</v>
      </c>
      <c r="AG13" s="732">
        <v>50</v>
      </c>
      <c r="AH13" s="638">
        <f t="shared" si="10"/>
        <v>20</v>
      </c>
      <c r="AI13" s="732"/>
      <c r="AJ13" s="638">
        <f t="shared" si="11"/>
        <v>0</v>
      </c>
      <c r="AK13" s="732"/>
      <c r="AL13" s="638">
        <f t="shared" si="12"/>
        <v>0</v>
      </c>
    </row>
    <row r="14" spans="1:38" ht="74.25" customHeight="1" x14ac:dyDescent="0.15">
      <c r="A14" s="728">
        <f t="shared" si="19"/>
        <v>8</v>
      </c>
      <c r="B14" s="1260"/>
      <c r="C14" s="687" t="s">
        <v>1515</v>
      </c>
      <c r="D14" s="640" t="s">
        <v>1491</v>
      </c>
      <c r="E14" s="514" t="s">
        <v>1541</v>
      </c>
      <c r="F14" s="514" t="s">
        <v>1516</v>
      </c>
      <c r="G14" s="514" t="s">
        <v>1517</v>
      </c>
      <c r="H14" s="669">
        <f t="shared" si="25"/>
        <v>7</v>
      </c>
      <c r="I14" s="673">
        <f t="shared" si="13"/>
        <v>2</v>
      </c>
      <c r="J14" s="674">
        <f t="shared" si="23"/>
        <v>0</v>
      </c>
      <c r="K14" s="673">
        <f>ROUNDUP(W14*0.5,0)</f>
        <v>2</v>
      </c>
      <c r="L14" s="778">
        <f t="shared" si="14"/>
        <v>252280</v>
      </c>
      <c r="M14" s="731">
        <f t="shared" si="0"/>
        <v>36040</v>
      </c>
      <c r="N14" s="731">
        <f t="shared" si="0"/>
        <v>36040</v>
      </c>
      <c r="O14" s="676">
        <f t="shared" si="1"/>
        <v>180200</v>
      </c>
      <c r="P14" s="737">
        <f t="shared" si="24"/>
        <v>0</v>
      </c>
      <c r="Q14" s="678"/>
      <c r="R14" s="678"/>
      <c r="S14" s="678"/>
      <c r="T14" s="679">
        <f t="shared" si="3"/>
        <v>180200</v>
      </c>
      <c r="U14" s="680">
        <v>0.06</v>
      </c>
      <c r="V14" s="679">
        <f t="shared" si="26"/>
        <v>170000</v>
      </c>
      <c r="W14" s="673">
        <v>3</v>
      </c>
      <c r="X14" s="681">
        <f t="shared" si="5"/>
        <v>34</v>
      </c>
      <c r="Y14" s="732">
        <v>40</v>
      </c>
      <c r="Z14" s="638">
        <f t="shared" si="6"/>
        <v>9.6</v>
      </c>
      <c r="AA14" s="732">
        <v>100</v>
      </c>
      <c r="AB14" s="638">
        <f t="shared" si="7"/>
        <v>24</v>
      </c>
      <c r="AC14" s="732"/>
      <c r="AD14" s="638">
        <f t="shared" si="8"/>
        <v>0</v>
      </c>
      <c r="AE14" s="732"/>
      <c r="AF14" s="638">
        <f t="shared" si="9"/>
        <v>0</v>
      </c>
      <c r="AG14" s="732"/>
      <c r="AH14" s="638">
        <f t="shared" si="10"/>
        <v>0</v>
      </c>
      <c r="AI14" s="732"/>
      <c r="AJ14" s="638">
        <f t="shared" si="11"/>
        <v>0</v>
      </c>
      <c r="AK14" s="732"/>
      <c r="AL14" s="638">
        <f t="shared" si="12"/>
        <v>0</v>
      </c>
    </row>
    <row r="15" spans="1:38" ht="74.25" customHeight="1" x14ac:dyDescent="0.15">
      <c r="A15" s="728">
        <f t="shared" si="19"/>
        <v>9</v>
      </c>
      <c r="B15" s="1260"/>
      <c r="C15" s="687" t="s">
        <v>704</v>
      </c>
      <c r="D15" s="640" t="s">
        <v>1491</v>
      </c>
      <c r="E15" s="514" t="s">
        <v>1542</v>
      </c>
      <c r="F15" s="514" t="s">
        <v>1518</v>
      </c>
      <c r="G15" s="514" t="s">
        <v>1519</v>
      </c>
      <c r="H15" s="669">
        <f t="shared" si="25"/>
        <v>8</v>
      </c>
      <c r="I15" s="673">
        <f t="shared" si="13"/>
        <v>1</v>
      </c>
      <c r="J15" s="674">
        <f t="shared" si="23"/>
        <v>0</v>
      </c>
      <c r="K15" s="673">
        <f>ROUNDUP(W15*0.5,0)</f>
        <v>1</v>
      </c>
      <c r="L15" s="778">
        <f t="shared" si="14"/>
        <v>161700</v>
      </c>
      <c r="M15" s="731">
        <f t="shared" si="0"/>
        <v>23100</v>
      </c>
      <c r="N15" s="731">
        <f t="shared" si="0"/>
        <v>23100</v>
      </c>
      <c r="O15" s="676">
        <f t="shared" si="1"/>
        <v>115500</v>
      </c>
      <c r="P15" s="737">
        <f t="shared" si="24"/>
        <v>0</v>
      </c>
      <c r="Q15" s="678"/>
      <c r="R15" s="678"/>
      <c r="S15" s="678"/>
      <c r="T15" s="679">
        <f t="shared" si="3"/>
        <v>115500</v>
      </c>
      <c r="U15" s="680">
        <v>0.1</v>
      </c>
      <c r="V15" s="679">
        <f t="shared" si="26"/>
        <v>105000</v>
      </c>
      <c r="W15" s="673">
        <v>2</v>
      </c>
      <c r="X15" s="681">
        <f t="shared" si="5"/>
        <v>21</v>
      </c>
      <c r="Y15" s="732">
        <v>30</v>
      </c>
      <c r="Z15" s="638">
        <f t="shared" si="6"/>
        <v>4.8</v>
      </c>
      <c r="AA15" s="732">
        <v>50</v>
      </c>
      <c r="AB15" s="638">
        <f t="shared" si="7"/>
        <v>8</v>
      </c>
      <c r="AC15" s="732"/>
      <c r="AD15" s="638">
        <f t="shared" si="8"/>
        <v>0</v>
      </c>
      <c r="AE15" s="732"/>
      <c r="AF15" s="638">
        <f t="shared" si="9"/>
        <v>0</v>
      </c>
      <c r="AG15" s="732">
        <v>50</v>
      </c>
      <c r="AH15" s="638">
        <f t="shared" si="10"/>
        <v>8</v>
      </c>
      <c r="AI15" s="732"/>
      <c r="AJ15" s="638">
        <f t="shared" si="11"/>
        <v>0</v>
      </c>
      <c r="AK15" s="732"/>
      <c r="AL15" s="638">
        <f t="shared" si="12"/>
        <v>0</v>
      </c>
    </row>
    <row r="16" spans="1:38" ht="74.25" customHeight="1" x14ac:dyDescent="0.15">
      <c r="A16" s="728">
        <f t="shared" si="19"/>
        <v>10</v>
      </c>
      <c r="B16" s="1261"/>
      <c r="C16" s="514" t="s">
        <v>1497</v>
      </c>
      <c r="D16" s="640" t="s">
        <v>1498</v>
      </c>
      <c r="E16" s="514" t="s">
        <v>1499</v>
      </c>
      <c r="F16" s="514" t="s">
        <v>1500</v>
      </c>
      <c r="G16" s="514" t="s">
        <v>1501</v>
      </c>
      <c r="H16" s="669">
        <f>A13</f>
        <v>7</v>
      </c>
      <c r="I16" s="673">
        <f t="shared" si="13"/>
        <v>10</v>
      </c>
      <c r="J16" s="674">
        <f t="shared" si="23"/>
        <v>0</v>
      </c>
      <c r="K16" s="673">
        <v>10</v>
      </c>
      <c r="L16" s="778">
        <f t="shared" si="14"/>
        <v>0</v>
      </c>
      <c r="M16" s="731">
        <f t="shared" si="0"/>
        <v>0</v>
      </c>
      <c r="N16" s="731">
        <f t="shared" si="0"/>
        <v>0</v>
      </c>
      <c r="O16" s="676">
        <f t="shared" si="1"/>
        <v>0</v>
      </c>
      <c r="P16" s="737">
        <f t="shared" si="24"/>
        <v>0</v>
      </c>
      <c r="Q16" s="678"/>
      <c r="R16" s="678"/>
      <c r="S16" s="678"/>
      <c r="T16" s="679">
        <f t="shared" si="3"/>
        <v>0</v>
      </c>
      <c r="U16" s="680"/>
      <c r="V16" s="679">
        <f t="shared" si="26"/>
        <v>0</v>
      </c>
      <c r="W16" s="673">
        <v>0</v>
      </c>
      <c r="X16" s="681">
        <f t="shared" si="5"/>
        <v>0</v>
      </c>
      <c r="Y16" s="732">
        <v>0</v>
      </c>
      <c r="Z16" s="638">
        <f t="shared" si="6"/>
        <v>0</v>
      </c>
      <c r="AA16" s="732"/>
      <c r="AB16" s="638">
        <f t="shared" si="7"/>
        <v>0</v>
      </c>
      <c r="AC16" s="732"/>
      <c r="AD16" s="638">
        <f t="shared" si="8"/>
        <v>0</v>
      </c>
      <c r="AE16" s="732"/>
      <c r="AF16" s="638">
        <f t="shared" si="9"/>
        <v>0</v>
      </c>
      <c r="AG16" s="732"/>
      <c r="AH16" s="638">
        <f t="shared" si="10"/>
        <v>0</v>
      </c>
      <c r="AI16" s="732"/>
      <c r="AJ16" s="638">
        <f t="shared" si="11"/>
        <v>0</v>
      </c>
      <c r="AK16" s="732"/>
      <c r="AL16" s="638">
        <f t="shared" si="12"/>
        <v>0</v>
      </c>
    </row>
    <row r="17" spans="1:38" ht="74.25" customHeight="1" x14ac:dyDescent="0.15">
      <c r="A17" s="728">
        <f t="shared" si="19"/>
        <v>11</v>
      </c>
      <c r="B17" s="1259" t="s">
        <v>1576</v>
      </c>
      <c r="C17" s="730" t="s">
        <v>771</v>
      </c>
      <c r="D17" s="733" t="s">
        <v>1556</v>
      </c>
      <c r="E17" s="730" t="s">
        <v>1577</v>
      </c>
      <c r="F17" s="730" t="s">
        <v>1578</v>
      </c>
      <c r="G17" s="730" t="s">
        <v>1579</v>
      </c>
      <c r="H17" s="734">
        <f t="shared" si="22"/>
        <v>10</v>
      </c>
      <c r="I17" s="735">
        <f t="shared" si="13"/>
        <v>20</v>
      </c>
      <c r="J17" s="735">
        <f>ROUNDUP(W17*W$3,0)</f>
        <v>15</v>
      </c>
      <c r="K17" s="735">
        <f>ROUNDUP(W17*0.5,0)</f>
        <v>5</v>
      </c>
      <c r="L17" s="777">
        <f t="shared" si="14"/>
        <v>800800</v>
      </c>
      <c r="M17" s="731">
        <f t="shared" si="0"/>
        <v>114400</v>
      </c>
      <c r="N17" s="731">
        <f t="shared" si="0"/>
        <v>114400</v>
      </c>
      <c r="O17" s="736">
        <f t="shared" si="1"/>
        <v>572000</v>
      </c>
      <c r="P17" s="737">
        <f t="shared" ref="P17:P27" si="27">Q17*($E$36+$E$37)+R17*$E$35*S17</f>
        <v>0</v>
      </c>
      <c r="Q17" s="738"/>
      <c r="R17" s="739"/>
      <c r="S17" s="739"/>
      <c r="T17" s="736">
        <f t="shared" si="3"/>
        <v>572000</v>
      </c>
      <c r="U17" s="740">
        <v>0.1</v>
      </c>
      <c r="V17" s="736">
        <f t="shared" ref="V17:V27" si="28">X17*$E$33</f>
        <v>520000</v>
      </c>
      <c r="W17" s="735">
        <v>10</v>
      </c>
      <c r="X17" s="681">
        <f t="shared" si="5"/>
        <v>104</v>
      </c>
      <c r="Y17" s="732">
        <v>30</v>
      </c>
      <c r="Z17" s="638">
        <f t="shared" si="6"/>
        <v>24</v>
      </c>
      <c r="AA17" s="732">
        <v>100</v>
      </c>
      <c r="AB17" s="638">
        <f t="shared" si="7"/>
        <v>80</v>
      </c>
      <c r="AC17" s="732"/>
      <c r="AD17" s="638">
        <f t="shared" si="8"/>
        <v>0</v>
      </c>
      <c r="AE17" s="732"/>
      <c r="AF17" s="638">
        <f t="shared" si="9"/>
        <v>0</v>
      </c>
      <c r="AG17" s="732"/>
      <c r="AH17" s="638">
        <f t="shared" si="10"/>
        <v>0</v>
      </c>
      <c r="AI17" s="732"/>
      <c r="AJ17" s="638">
        <f t="shared" si="11"/>
        <v>0</v>
      </c>
      <c r="AK17" s="732"/>
      <c r="AL17" s="638">
        <f t="shared" si="12"/>
        <v>0</v>
      </c>
    </row>
    <row r="18" spans="1:38" ht="74.25" customHeight="1" x14ac:dyDescent="0.15">
      <c r="A18" s="728">
        <f t="shared" si="19"/>
        <v>12</v>
      </c>
      <c r="B18" s="1261"/>
      <c r="C18" s="743" t="s">
        <v>1568</v>
      </c>
      <c r="D18" s="744" t="s">
        <v>1556</v>
      </c>
      <c r="E18" s="743" t="s">
        <v>1569</v>
      </c>
      <c r="F18" s="743" t="s">
        <v>1570</v>
      </c>
      <c r="G18" s="730" t="s">
        <v>1571</v>
      </c>
      <c r="H18" s="734">
        <f t="shared" si="22"/>
        <v>11</v>
      </c>
      <c r="I18" s="735">
        <f t="shared" si="13"/>
        <v>5</v>
      </c>
      <c r="J18" s="735">
        <f>ROUNDUP(W18*W$3,0)</f>
        <v>0</v>
      </c>
      <c r="K18" s="735">
        <v>5</v>
      </c>
      <c r="L18" s="777">
        <f t="shared" si="14"/>
        <v>0</v>
      </c>
      <c r="M18" s="731">
        <f t="shared" si="0"/>
        <v>0</v>
      </c>
      <c r="N18" s="731">
        <f t="shared" si="0"/>
        <v>0</v>
      </c>
      <c r="O18" s="736">
        <f t="shared" si="1"/>
        <v>0</v>
      </c>
      <c r="P18" s="737">
        <f t="shared" si="27"/>
        <v>0</v>
      </c>
      <c r="Q18" s="738"/>
      <c r="R18" s="739"/>
      <c r="S18" s="739"/>
      <c r="T18" s="736">
        <f t="shared" si="3"/>
        <v>0</v>
      </c>
      <c r="U18" s="740"/>
      <c r="V18" s="736">
        <f t="shared" si="28"/>
        <v>0</v>
      </c>
      <c r="W18" s="735">
        <v>0</v>
      </c>
      <c r="X18" s="681">
        <f t="shared" si="5"/>
        <v>0</v>
      </c>
      <c r="Y18" s="732">
        <v>0</v>
      </c>
      <c r="Z18" s="638">
        <f t="shared" si="6"/>
        <v>0</v>
      </c>
      <c r="AA18" s="732"/>
      <c r="AB18" s="638">
        <f t="shared" si="7"/>
        <v>0</v>
      </c>
      <c r="AC18" s="732"/>
      <c r="AD18" s="638">
        <f t="shared" si="8"/>
        <v>0</v>
      </c>
      <c r="AE18" s="732"/>
      <c r="AF18" s="638">
        <f t="shared" si="9"/>
        <v>0</v>
      </c>
      <c r="AG18" s="732"/>
      <c r="AH18" s="638">
        <f t="shared" si="10"/>
        <v>0</v>
      </c>
      <c r="AI18" s="732"/>
      <c r="AJ18" s="638">
        <f t="shared" si="11"/>
        <v>0</v>
      </c>
      <c r="AK18" s="732"/>
      <c r="AL18" s="638">
        <f t="shared" si="12"/>
        <v>0</v>
      </c>
    </row>
    <row r="19" spans="1:38" ht="74.25" customHeight="1" x14ac:dyDescent="0.15">
      <c r="A19" s="728">
        <f t="shared" si="19"/>
        <v>13</v>
      </c>
      <c r="B19" s="1259" t="s">
        <v>1580</v>
      </c>
      <c r="C19" s="745" t="s">
        <v>773</v>
      </c>
      <c r="D19" s="733" t="s">
        <v>1556</v>
      </c>
      <c r="E19" s="743" t="s">
        <v>1581</v>
      </c>
      <c r="F19" s="743" t="s">
        <v>1582</v>
      </c>
      <c r="G19" s="743" t="s">
        <v>1583</v>
      </c>
      <c r="H19" s="734">
        <f t="shared" si="22"/>
        <v>12</v>
      </c>
      <c r="I19" s="735">
        <f t="shared" si="13"/>
        <v>5</v>
      </c>
      <c r="J19" s="735">
        <f>ROUNDUP(W19*W$3,0)</f>
        <v>3</v>
      </c>
      <c r="K19" s="735">
        <v>2</v>
      </c>
      <c r="L19" s="777">
        <f t="shared" si="14"/>
        <v>161700</v>
      </c>
      <c r="M19" s="731">
        <f t="shared" si="0"/>
        <v>23100</v>
      </c>
      <c r="N19" s="731">
        <f t="shared" si="0"/>
        <v>23100</v>
      </c>
      <c r="O19" s="736">
        <f t="shared" si="1"/>
        <v>115500</v>
      </c>
      <c r="P19" s="737">
        <f t="shared" si="27"/>
        <v>0</v>
      </c>
      <c r="Q19" s="738"/>
      <c r="R19" s="739"/>
      <c r="S19" s="739"/>
      <c r="T19" s="736">
        <f t="shared" si="3"/>
        <v>115500</v>
      </c>
      <c r="U19" s="740">
        <v>0.1</v>
      </c>
      <c r="V19" s="736">
        <f t="shared" si="28"/>
        <v>105000</v>
      </c>
      <c r="W19" s="735">
        <v>2</v>
      </c>
      <c r="X19" s="681">
        <f t="shared" si="5"/>
        <v>21</v>
      </c>
      <c r="Y19" s="732">
        <v>30</v>
      </c>
      <c r="Z19" s="638">
        <f t="shared" si="6"/>
        <v>4.8</v>
      </c>
      <c r="AA19" s="732">
        <v>100</v>
      </c>
      <c r="AB19" s="638">
        <f t="shared" si="7"/>
        <v>16</v>
      </c>
      <c r="AC19" s="732"/>
      <c r="AD19" s="638">
        <f t="shared" si="8"/>
        <v>0</v>
      </c>
      <c r="AE19" s="732"/>
      <c r="AF19" s="638">
        <f t="shared" si="9"/>
        <v>0</v>
      </c>
      <c r="AG19" s="732"/>
      <c r="AH19" s="638">
        <f t="shared" si="10"/>
        <v>0</v>
      </c>
      <c r="AI19" s="732"/>
      <c r="AJ19" s="638">
        <f t="shared" si="11"/>
        <v>0</v>
      </c>
      <c r="AK19" s="732"/>
      <c r="AL19" s="638">
        <f t="shared" si="12"/>
        <v>0</v>
      </c>
    </row>
    <row r="20" spans="1:38" ht="74.25" customHeight="1" x14ac:dyDescent="0.15">
      <c r="A20" s="728">
        <f t="shared" si="19"/>
        <v>14</v>
      </c>
      <c r="B20" s="1260"/>
      <c r="C20" s="730" t="s">
        <v>1584</v>
      </c>
      <c r="D20" s="733" t="s">
        <v>1556</v>
      </c>
      <c r="E20" s="743" t="s">
        <v>1585</v>
      </c>
      <c r="F20" s="730" t="s">
        <v>1586</v>
      </c>
      <c r="G20" s="730" t="s">
        <v>1587</v>
      </c>
      <c r="H20" s="734">
        <f t="shared" si="22"/>
        <v>13</v>
      </c>
      <c r="I20" s="735">
        <f t="shared" si="13"/>
        <v>17</v>
      </c>
      <c r="J20" s="735">
        <f>ROUNDUP(W20*W$3,0)</f>
        <v>12</v>
      </c>
      <c r="K20" s="735">
        <v>5</v>
      </c>
      <c r="L20" s="777">
        <f t="shared" si="14"/>
        <v>646800</v>
      </c>
      <c r="M20" s="731">
        <f t="shared" si="0"/>
        <v>92400</v>
      </c>
      <c r="N20" s="731">
        <f t="shared" si="0"/>
        <v>92400</v>
      </c>
      <c r="O20" s="736">
        <f t="shared" si="1"/>
        <v>462000</v>
      </c>
      <c r="P20" s="737">
        <f t="shared" si="27"/>
        <v>0</v>
      </c>
      <c r="Q20" s="738"/>
      <c r="R20" s="739"/>
      <c r="S20" s="739"/>
      <c r="T20" s="736">
        <f t="shared" si="3"/>
        <v>462000</v>
      </c>
      <c r="U20" s="740">
        <v>0.1</v>
      </c>
      <c r="V20" s="736">
        <f t="shared" si="28"/>
        <v>420000</v>
      </c>
      <c r="W20" s="735">
        <f>ROUNDUP((12*3+4*2)/8+2,0)</f>
        <v>8</v>
      </c>
      <c r="X20" s="681">
        <f t="shared" si="5"/>
        <v>84</v>
      </c>
      <c r="Y20" s="732">
        <v>30</v>
      </c>
      <c r="Z20" s="638">
        <f t="shared" si="6"/>
        <v>19.2</v>
      </c>
      <c r="AA20" s="732">
        <v>100</v>
      </c>
      <c r="AB20" s="638">
        <f t="shared" si="7"/>
        <v>64</v>
      </c>
      <c r="AC20" s="732"/>
      <c r="AD20" s="638">
        <f t="shared" si="8"/>
        <v>0</v>
      </c>
      <c r="AE20" s="732"/>
      <c r="AF20" s="638">
        <f t="shared" si="9"/>
        <v>0</v>
      </c>
      <c r="AG20" s="732"/>
      <c r="AH20" s="638">
        <f t="shared" si="10"/>
        <v>0</v>
      </c>
      <c r="AI20" s="732"/>
      <c r="AJ20" s="638">
        <f t="shared" si="11"/>
        <v>0</v>
      </c>
      <c r="AK20" s="732"/>
      <c r="AL20" s="638">
        <f t="shared" si="12"/>
        <v>0</v>
      </c>
    </row>
    <row r="21" spans="1:38" ht="74.25" customHeight="1" x14ac:dyDescent="0.15">
      <c r="A21" s="728">
        <f t="shared" si="19"/>
        <v>15</v>
      </c>
      <c r="B21" s="1261"/>
      <c r="C21" s="743" t="s">
        <v>1568</v>
      </c>
      <c r="D21" s="744" t="s">
        <v>1556</v>
      </c>
      <c r="E21" s="743" t="s">
        <v>1569</v>
      </c>
      <c r="F21" s="743" t="s">
        <v>1570</v>
      </c>
      <c r="G21" s="730" t="s">
        <v>1571</v>
      </c>
      <c r="H21" s="734">
        <f t="shared" si="22"/>
        <v>14</v>
      </c>
      <c r="I21" s="735">
        <f t="shared" si="13"/>
        <v>5</v>
      </c>
      <c r="J21" s="735">
        <f>W21*1.5</f>
        <v>0</v>
      </c>
      <c r="K21" s="735">
        <v>5</v>
      </c>
      <c r="L21" s="777">
        <f t="shared" si="14"/>
        <v>0</v>
      </c>
      <c r="M21" s="731">
        <f t="shared" si="0"/>
        <v>0</v>
      </c>
      <c r="N21" s="731">
        <f t="shared" si="0"/>
        <v>0</v>
      </c>
      <c r="O21" s="736">
        <f t="shared" si="1"/>
        <v>0</v>
      </c>
      <c r="P21" s="737">
        <f t="shared" si="27"/>
        <v>0</v>
      </c>
      <c r="Q21" s="738"/>
      <c r="R21" s="739"/>
      <c r="S21" s="739"/>
      <c r="T21" s="736">
        <f t="shared" si="3"/>
        <v>0</v>
      </c>
      <c r="U21" s="740"/>
      <c r="V21" s="736">
        <f t="shared" si="28"/>
        <v>0</v>
      </c>
      <c r="W21" s="735">
        <v>0</v>
      </c>
      <c r="X21" s="681">
        <f t="shared" si="5"/>
        <v>0</v>
      </c>
      <c r="Y21" s="732">
        <v>0</v>
      </c>
      <c r="Z21" s="638">
        <f t="shared" si="6"/>
        <v>0</v>
      </c>
      <c r="AA21" s="732"/>
      <c r="AB21" s="638">
        <f t="shared" si="7"/>
        <v>0</v>
      </c>
      <c r="AC21" s="732"/>
      <c r="AD21" s="638">
        <f t="shared" si="8"/>
        <v>0</v>
      </c>
      <c r="AE21" s="732"/>
      <c r="AF21" s="638">
        <f t="shared" si="9"/>
        <v>0</v>
      </c>
      <c r="AG21" s="732"/>
      <c r="AH21" s="638">
        <f t="shared" si="10"/>
        <v>0</v>
      </c>
      <c r="AI21" s="732"/>
      <c r="AJ21" s="638">
        <f t="shared" si="11"/>
        <v>0</v>
      </c>
      <c r="AK21" s="732"/>
      <c r="AL21" s="638">
        <f t="shared" si="12"/>
        <v>0</v>
      </c>
    </row>
    <row r="22" spans="1:38" ht="74.25" customHeight="1" x14ac:dyDescent="0.15">
      <c r="A22" s="728">
        <f t="shared" si="19"/>
        <v>16</v>
      </c>
      <c r="B22" s="1259" t="s">
        <v>1588</v>
      </c>
      <c r="C22" s="745" t="s">
        <v>1589</v>
      </c>
      <c r="D22" s="733" t="s">
        <v>1556</v>
      </c>
      <c r="E22" s="730" t="s">
        <v>1590</v>
      </c>
      <c r="F22" s="730" t="s">
        <v>1591</v>
      </c>
      <c r="G22" s="730" t="s">
        <v>1592</v>
      </c>
      <c r="H22" s="734">
        <f t="shared" si="22"/>
        <v>15</v>
      </c>
      <c r="I22" s="735">
        <f t="shared" si="13"/>
        <v>3</v>
      </c>
      <c r="J22" s="735">
        <f>ROUNDUP(W22*W$3,0)</f>
        <v>2</v>
      </c>
      <c r="K22" s="735">
        <v>1</v>
      </c>
      <c r="L22" s="777">
        <f t="shared" si="14"/>
        <v>30800</v>
      </c>
      <c r="M22" s="731">
        <f t="shared" si="0"/>
        <v>4400</v>
      </c>
      <c r="N22" s="731">
        <f t="shared" si="0"/>
        <v>4400</v>
      </c>
      <c r="O22" s="736">
        <f t="shared" si="1"/>
        <v>22000</v>
      </c>
      <c r="P22" s="737">
        <f t="shared" si="27"/>
        <v>0</v>
      </c>
      <c r="Q22" s="738"/>
      <c r="R22" s="739"/>
      <c r="S22" s="739"/>
      <c r="T22" s="736">
        <f t="shared" si="3"/>
        <v>22000</v>
      </c>
      <c r="U22" s="740">
        <v>0.1</v>
      </c>
      <c r="V22" s="736">
        <f t="shared" si="28"/>
        <v>20000</v>
      </c>
      <c r="W22" s="735">
        <v>1</v>
      </c>
      <c r="X22" s="681">
        <f t="shared" si="5"/>
        <v>4</v>
      </c>
      <c r="Y22" s="732">
        <v>50</v>
      </c>
      <c r="Z22" s="638">
        <f t="shared" si="6"/>
        <v>4</v>
      </c>
      <c r="AA22" s="732"/>
      <c r="AB22" s="638">
        <f t="shared" si="7"/>
        <v>0</v>
      </c>
      <c r="AC22" s="732"/>
      <c r="AD22" s="638">
        <f t="shared" si="8"/>
        <v>0</v>
      </c>
      <c r="AE22" s="732"/>
      <c r="AF22" s="638">
        <f t="shared" si="9"/>
        <v>0</v>
      </c>
      <c r="AG22" s="732"/>
      <c r="AH22" s="638">
        <f t="shared" si="10"/>
        <v>0</v>
      </c>
      <c r="AI22" s="732"/>
      <c r="AJ22" s="638">
        <f t="shared" si="11"/>
        <v>0</v>
      </c>
      <c r="AK22" s="732"/>
      <c r="AL22" s="638">
        <f t="shared" si="12"/>
        <v>0</v>
      </c>
    </row>
    <row r="23" spans="1:38" ht="74.25" customHeight="1" x14ac:dyDescent="0.15">
      <c r="A23" s="728">
        <f t="shared" si="19"/>
        <v>17</v>
      </c>
      <c r="B23" s="1260"/>
      <c r="C23" s="730" t="s">
        <v>1593</v>
      </c>
      <c r="D23" s="733" t="s">
        <v>1556</v>
      </c>
      <c r="E23" s="730" t="s">
        <v>1594</v>
      </c>
      <c r="F23" s="730" t="s">
        <v>1595</v>
      </c>
      <c r="G23" s="730" t="s">
        <v>1596</v>
      </c>
      <c r="H23" s="734">
        <f t="shared" si="22"/>
        <v>16</v>
      </c>
      <c r="I23" s="735">
        <f t="shared" si="13"/>
        <v>20</v>
      </c>
      <c r="J23" s="735">
        <f>ROUNDUP(W23*1.5,0)</f>
        <v>15</v>
      </c>
      <c r="K23" s="735">
        <f>ROUNDUP(W23*0.5,0)</f>
        <v>5</v>
      </c>
      <c r="L23" s="777">
        <f t="shared" si="14"/>
        <v>954800</v>
      </c>
      <c r="M23" s="731">
        <f t="shared" si="0"/>
        <v>136400</v>
      </c>
      <c r="N23" s="731">
        <f t="shared" si="0"/>
        <v>136400</v>
      </c>
      <c r="O23" s="736">
        <f t="shared" si="1"/>
        <v>682000</v>
      </c>
      <c r="P23" s="737">
        <f t="shared" si="27"/>
        <v>0</v>
      </c>
      <c r="Q23" s="738"/>
      <c r="R23" s="739"/>
      <c r="S23" s="739"/>
      <c r="T23" s="736">
        <f t="shared" si="3"/>
        <v>682000</v>
      </c>
      <c r="U23" s="740">
        <v>0.1</v>
      </c>
      <c r="V23" s="736">
        <f t="shared" si="28"/>
        <v>620000</v>
      </c>
      <c r="W23" s="735">
        <v>10</v>
      </c>
      <c r="X23" s="681">
        <f t="shared" si="5"/>
        <v>124</v>
      </c>
      <c r="Y23" s="732">
        <v>30</v>
      </c>
      <c r="Z23" s="638">
        <f t="shared" si="6"/>
        <v>24</v>
      </c>
      <c r="AA23" s="732">
        <v>100</v>
      </c>
      <c r="AB23" s="638">
        <f t="shared" si="7"/>
        <v>80</v>
      </c>
      <c r="AC23" s="732"/>
      <c r="AD23" s="638">
        <f t="shared" si="8"/>
        <v>0</v>
      </c>
      <c r="AE23" s="732"/>
      <c r="AF23" s="638">
        <f t="shared" si="9"/>
        <v>0</v>
      </c>
      <c r="AG23" s="732">
        <v>25</v>
      </c>
      <c r="AH23" s="638">
        <f t="shared" si="10"/>
        <v>20</v>
      </c>
      <c r="AI23" s="732"/>
      <c r="AJ23" s="638">
        <f t="shared" si="11"/>
        <v>0</v>
      </c>
      <c r="AK23" s="732"/>
      <c r="AL23" s="638">
        <f t="shared" si="12"/>
        <v>0</v>
      </c>
    </row>
    <row r="24" spans="1:38" ht="74.25" customHeight="1" x14ac:dyDescent="0.15">
      <c r="A24" s="728">
        <f t="shared" si="19"/>
        <v>18</v>
      </c>
      <c r="B24" s="1261"/>
      <c r="C24" s="743" t="s">
        <v>1568</v>
      </c>
      <c r="D24" s="744" t="s">
        <v>1556</v>
      </c>
      <c r="E24" s="743" t="s">
        <v>1569</v>
      </c>
      <c r="F24" s="743" t="s">
        <v>1570</v>
      </c>
      <c r="G24" s="730" t="s">
        <v>1571</v>
      </c>
      <c r="H24" s="734">
        <f t="shared" si="22"/>
        <v>17</v>
      </c>
      <c r="I24" s="735">
        <f t="shared" si="13"/>
        <v>5</v>
      </c>
      <c r="J24" s="735">
        <f>ROUNDUP(W24*W$3,0)</f>
        <v>0</v>
      </c>
      <c r="K24" s="735">
        <v>5</v>
      </c>
      <c r="L24" s="777">
        <f t="shared" si="14"/>
        <v>0</v>
      </c>
      <c r="M24" s="731">
        <f t="shared" si="0"/>
        <v>0</v>
      </c>
      <c r="N24" s="731">
        <f t="shared" si="0"/>
        <v>0</v>
      </c>
      <c r="O24" s="736">
        <f t="shared" si="1"/>
        <v>0</v>
      </c>
      <c r="P24" s="737">
        <f t="shared" si="27"/>
        <v>0</v>
      </c>
      <c r="Q24" s="738"/>
      <c r="R24" s="739"/>
      <c r="S24" s="739"/>
      <c r="T24" s="736">
        <f t="shared" si="3"/>
        <v>0</v>
      </c>
      <c r="U24" s="740">
        <v>0</v>
      </c>
      <c r="V24" s="736">
        <f t="shared" si="28"/>
        <v>0</v>
      </c>
      <c r="W24" s="735">
        <v>0</v>
      </c>
      <c r="X24" s="681">
        <f t="shared" si="5"/>
        <v>0</v>
      </c>
      <c r="Y24" s="732"/>
      <c r="Z24" s="638">
        <f t="shared" si="6"/>
        <v>0</v>
      </c>
      <c r="AA24" s="732"/>
      <c r="AB24" s="638">
        <f t="shared" si="7"/>
        <v>0</v>
      </c>
      <c r="AC24" s="732"/>
      <c r="AD24" s="638">
        <f t="shared" si="8"/>
        <v>0</v>
      </c>
      <c r="AE24" s="732"/>
      <c r="AF24" s="638">
        <f t="shared" si="9"/>
        <v>0</v>
      </c>
      <c r="AG24" s="732"/>
      <c r="AH24" s="638">
        <f t="shared" si="10"/>
        <v>0</v>
      </c>
      <c r="AI24" s="732"/>
      <c r="AJ24" s="638">
        <f t="shared" si="11"/>
        <v>0</v>
      </c>
      <c r="AK24" s="732"/>
      <c r="AL24" s="638">
        <f t="shared" si="12"/>
        <v>0</v>
      </c>
    </row>
    <row r="25" spans="1:38" ht="74.25" customHeight="1" x14ac:dyDescent="0.15">
      <c r="A25" s="728">
        <f t="shared" si="19"/>
        <v>19</v>
      </c>
      <c r="B25" s="746" t="s">
        <v>1597</v>
      </c>
      <c r="C25" s="730" t="s">
        <v>1598</v>
      </c>
      <c r="D25" s="733" t="s">
        <v>1556</v>
      </c>
      <c r="E25" s="730" t="s">
        <v>1599</v>
      </c>
      <c r="F25" s="730" t="s">
        <v>1600</v>
      </c>
      <c r="G25" s="730" t="s">
        <v>1571</v>
      </c>
      <c r="H25" s="734">
        <f t="shared" si="22"/>
        <v>18</v>
      </c>
      <c r="I25" s="735">
        <f t="shared" si="13"/>
        <v>40</v>
      </c>
      <c r="J25" s="735">
        <v>35</v>
      </c>
      <c r="K25" s="735">
        <v>5</v>
      </c>
      <c r="L25" s="777">
        <f t="shared" si="14"/>
        <v>280000</v>
      </c>
      <c r="M25" s="731">
        <f t="shared" si="0"/>
        <v>40000</v>
      </c>
      <c r="N25" s="731">
        <f t="shared" si="0"/>
        <v>40000</v>
      </c>
      <c r="O25" s="736">
        <f t="shared" si="1"/>
        <v>200000</v>
      </c>
      <c r="P25" s="737">
        <f t="shared" si="27"/>
        <v>0</v>
      </c>
      <c r="Q25" s="738"/>
      <c r="R25" s="739"/>
      <c r="S25" s="739"/>
      <c r="T25" s="736">
        <f>V25+(V25*U25)</f>
        <v>200000</v>
      </c>
      <c r="U25" s="740"/>
      <c r="V25" s="736">
        <f t="shared" si="28"/>
        <v>200000</v>
      </c>
      <c r="W25" s="735">
        <v>5</v>
      </c>
      <c r="X25" s="681">
        <f t="shared" si="5"/>
        <v>40</v>
      </c>
      <c r="Y25" s="732">
        <v>10</v>
      </c>
      <c r="Z25" s="638">
        <f t="shared" si="6"/>
        <v>4</v>
      </c>
      <c r="AA25" s="732">
        <v>65</v>
      </c>
      <c r="AB25" s="638">
        <f t="shared" si="7"/>
        <v>26</v>
      </c>
      <c r="AC25" s="732"/>
      <c r="AD25" s="638">
        <f t="shared" si="8"/>
        <v>0</v>
      </c>
      <c r="AE25" s="732"/>
      <c r="AF25" s="638">
        <f t="shared" si="9"/>
        <v>0</v>
      </c>
      <c r="AG25" s="732">
        <v>25</v>
      </c>
      <c r="AH25" s="638">
        <f t="shared" si="10"/>
        <v>10</v>
      </c>
      <c r="AI25" s="732"/>
      <c r="AJ25" s="638">
        <f t="shared" si="11"/>
        <v>0</v>
      </c>
      <c r="AK25" s="732"/>
      <c r="AL25" s="638">
        <f t="shared" si="12"/>
        <v>0</v>
      </c>
    </row>
    <row r="26" spans="1:38" ht="74.25" customHeight="1" thickBot="1" x14ac:dyDescent="0.2">
      <c r="A26" s="728">
        <f t="shared" si="19"/>
        <v>20</v>
      </c>
      <c r="B26" s="747"/>
      <c r="C26" s="730" t="s">
        <v>1601</v>
      </c>
      <c r="D26" s="733" t="s">
        <v>1556</v>
      </c>
      <c r="E26" s="743" t="s">
        <v>1602</v>
      </c>
      <c r="F26" s="743" t="s">
        <v>1603</v>
      </c>
      <c r="G26" s="730" t="s">
        <v>1571</v>
      </c>
      <c r="H26" s="734">
        <f>A24</f>
        <v>18</v>
      </c>
      <c r="I26" s="735">
        <f t="shared" si="13"/>
        <v>5</v>
      </c>
      <c r="J26" s="735">
        <f>W26*1.5</f>
        <v>0</v>
      </c>
      <c r="K26" s="735">
        <v>5</v>
      </c>
      <c r="L26" s="777">
        <f t="shared" si="14"/>
        <v>0</v>
      </c>
      <c r="M26" s="731">
        <f t="shared" ref="M26:N27" si="29">$O26*M$3</f>
        <v>0</v>
      </c>
      <c r="N26" s="731">
        <f t="shared" si="29"/>
        <v>0</v>
      </c>
      <c r="O26" s="748">
        <f>T26+P26</f>
        <v>0</v>
      </c>
      <c r="P26" s="749">
        <f t="shared" si="27"/>
        <v>0</v>
      </c>
      <c r="Q26" s="750"/>
      <c r="R26" s="751"/>
      <c r="S26" s="751"/>
      <c r="T26" s="748">
        <f t="shared" ref="T26:T27" si="30">V26+(V26*U26)</f>
        <v>0</v>
      </c>
      <c r="U26" s="752">
        <v>0</v>
      </c>
      <c r="V26" s="748">
        <f t="shared" si="28"/>
        <v>0</v>
      </c>
      <c r="W26" s="735">
        <v>0</v>
      </c>
      <c r="X26" s="753">
        <f t="shared" si="5"/>
        <v>0</v>
      </c>
      <c r="Y26" s="754"/>
      <c r="Z26" s="755">
        <f t="shared" si="6"/>
        <v>0</v>
      </c>
      <c r="AA26" s="754"/>
      <c r="AB26" s="755">
        <f t="shared" si="7"/>
        <v>0</v>
      </c>
      <c r="AC26" s="754"/>
      <c r="AD26" s="755">
        <f t="shared" si="8"/>
        <v>0</v>
      </c>
      <c r="AE26" s="754"/>
      <c r="AF26" s="755">
        <f t="shared" si="9"/>
        <v>0</v>
      </c>
      <c r="AG26" s="754"/>
      <c r="AH26" s="755">
        <f t="shared" si="10"/>
        <v>0</v>
      </c>
      <c r="AI26" s="754"/>
      <c r="AJ26" s="755">
        <f t="shared" si="11"/>
        <v>0</v>
      </c>
      <c r="AK26" s="754"/>
      <c r="AL26" s="755">
        <f t="shared" si="12"/>
        <v>0</v>
      </c>
    </row>
    <row r="27" spans="1:38" ht="74.25" customHeight="1" thickBot="1" x14ac:dyDescent="0.2">
      <c r="A27" s="728">
        <f t="shared" si="19"/>
        <v>21</v>
      </c>
      <c r="B27" s="747"/>
      <c r="C27" s="730" t="s">
        <v>1604</v>
      </c>
      <c r="D27" s="733" t="s">
        <v>1556</v>
      </c>
      <c r="E27" s="743" t="s">
        <v>1605</v>
      </c>
      <c r="F27" s="743" t="s">
        <v>1570</v>
      </c>
      <c r="G27" s="730" t="s">
        <v>1571</v>
      </c>
      <c r="H27" s="734">
        <f>A25</f>
        <v>19</v>
      </c>
      <c r="I27" s="735">
        <f t="shared" si="13"/>
        <v>5</v>
      </c>
      <c r="J27" s="735">
        <f>W27*1.5</f>
        <v>0</v>
      </c>
      <c r="K27" s="735">
        <v>5</v>
      </c>
      <c r="L27" s="777">
        <f t="shared" si="14"/>
        <v>0</v>
      </c>
      <c r="M27" s="731">
        <f t="shared" si="29"/>
        <v>0</v>
      </c>
      <c r="N27" s="731">
        <f t="shared" si="29"/>
        <v>0</v>
      </c>
      <c r="O27" s="748">
        <f>T27+P27</f>
        <v>0</v>
      </c>
      <c r="P27" s="749">
        <f t="shared" si="27"/>
        <v>0</v>
      </c>
      <c r="Q27" s="750"/>
      <c r="R27" s="751"/>
      <c r="S27" s="751"/>
      <c r="T27" s="748">
        <f t="shared" si="30"/>
        <v>0</v>
      </c>
      <c r="U27" s="752">
        <v>0</v>
      </c>
      <c r="V27" s="748">
        <f t="shared" si="28"/>
        <v>0</v>
      </c>
      <c r="W27" s="735">
        <v>0</v>
      </c>
      <c r="X27" s="753">
        <f t="shared" si="5"/>
        <v>0</v>
      </c>
      <c r="Y27" s="754"/>
      <c r="Z27" s="755">
        <f t="shared" si="6"/>
        <v>0</v>
      </c>
      <c r="AA27" s="754"/>
      <c r="AB27" s="755">
        <f t="shared" si="7"/>
        <v>0</v>
      </c>
      <c r="AC27" s="754"/>
      <c r="AD27" s="755">
        <f t="shared" si="8"/>
        <v>0</v>
      </c>
      <c r="AE27" s="754"/>
      <c r="AF27" s="755">
        <f t="shared" si="9"/>
        <v>0</v>
      </c>
      <c r="AG27" s="754"/>
      <c r="AH27" s="755">
        <f t="shared" si="10"/>
        <v>0</v>
      </c>
      <c r="AI27" s="754"/>
      <c r="AJ27" s="755">
        <f t="shared" si="11"/>
        <v>0</v>
      </c>
      <c r="AK27" s="754"/>
      <c r="AL27" s="755">
        <f t="shared" si="12"/>
        <v>0</v>
      </c>
    </row>
    <row r="28" spans="1:38" s="716" customFormat="1" ht="12" thickBot="1" x14ac:dyDescent="0.3">
      <c r="A28" s="1264"/>
      <c r="B28" s="1265"/>
      <c r="C28" s="1265"/>
      <c r="D28" s="1265"/>
      <c r="E28" s="1265"/>
      <c r="F28" s="1265"/>
      <c r="G28" s="1265"/>
      <c r="H28" s="1266"/>
      <c r="I28" s="756">
        <f>SUM(I5:I27)</f>
        <v>209</v>
      </c>
      <c r="J28" s="756">
        <f>SUM(J5:J27)</f>
        <v>114</v>
      </c>
      <c r="K28" s="756">
        <f>SUM(K5:K27)</f>
        <v>95</v>
      </c>
      <c r="L28" s="779">
        <f t="shared" ref="L28:T28" si="31">SUM(L4:L27)</f>
        <v>5366905.5999999996</v>
      </c>
      <c r="M28" s="757">
        <f t="shared" si="31"/>
        <v>766700.8</v>
      </c>
      <c r="N28" s="758">
        <f t="shared" si="31"/>
        <v>766700.8</v>
      </c>
      <c r="O28" s="759">
        <f t="shared" si="31"/>
        <v>3833504</v>
      </c>
      <c r="P28" s="757">
        <f t="shared" si="31"/>
        <v>0</v>
      </c>
      <c r="Q28" s="760">
        <f t="shared" si="31"/>
        <v>0</v>
      </c>
      <c r="R28" s="760">
        <f t="shared" si="31"/>
        <v>0</v>
      </c>
      <c r="S28" s="760">
        <f t="shared" si="31"/>
        <v>0</v>
      </c>
      <c r="T28" s="759">
        <f t="shared" si="31"/>
        <v>3833504</v>
      </c>
      <c r="U28" s="761">
        <f>AVERAGE(U5:U27)</f>
        <v>7.0137500000000005E-2</v>
      </c>
      <c r="V28" s="759">
        <f>SUM(V4:V27)</f>
        <v>3515000</v>
      </c>
      <c r="W28" s="760">
        <f>SUM(W5:W27)</f>
        <v>63</v>
      </c>
      <c r="X28" s="762">
        <f>SUM(X4:X27)</f>
        <v>703</v>
      </c>
      <c r="Y28" s="763"/>
      <c r="Z28" s="762">
        <f>SUM(Z4:Z27)</f>
        <v>158.71999999999997</v>
      </c>
      <c r="AA28" s="763"/>
      <c r="AB28" s="762">
        <f>SUM(AB4:AB27)</f>
        <v>474</v>
      </c>
      <c r="AC28" s="763"/>
      <c r="AD28" s="762">
        <f>SUM(AD4:AD27)</f>
        <v>0</v>
      </c>
      <c r="AE28" s="763"/>
      <c r="AF28" s="762">
        <f>SUM(AF4:AF27)</f>
        <v>0</v>
      </c>
      <c r="AG28" s="763"/>
      <c r="AH28" s="762">
        <f>SUM(AH4:AH27)</f>
        <v>66</v>
      </c>
      <c r="AI28" s="763"/>
      <c r="AJ28" s="762">
        <f>SUM(AJ4:AJ27)</f>
        <v>0</v>
      </c>
      <c r="AK28" s="763"/>
      <c r="AL28" s="764">
        <f>SUM(AL4:AL27)</f>
        <v>0</v>
      </c>
    </row>
    <row r="29" spans="1:38" s="769" customFormat="1" x14ac:dyDescent="0.15">
      <c r="A29" s="765"/>
      <c r="B29" s="766"/>
      <c r="C29" s="766"/>
      <c r="D29" s="767"/>
      <c r="E29" s="768"/>
      <c r="F29" s="741"/>
      <c r="G29" s="741"/>
      <c r="H29" s="741"/>
      <c r="I29" s="741"/>
      <c r="J29" s="741"/>
      <c r="K29" s="741"/>
      <c r="L29" s="780"/>
      <c r="M29" s="741"/>
      <c r="N29" s="741"/>
      <c r="O29" s="741"/>
      <c r="P29" s="741"/>
      <c r="Q29" s="741"/>
      <c r="R29" s="741"/>
      <c r="S29" s="741"/>
      <c r="T29" s="741"/>
      <c r="U29" s="741"/>
      <c r="V29" s="741"/>
      <c r="W29" s="741"/>
      <c r="X29" s="741"/>
      <c r="Y29" s="741"/>
      <c r="Z29" s="741"/>
      <c r="AA29" s="741"/>
      <c r="AB29" s="741"/>
      <c r="AC29" s="741"/>
      <c r="AD29" s="741"/>
      <c r="AE29" s="741"/>
      <c r="AF29" s="741"/>
      <c r="AG29" s="741"/>
      <c r="AH29" s="741"/>
      <c r="AI29" s="741"/>
      <c r="AJ29" s="741"/>
      <c r="AK29" s="741"/>
      <c r="AL29" s="741"/>
    </row>
    <row r="30" spans="1:38" s="769" customFormat="1" x14ac:dyDescent="0.15">
      <c r="A30" s="765"/>
      <c r="B30" s="1253" t="s">
        <v>1530</v>
      </c>
      <c r="C30" s="1267"/>
      <c r="D30" s="1267"/>
      <c r="E30" s="1268"/>
      <c r="F30" s="741"/>
      <c r="G30" s="741"/>
      <c r="H30" s="741"/>
      <c r="I30" s="741"/>
      <c r="J30" s="741"/>
      <c r="K30" s="741"/>
      <c r="L30" s="780"/>
      <c r="M30" s="741"/>
      <c r="N30" s="741"/>
      <c r="O30" s="741"/>
      <c r="P30" s="741"/>
      <c r="Q30" s="741"/>
      <c r="R30" s="741"/>
      <c r="S30" s="741"/>
      <c r="T30" s="741"/>
      <c r="U30" s="741"/>
      <c r="V30" s="741"/>
      <c r="W30" s="741"/>
      <c r="X30" s="741"/>
      <c r="Y30" s="741"/>
      <c r="Z30" s="741"/>
      <c r="AA30" s="741"/>
      <c r="AB30" s="741"/>
      <c r="AC30" s="741"/>
      <c r="AD30" s="741"/>
      <c r="AE30" s="741"/>
      <c r="AF30" s="741"/>
      <c r="AG30" s="741"/>
      <c r="AH30" s="741"/>
      <c r="AI30" s="741"/>
      <c r="AJ30" s="741"/>
      <c r="AK30" s="741"/>
      <c r="AL30" s="741"/>
    </row>
    <row r="31" spans="1:38" s="769" customFormat="1" ht="285" customHeight="1" x14ac:dyDescent="0.15">
      <c r="A31" s="765"/>
      <c r="B31" s="1234" t="s">
        <v>951</v>
      </c>
      <c r="C31" s="511" t="s">
        <v>1027</v>
      </c>
      <c r="D31" s="511" t="s">
        <v>1025</v>
      </c>
      <c r="E31" s="511" t="s">
        <v>1026</v>
      </c>
      <c r="F31" s="741"/>
      <c r="G31" s="741"/>
      <c r="H31" s="741"/>
      <c r="I31" s="741"/>
      <c r="J31" s="741"/>
      <c r="K31" s="741"/>
      <c r="L31" s="780"/>
      <c r="M31" s="741"/>
      <c r="N31" s="741"/>
      <c r="O31" s="741"/>
      <c r="P31" s="741"/>
      <c r="Q31" s="741"/>
      <c r="R31" s="741"/>
      <c r="S31" s="741"/>
      <c r="T31" s="741"/>
      <c r="U31" s="741"/>
      <c r="V31" s="741"/>
      <c r="W31" s="741"/>
      <c r="X31" s="741"/>
      <c r="Y31" s="741"/>
      <c r="Z31" s="741"/>
      <c r="AA31" s="741"/>
      <c r="AB31" s="741"/>
      <c r="AC31" s="741"/>
      <c r="AD31" s="741"/>
      <c r="AE31" s="741"/>
      <c r="AF31" s="741"/>
      <c r="AG31" s="741"/>
      <c r="AH31" s="741"/>
      <c r="AI31" s="741"/>
      <c r="AJ31" s="741"/>
      <c r="AK31" s="741"/>
      <c r="AL31" s="741"/>
    </row>
    <row r="32" spans="1:38" s="769" customFormat="1" ht="25.5" customHeight="1" x14ac:dyDescent="0.15">
      <c r="A32" s="765"/>
      <c r="B32" s="1235"/>
      <c r="C32" s="657" t="s">
        <v>563</v>
      </c>
      <c r="D32" s="657" t="s">
        <v>1024</v>
      </c>
      <c r="E32" s="657">
        <v>12</v>
      </c>
      <c r="F32" s="741"/>
      <c r="G32" s="741"/>
      <c r="H32" s="741"/>
      <c r="I32" s="741"/>
      <c r="J32" s="741"/>
      <c r="K32" s="741"/>
      <c r="L32" s="780"/>
      <c r="M32" s="741"/>
      <c r="N32" s="741"/>
      <c r="O32" s="741"/>
      <c r="P32" s="741"/>
      <c r="Q32" s="741"/>
      <c r="R32" s="741"/>
      <c r="S32" s="741"/>
      <c r="T32" s="741"/>
      <c r="U32" s="741"/>
      <c r="V32" s="741"/>
      <c r="W32" s="741"/>
      <c r="X32" s="741"/>
      <c r="Y32" s="741"/>
      <c r="Z32" s="741"/>
      <c r="AA32" s="741"/>
      <c r="AB32" s="741"/>
      <c r="AC32" s="741"/>
      <c r="AD32" s="741"/>
      <c r="AE32" s="741"/>
      <c r="AF32" s="741"/>
      <c r="AG32" s="741"/>
      <c r="AH32" s="741"/>
      <c r="AI32" s="741"/>
      <c r="AJ32" s="741"/>
      <c r="AK32" s="741"/>
      <c r="AL32" s="741"/>
    </row>
    <row r="33" spans="2:12" ht="33.75" customHeight="1" x14ac:dyDescent="0.15">
      <c r="B33" s="771" t="s">
        <v>1532</v>
      </c>
      <c r="C33" s="771" t="s">
        <v>1532</v>
      </c>
      <c r="D33" s="732"/>
      <c r="E33" s="703">
        <f>'Очередь 1 Кейс-Совм'!C32</f>
        <v>5000</v>
      </c>
      <c r="I33" s="770"/>
    </row>
    <row r="34" spans="2:12" ht="33.75" customHeight="1" x14ac:dyDescent="0.15">
      <c r="B34" s="771" t="s">
        <v>1533</v>
      </c>
      <c r="C34" s="771" t="s">
        <v>1533</v>
      </c>
      <c r="D34" s="732"/>
      <c r="E34" s="772">
        <v>8</v>
      </c>
      <c r="I34" s="773"/>
      <c r="L34" s="781"/>
    </row>
    <row r="35" spans="2:12" ht="90" customHeight="1" x14ac:dyDescent="0.15">
      <c r="B35" s="771" t="s">
        <v>1534</v>
      </c>
      <c r="C35" s="771" t="s">
        <v>1534</v>
      </c>
      <c r="D35" s="732"/>
      <c r="E35" s="703">
        <v>10000</v>
      </c>
    </row>
    <row r="36" spans="2:12" ht="23.25" customHeight="1" x14ac:dyDescent="0.15">
      <c r="B36" s="771" t="s">
        <v>1535</v>
      </c>
      <c r="C36" s="771" t="s">
        <v>1535</v>
      </c>
      <c r="D36" s="732"/>
      <c r="E36" s="703">
        <v>1000</v>
      </c>
    </row>
    <row r="37" spans="2:12" ht="101.25" customHeight="1" x14ac:dyDescent="0.15">
      <c r="B37" s="771" t="s">
        <v>1536</v>
      </c>
      <c r="C37" s="771" t="s">
        <v>1536</v>
      </c>
      <c r="D37" s="732"/>
      <c r="E37" s="703">
        <v>4000</v>
      </c>
    </row>
    <row r="38" spans="2:12" x14ac:dyDescent="0.15">
      <c r="D38" s="741"/>
      <c r="E38" s="741"/>
    </row>
    <row r="39" spans="2:12" x14ac:dyDescent="0.15">
      <c r="D39" s="741"/>
      <c r="E39" s="741"/>
    </row>
  </sheetData>
  <mergeCells count="40">
    <mergeCell ref="A28:H28"/>
    <mergeCell ref="B30:E30"/>
    <mergeCell ref="B31:B32"/>
    <mergeCell ref="B5:B7"/>
    <mergeCell ref="B8:B10"/>
    <mergeCell ref="AK1:AL1"/>
    <mergeCell ref="B11:B16"/>
    <mergeCell ref="B17:B18"/>
    <mergeCell ref="B19:B21"/>
    <mergeCell ref="B22:B24"/>
    <mergeCell ref="Y1:Z1"/>
    <mergeCell ref="AA1:AB1"/>
    <mergeCell ref="AC1:AD1"/>
    <mergeCell ref="AE1:AF1"/>
    <mergeCell ref="AG1:AH1"/>
    <mergeCell ref="AI1:AJ1"/>
    <mergeCell ref="S1:S2"/>
    <mergeCell ref="T1:T2"/>
    <mergeCell ref="U1:U2"/>
    <mergeCell ref="V1:V2"/>
    <mergeCell ref="W1:W2"/>
    <mergeCell ref="X1:X2"/>
    <mergeCell ref="M1:M2"/>
    <mergeCell ref="N1:N2"/>
    <mergeCell ref="O1:O2"/>
    <mergeCell ref="P1:P2"/>
    <mergeCell ref="Q1:Q2"/>
    <mergeCell ref="R1:R2"/>
    <mergeCell ref="L1:L2"/>
    <mergeCell ref="A1:A2"/>
    <mergeCell ref="B1:B2"/>
    <mergeCell ref="C1:C2"/>
    <mergeCell ref="D1:D2"/>
    <mergeCell ref="E1:E2"/>
    <mergeCell ref="F1:F2"/>
    <mergeCell ref="G1:G2"/>
    <mergeCell ref="H1:H2"/>
    <mergeCell ref="I1:I2"/>
    <mergeCell ref="J1:J2"/>
    <mergeCell ref="K1:K2"/>
  </mergeCells>
  <dataValidations count="2">
    <dataValidation type="whole" operator="greaterThan" allowBlank="1" showInputMessage="1" showErrorMessage="1" sqref="E32" xr:uid="{00000000-0002-0000-0A00-000000000000}">
      <formula1>0</formula1>
    </dataValidation>
    <dataValidation type="whole" errorStyle="information" operator="greaterThanOrEqual" allowBlank="1" showInputMessage="1" showErrorMessage="1" sqref="E32" xr:uid="{00000000-0002-0000-0A00-000001000000}">
      <formula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F202"/>
  <sheetViews>
    <sheetView topLeftCell="A18" zoomScale="70" zoomScaleNormal="70" workbookViewId="0">
      <selection activeCell="C55" sqref="C55"/>
    </sheetView>
  </sheetViews>
  <sheetFormatPr defaultColWidth="9.28515625" defaultRowHeight="15" outlineLevelRow="3" outlineLevelCol="1" x14ac:dyDescent="0.25"/>
  <cols>
    <col min="1" max="1" width="9.7109375" style="1" customWidth="1"/>
    <col min="2" max="2" width="56.5703125" style="1" customWidth="1"/>
    <col min="3" max="3" width="23" style="1" customWidth="1"/>
    <col min="4" max="4" width="26.7109375" style="1" customWidth="1"/>
    <col min="5" max="5" width="25.5703125" style="1" customWidth="1"/>
    <col min="6" max="6" width="21.28515625" style="1" customWidth="1" outlineLevel="1"/>
    <col min="7" max="11" width="19.7109375" style="1" customWidth="1" outlineLevel="1"/>
    <col min="12" max="12" width="21.7109375" style="1" customWidth="1" outlineLevel="1"/>
    <col min="13" max="13" width="19.7109375" style="1" customWidth="1"/>
    <col min="14" max="14" width="16.42578125" style="1" customWidth="1"/>
    <col min="15" max="15" width="18.7109375" style="1" customWidth="1"/>
    <col min="16" max="16" width="19.7109375" style="1" customWidth="1"/>
    <col min="17" max="21" width="19.7109375" style="1" customWidth="1" outlineLevel="1"/>
    <col min="22" max="23" width="21" style="1" customWidth="1" outlineLevel="1"/>
    <col min="24" max="24" width="15.42578125" style="1" customWidth="1"/>
    <col min="25" max="25" width="15.5703125" style="1" customWidth="1"/>
    <col min="26" max="26" width="14.7109375" style="1" customWidth="1"/>
    <col min="27" max="30" width="9.28515625" style="1" customWidth="1" outlineLevel="1"/>
    <col min="31" max="32" width="9.28515625" style="1" outlineLevel="1"/>
    <col min="33" max="16384" width="9.28515625" style="1"/>
  </cols>
  <sheetData>
    <row r="1" spans="2:12" ht="21.75" thickBot="1" x14ac:dyDescent="0.3">
      <c r="B1" s="1006" t="s">
        <v>2230</v>
      </c>
      <c r="C1" s="1007" t="s">
        <v>500</v>
      </c>
    </row>
    <row r="2" spans="2:12" ht="66" customHeight="1" thickBot="1" x14ac:dyDescent="0.3">
      <c r="B2" s="1276" t="s">
        <v>1775</v>
      </c>
      <c r="C2" s="1277"/>
      <c r="D2" s="411" t="str">
        <f>'2.ФС для Заполнения'!AC2</f>
        <v>ДО 200</v>
      </c>
      <c r="E2" s="411" t="str">
        <f>IF(D2="1001+","КОРП Заказчик", "SMB Заказчик")</f>
        <v>SMB Заказчик</v>
      </c>
      <c r="L2" s="2"/>
    </row>
    <row r="3" spans="2:12" ht="33.75" customHeight="1" outlineLevel="1" collapsed="1" thickBot="1" x14ac:dyDescent="0.3">
      <c r="B3" s="198" t="s">
        <v>4</v>
      </c>
      <c r="C3" s="40" t="s">
        <v>7</v>
      </c>
      <c r="D3" s="40" t="s">
        <v>258</v>
      </c>
      <c r="E3" s="43" t="s">
        <v>259</v>
      </c>
    </row>
    <row r="4" spans="2:12" ht="18.75" hidden="1" customHeight="1" outlineLevel="2" x14ac:dyDescent="0.25">
      <c r="B4" s="42" t="s">
        <v>319</v>
      </c>
      <c r="C4" s="47">
        <f t="shared" ref="C4:C7" si="0">D4+E4</f>
        <v>30</v>
      </c>
      <c r="D4" s="47">
        <f>SUM(D5:D6)</f>
        <v>30</v>
      </c>
      <c r="E4" s="400">
        <f>SUM(E5:E6)</f>
        <v>0</v>
      </c>
    </row>
    <row r="5" spans="2:12" ht="18.75" hidden="1" customHeight="1" outlineLevel="3" x14ac:dyDescent="0.25">
      <c r="B5" s="41" t="s">
        <v>5</v>
      </c>
      <c r="C5" s="48">
        <f t="shared" si="0"/>
        <v>10</v>
      </c>
      <c r="D5" s="407">
        <f>IF($C$1='2.ФС для Заполнения'!$AC$9,'2.ФС для Заполнения'!AD5,IF($C$1='2.ФС для Заполнения'!$AF$9,'2.ФС для Заполнения'!AG5,IF($C$1='2.ФС для Заполнения'!$AI$9,'2.ФС для Заполнения'!AJ5,IF($C$1='2.ФС для Заполнения'!$AL$9,'2.ФС для Заполнения'!AM5,"ЗАПОЛНИТЬ"))))</f>
        <v>10</v>
      </c>
      <c r="E5" s="407">
        <f>IF($C$1='2.ФС для Заполнения'!$AC$9,'2.ФС для Заполнения'!AE5,IF($C$1='2.ФС для Заполнения'!$AF$9,'2.ФС для Заполнения'!AH5,IF($C$1='2.ФС для Заполнения'!$AI$9,'2.ФС для Заполнения'!AK5,IF($C$1='2.ФС для Заполнения'!$AL$9,'2.ФС для Заполнения'!AN5,"ЗАПОЛНИТЬ"))))</f>
        <v>0</v>
      </c>
    </row>
    <row r="6" spans="2:12" ht="18.75" hidden="1" customHeight="1" outlineLevel="3" x14ac:dyDescent="0.25">
      <c r="B6" s="41" t="s">
        <v>6</v>
      </c>
      <c r="C6" s="48">
        <f t="shared" si="0"/>
        <v>20</v>
      </c>
      <c r="D6" s="407">
        <f>IF($C$1='2.ФС для Заполнения'!$AC$9,'2.ФС для Заполнения'!AD6,IF($C$1='2.ФС для Заполнения'!$AF$9,'2.ФС для Заполнения'!AG6,IF($C$1='2.ФС для Заполнения'!$AI$9,'2.ФС для Заполнения'!AJ6,IF($C$1='2.ФС для Заполнения'!$AL$9,'2.ФС для Заполнения'!AM6,"ЗАПОЛНИТЬ"))))</f>
        <v>20</v>
      </c>
      <c r="E6" s="407">
        <f>IF($C$1='2.ФС для Заполнения'!$AC$9,'2.ФС для Заполнения'!AE6,IF($C$1='2.ФС для Заполнения'!$AF$9,'2.ФС для Заполнения'!AH6,IF($C$1='2.ФС для Заполнения'!$AI$9,'2.ФС для Заполнения'!AK6,IF($C$1='2.ФС для Заполнения'!$AL$9,'2.ФС для Заполнения'!AN6,"ЗАПОЛНИТЬ"))))</f>
        <v>0</v>
      </c>
    </row>
    <row r="7" spans="2:12" ht="30.75" hidden="1" customHeight="1" outlineLevel="2" thickBot="1" x14ac:dyDescent="0.3">
      <c r="B7" s="402" t="s">
        <v>320</v>
      </c>
      <c r="C7" s="820">
        <f t="shared" si="0"/>
        <v>5</v>
      </c>
      <c r="D7" s="407">
        <f>IF($C$1='2.ФС для Заполнения'!$AC$9,'2.ФС для Заполнения'!AD7,IF($C$1='2.ФС для Заполнения'!$AF$9,'2.ФС для Заполнения'!AG7,IF($C$1='2.ФС для Заполнения'!$AI$9,'2.ФС для Заполнения'!AJ7,IF($C$1='2.ФС для Заполнения'!$AL$9,'2.ФС для Заполнения'!AM7,"ЗАПОЛНИТЬ"))))</f>
        <v>5</v>
      </c>
      <c r="E7" s="407">
        <f>IF($C$1='2.ФС для Заполнения'!$AC$9,'2.ФС для Заполнения'!AE7,IF($C$1='2.ФС для Заполнения'!$AF$9,'2.ФС для Заполнения'!AH7,IF($C$1='2.ФС для Заполнения'!$AI$9,'2.ФС для Заполнения'!AK7,IF($C$1='2.ФС для Заполнения'!$AL$9,'2.ФС для Заполнения'!AN7,"ЗАПОЛНИТЬ"))))</f>
        <v>0</v>
      </c>
    </row>
    <row r="8" spans="2:12" ht="15" customHeight="1" outlineLevel="1" thickBot="1" x14ac:dyDescent="0.3"/>
    <row r="9" spans="2:12" ht="30.75" customHeight="1" outlineLevel="1" collapsed="1" thickBot="1" x14ac:dyDescent="0.3">
      <c r="B9" s="823"/>
      <c r="C9" s="839" t="s">
        <v>1803</v>
      </c>
      <c r="D9" s="840" t="s">
        <v>1804</v>
      </c>
      <c r="E9" s="840" t="s">
        <v>1805</v>
      </c>
    </row>
    <row r="10" spans="2:12" ht="55.5" hidden="1" customHeight="1" outlineLevel="2" thickBot="1" x14ac:dyDescent="0.3">
      <c r="B10" s="396" t="s">
        <v>1765</v>
      </c>
      <c r="C10" s="821" t="str">
        <f>E10</f>
        <v>НЕТ</v>
      </c>
      <c r="D10" s="838" t="s">
        <v>223</v>
      </c>
      <c r="E10" s="821" t="str">
        <f>IF(OR('1.Содержание проекта'!C102="ДА",'1.Содержание проекта'!C107="ДА",'1.Содержание проекта'!C111="ДА",'1.Содержание проекта'!C113="ДА"),"ДА","НЕТ")</f>
        <v>НЕТ</v>
      </c>
      <c r="F10" s="822" t="str">
        <f t="shared" ref="F10:F16" ca="1" si="1">IF(ISERROR(_xlfn.FORMULATEXT(E10)),"Значение введено вручную","Формула")</f>
        <v>Формула</v>
      </c>
    </row>
    <row r="11" spans="2:12" ht="30.75" hidden="1" customHeight="1" outlineLevel="2" thickBot="1" x14ac:dyDescent="0.3">
      <c r="B11" s="396" t="s">
        <v>1839</v>
      </c>
      <c r="C11" s="821" t="str">
        <f t="shared" ref="C11:C16" si="2">E11</f>
        <v>НЕТ</v>
      </c>
      <c r="D11" s="838" t="s">
        <v>1801</v>
      </c>
      <c r="E11" s="821" t="str">
        <f>IF(OR('1.Содержание проекта'!D101="ДА",,SUM('1.Содержание проекта'!G117:G123)&gt;0),"ДА","НЕТ")</f>
        <v>НЕТ</v>
      </c>
      <c r="F11" s="822" t="str">
        <f t="shared" ca="1" si="1"/>
        <v>Формула</v>
      </c>
    </row>
    <row r="12" spans="2:12" ht="30.75" hidden="1" customHeight="1" outlineLevel="2" thickBot="1" x14ac:dyDescent="0.3">
      <c r="B12" s="396" t="s">
        <v>1766</v>
      </c>
      <c r="C12" s="821" t="str">
        <f t="shared" si="2"/>
        <v>НЕТ</v>
      </c>
      <c r="D12" s="838" t="s">
        <v>223</v>
      </c>
      <c r="E12" s="821" t="str">
        <f>IF(OR('1.Содержание проекта'!C103="ДА",'1.Содержание проекта'!C104="ДА"),"ДА","НЕТ")</f>
        <v>НЕТ</v>
      </c>
      <c r="F12" s="822" t="str">
        <f t="shared" ca="1" si="1"/>
        <v>Формула</v>
      </c>
    </row>
    <row r="13" spans="2:12" ht="32.25" hidden="1" customHeight="1" outlineLevel="2" thickBot="1" x14ac:dyDescent="0.3">
      <c r="B13" s="396" t="s">
        <v>1767</v>
      </c>
      <c r="C13" s="821" t="str">
        <f t="shared" si="2"/>
        <v>НЕТ</v>
      </c>
      <c r="D13" s="838" t="s">
        <v>1801</v>
      </c>
      <c r="E13" s="821" t="str">
        <f>'1.Содержание проекта'!C105</f>
        <v>НЕТ</v>
      </c>
      <c r="F13" s="822" t="str">
        <f t="shared" ca="1" si="1"/>
        <v>Формула</v>
      </c>
    </row>
    <row r="14" spans="2:12" ht="30.75" hidden="1" customHeight="1" outlineLevel="2" thickBot="1" x14ac:dyDescent="0.3">
      <c r="B14" s="396" t="s">
        <v>1768</v>
      </c>
      <c r="C14" s="821" t="str">
        <f t="shared" si="2"/>
        <v>НЕТ</v>
      </c>
      <c r="D14" s="838" t="s">
        <v>1801</v>
      </c>
      <c r="E14" s="821" t="str">
        <f>IF(SUM('1.Содержание проекта'!G86:G99)=0,"НЕТ","ДА")</f>
        <v>НЕТ</v>
      </c>
      <c r="F14" s="822" t="str">
        <f t="shared" ca="1" si="1"/>
        <v>Формула</v>
      </c>
    </row>
    <row r="15" spans="2:12" ht="30.75" hidden="1" customHeight="1" outlineLevel="2" thickBot="1" x14ac:dyDescent="0.3">
      <c r="B15" s="396" t="s">
        <v>1771</v>
      </c>
      <c r="C15" s="821" t="str">
        <f t="shared" si="2"/>
        <v>НЕТ</v>
      </c>
      <c r="D15" s="838" t="s">
        <v>223</v>
      </c>
      <c r="E15" s="821" t="str">
        <f>'1.Содержание проекта'!C115</f>
        <v>НЕТ</v>
      </c>
      <c r="F15" s="822" t="str">
        <f t="shared" ca="1" si="1"/>
        <v>Формула</v>
      </c>
    </row>
    <row r="16" spans="2:12" ht="30.75" hidden="1" customHeight="1" outlineLevel="2" thickBot="1" x14ac:dyDescent="0.3">
      <c r="B16" s="396" t="s">
        <v>1772</v>
      </c>
      <c r="C16" s="821" t="str">
        <f t="shared" si="2"/>
        <v>НЕТ</v>
      </c>
      <c r="D16" s="838" t="s">
        <v>1801</v>
      </c>
      <c r="E16" s="821" t="str" cm="1">
        <f t="array" ref="E16">IF(OR('1.Содержание проекта'!C116="ДА",'1.Содержание проекта'!B170:C170="ДА"),"ДА","НЕТ")</f>
        <v>НЕТ</v>
      </c>
      <c r="F16" s="822" t="str">
        <f t="shared" ca="1" si="1"/>
        <v>Формула</v>
      </c>
    </row>
    <row r="17" spans="1:6" ht="15.75" thickBot="1" x14ac:dyDescent="0.3"/>
    <row r="18" spans="1:6" ht="33" customHeight="1" collapsed="1" thickBot="1" x14ac:dyDescent="0.3">
      <c r="B18" s="1278" t="s">
        <v>8</v>
      </c>
      <c r="C18" s="1280" t="s">
        <v>694</v>
      </c>
      <c r="D18" s="1281"/>
      <c r="E18" s="1282"/>
    </row>
    <row r="19" spans="1:6" ht="51.75" hidden="1" customHeight="1" outlineLevel="3" thickBot="1" x14ac:dyDescent="0.3">
      <c r="B19" s="1279"/>
      <c r="C19" s="198" t="s">
        <v>288</v>
      </c>
      <c r="D19" s="45" t="s">
        <v>285</v>
      </c>
      <c r="E19" s="43" t="s">
        <v>274</v>
      </c>
    </row>
    <row r="20" spans="1:6" ht="20.25" hidden="1" customHeight="1" outlineLevel="3" thickBot="1" x14ac:dyDescent="0.35">
      <c r="B20" s="395" t="s">
        <v>254</v>
      </c>
      <c r="C20" s="50">
        <f>IF($C$1='2.ФС для Заполнения'!$AC9,'2.ФС для Заполнения'!O327,IF($C$1='2.ФС для Заполнения'!$AF9,'2.ФС для Заполнения'!R327,IF($C$1='2.ФС для Заполнения'!$AI9,'2.ФС для Заполнения'!U327,IF($C$1='2.ФС для Заполнения'!$AL9,'2.ФС для Заполнения'!X327,"ЗАполнить"))))</f>
        <v>16</v>
      </c>
      <c r="D20" s="50">
        <f>IF($C$1='2.ФС для Заполнения'!$AC9,'2.ФС для Заполнения'!P327,IF($C$1='2.ФС для Заполнения'!$AF9,'2.ФС для Заполнения'!S327,IF($C$1='2.ФС для Заполнения'!$AI9,'2.ФС для Заполнения'!V327,IF($C$1='2.ФС для Заполнения'!$AL9,'2.ФС для Заполнения'!Y327,"ЗАполнить"))))</f>
        <v>0</v>
      </c>
      <c r="E20" s="50">
        <f>IF($C$1='2.ФС для Заполнения'!$AC9,'2.ФС для Заполнения'!Q327,IF($C$1='2.ФС для Заполнения'!$AF9,'2.ФС для Заполнения'!T327,IF($C$1='2.ФС для Заполнения'!$AI9,'2.ФС для Заполнения'!W327,IF($C$1='2.ФС для Заполнения'!$AL9,'2.ФС для Заполнения'!Z327,"ЗАполнить"))))</f>
        <v>11</v>
      </c>
    </row>
    <row r="21" spans="1:6" s="46" customFormat="1" ht="20.25" hidden="1" customHeight="1" outlineLevel="3" thickBot="1" x14ac:dyDescent="0.3">
      <c r="B21" s="396" t="s">
        <v>252</v>
      </c>
      <c r="C21" s="217">
        <f>IF($C$1='2.ФС для Заполнения'!$AC9,'2.ФС для Заполнения'!O328,IF($C$1='2.ФС для Заполнения'!$AF9,'2.ФС для Заполнения'!R328,IF($C$1='2.ФС для Заполнения'!$AI9,'2.ФС для Заполнения'!U328,IF($C$1='2.ФС для Заполнения'!$AL9,'2.ФС для Заполнения'!X328,"ЗАполнить"))))</f>
        <v>0</v>
      </c>
      <c r="D21" s="218">
        <f>'2.ФС для Заполнения'!P328</f>
        <v>0</v>
      </c>
      <c r="E21" s="219">
        <f>'2.ФС для Заполнения'!Q328</f>
        <v>0</v>
      </c>
    </row>
    <row r="22" spans="1:6" s="29" customFormat="1" ht="16.5" thickBot="1" x14ac:dyDescent="0.3">
      <c r="A22" s="46"/>
      <c r="B22" s="1"/>
      <c r="C22" s="1"/>
      <c r="D22" s="1"/>
      <c r="E22" s="1"/>
    </row>
    <row r="23" spans="1:6" s="29" customFormat="1" ht="48.75" thickBot="1" x14ac:dyDescent="0.35">
      <c r="A23" s="46"/>
      <c r="B23" s="395" t="s">
        <v>1760</v>
      </c>
      <c r="C23" s="395" t="s">
        <v>1759</v>
      </c>
      <c r="D23" s="395" t="s">
        <v>1757</v>
      </c>
      <c r="E23" s="816" t="s">
        <v>1758</v>
      </c>
      <c r="F23" s="818" t="s">
        <v>1764</v>
      </c>
    </row>
    <row r="24" spans="1:6" s="29" customFormat="1" ht="16.5" thickBot="1" x14ac:dyDescent="0.3">
      <c r="A24" s="46"/>
      <c r="B24" s="396">
        <f>SUMIFS('2.ФС для Заполнения'!O:O,'2.ФС для Заполнения'!G:G,Списки!K4)</f>
        <v>16</v>
      </c>
      <c r="C24" s="396">
        <f>SUMIFS('2.ФС для Заполнения'!O:O,'2.ФС для Заполнения'!G:G,Списки!K5)</f>
        <v>0</v>
      </c>
      <c r="D24" s="396">
        <f>SUMIFS('2.ФС для Заполнения'!O:O,'2.ФС для Заполнения'!G:G,Списки!K6)</f>
        <v>0</v>
      </c>
      <c r="E24" s="817">
        <f>SUMIFS('2.ФС для Заполнения'!O:O,'2.ФС для Заполнения'!G:G,Списки!K7)</f>
        <v>0</v>
      </c>
      <c r="F24" s="819">
        <f>SUM(C20:C21)-SUM(B24:E24)</f>
        <v>0</v>
      </c>
    </row>
    <row r="25" spans="1:6" s="29" customFormat="1" ht="15.75" x14ac:dyDescent="0.25">
      <c r="A25" s="46"/>
      <c r="B25" s="1"/>
      <c r="C25" s="1"/>
      <c r="D25" s="1"/>
      <c r="E25" s="1"/>
    </row>
    <row r="26" spans="1:6" s="29" customFormat="1" ht="16.5" thickBot="1" x14ac:dyDescent="0.3">
      <c r="A26" s="46"/>
      <c r="B26" s="1"/>
      <c r="C26" s="1"/>
      <c r="D26" s="1"/>
      <c r="E26" s="1"/>
    </row>
    <row r="27" spans="1:6" x14ac:dyDescent="0.25">
      <c r="A27" s="46"/>
      <c r="B27" s="1283" t="s">
        <v>308</v>
      </c>
      <c r="C27" s="1284"/>
      <c r="E27" s="1" t="s">
        <v>1743</v>
      </c>
    </row>
    <row r="28" spans="1:6" outlineLevel="1" x14ac:dyDescent="0.25">
      <c r="A28" s="46"/>
      <c r="B28" s="1272" t="s">
        <v>309</v>
      </c>
      <c r="C28" s="1273"/>
      <c r="D28" s="30" t="s">
        <v>1761</v>
      </c>
      <c r="E28" s="30">
        <f>'параметры расчета'!C3</f>
        <v>5000</v>
      </c>
    </row>
    <row r="29" spans="1:6" outlineLevel="1" x14ac:dyDescent="0.25">
      <c r="B29" s="1272" t="s">
        <v>310</v>
      </c>
      <c r="C29" s="1273"/>
      <c r="D29" s="30" t="s">
        <v>1762</v>
      </c>
      <c r="E29" s="30">
        <f>'параметры расчета'!C4</f>
        <v>5500</v>
      </c>
    </row>
    <row r="30" spans="1:6" ht="33" customHeight="1" outlineLevel="1" x14ac:dyDescent="0.25">
      <c r="B30" s="1272" t="s">
        <v>311</v>
      </c>
      <c r="C30" s="1273"/>
      <c r="D30" s="30" t="s">
        <v>1763</v>
      </c>
      <c r="E30" s="30">
        <f>'параметры расчета'!C5</f>
        <v>6500</v>
      </c>
    </row>
    <row r="31" spans="1:6" ht="15.75" outlineLevel="1" thickBot="1" x14ac:dyDescent="0.3">
      <c r="B31" s="1272" t="s">
        <v>312</v>
      </c>
      <c r="C31" s="1273"/>
      <c r="E31" s="841" t="s">
        <v>1802</v>
      </c>
    </row>
    <row r="32" spans="1:6" ht="17.25" customHeight="1" outlineLevel="1" collapsed="1" thickBot="1" x14ac:dyDescent="0.3">
      <c r="B32" s="512" t="s">
        <v>2161</v>
      </c>
      <c r="C32" s="513">
        <f>IF(C33=Списки!K7,E30,IF(C33=Списки!K6,E29,E28))</f>
        <v>5000</v>
      </c>
      <c r="D32" s="822" t="str">
        <f ca="1">IF(ISERROR(_xlfn.FORMULATEXT(C32)),"Значение введено вручную","Формула")</f>
        <v>Формула</v>
      </c>
    </row>
    <row r="33" spans="2:10" ht="57.75" hidden="1" customHeight="1" outlineLevel="2" thickBot="1" x14ac:dyDescent="0.3">
      <c r="B33" s="813" t="s">
        <v>1769</v>
      </c>
      <c r="C33" s="513" t="str">
        <f>IF(OR(E24&gt;0,E2="КОРП Заказчик",C4&gt;500,C11="ДА",C14="ДА",D20&gt;0,C13="ДА",C16="ДА"),Списки!K7,IF(OR(D24&gt;0,C10="ДА",C12="ДА",C4&gt;200,C5&gt;20,C15="ДА"),Списки!K6,IF(C24&gt;0,Списки!K5,Списки!K4)))</f>
        <v>Кейс-проект</v>
      </c>
      <c r="D33" s="822" t="str">
        <f ca="1">IF(ISERROR(_xlfn.FORMULATEXT(C33)),"Значение введено вручную","Формула")</f>
        <v>Формула</v>
      </c>
    </row>
    <row r="34" spans="2:10" ht="57.75" hidden="1" customHeight="1" outlineLevel="2" x14ac:dyDescent="0.25">
      <c r="B34" s="943" t="s">
        <v>2150</v>
      </c>
      <c r="C34" s="944"/>
    </row>
    <row r="35" spans="2:10" ht="30.75" customHeight="1" outlineLevel="1" thickBot="1" x14ac:dyDescent="0.3">
      <c r="B35" s="181" t="s">
        <v>287</v>
      </c>
      <c r="C35" s="182">
        <v>16</v>
      </c>
    </row>
    <row r="36" spans="2:10" ht="30.75" customHeight="1" outlineLevel="1" collapsed="1" thickBot="1" x14ac:dyDescent="0.3">
      <c r="B36" s="183" t="s">
        <v>284</v>
      </c>
      <c r="C36" s="184">
        <f>SUM(C37:C39)</f>
        <v>8</v>
      </c>
    </row>
    <row r="37" spans="2:10" ht="15.75" hidden="1" customHeight="1" outlineLevel="2" x14ac:dyDescent="0.25">
      <c r="B37" s="164" t="s">
        <v>281</v>
      </c>
      <c r="C37" s="418">
        <v>2.5</v>
      </c>
    </row>
    <row r="38" spans="2:10" ht="15.75" hidden="1" customHeight="1" outlineLevel="2" x14ac:dyDescent="0.25">
      <c r="B38" s="164" t="s">
        <v>280</v>
      </c>
      <c r="C38" s="418">
        <v>5.5</v>
      </c>
    </row>
    <row r="39" spans="2:10" ht="30.75" hidden="1" customHeight="1" outlineLevel="2" thickBot="1" x14ac:dyDescent="0.3">
      <c r="B39" s="174" t="s">
        <v>256</v>
      </c>
      <c r="C39" s="419">
        <v>0</v>
      </c>
    </row>
    <row r="40" spans="2:10" ht="15" customHeight="1" outlineLevel="1" collapsed="1" thickBot="1" x14ac:dyDescent="0.3">
      <c r="B40" s="185" t="s">
        <v>701</v>
      </c>
      <c r="C40" s="186">
        <v>170</v>
      </c>
    </row>
    <row r="41" spans="2:10" ht="15" hidden="1" customHeight="1" outlineLevel="2" x14ac:dyDescent="0.25">
      <c r="B41" s="179" t="s">
        <v>702</v>
      </c>
      <c r="C41" s="184">
        <v>32</v>
      </c>
    </row>
    <row r="42" spans="2:10" ht="15" hidden="1" customHeight="1" outlineLevel="2" x14ac:dyDescent="0.25">
      <c r="B42" s="180" t="s">
        <v>703</v>
      </c>
      <c r="C42" s="163">
        <v>80</v>
      </c>
    </row>
    <row r="43" spans="2:10" ht="15" hidden="1" customHeight="1" outlineLevel="2" x14ac:dyDescent="0.25">
      <c r="B43" s="415" t="s">
        <v>704</v>
      </c>
      <c r="C43" s="423">
        <v>32</v>
      </c>
    </row>
    <row r="44" spans="2:10" ht="15" hidden="1" customHeight="1" outlineLevel="2" thickBot="1" x14ac:dyDescent="0.3">
      <c r="B44" s="415" t="s">
        <v>705</v>
      </c>
      <c r="C44" s="423">
        <v>32</v>
      </c>
    </row>
    <row r="45" spans="2:10" ht="15" customHeight="1" outlineLevel="1" thickBot="1" x14ac:dyDescent="0.3">
      <c r="B45" s="185" t="s">
        <v>706</v>
      </c>
      <c r="C45" s="186">
        <v>112</v>
      </c>
    </row>
    <row r="46" spans="2:10" ht="49.5" customHeight="1" outlineLevel="1" collapsed="1" thickBot="1" x14ac:dyDescent="0.3">
      <c r="B46" s="185" t="s">
        <v>700</v>
      </c>
      <c r="C46" s="709">
        <v>40</v>
      </c>
      <c r="D46" s="185" t="s">
        <v>1777</v>
      </c>
      <c r="E46" s="185" t="s">
        <v>1781</v>
      </c>
      <c r="F46" s="823" t="s">
        <v>1782</v>
      </c>
      <c r="G46" s="185" t="s">
        <v>1784</v>
      </c>
      <c r="H46" s="823" t="s">
        <v>1783</v>
      </c>
      <c r="I46" s="25"/>
      <c r="J46" s="25"/>
    </row>
    <row r="47" spans="2:10" ht="30.75" hidden="1" customHeight="1" outlineLevel="2" x14ac:dyDescent="0.25">
      <c r="B47" s="179" t="s">
        <v>1778</v>
      </c>
      <c r="C47" s="824">
        <v>5</v>
      </c>
      <c r="D47" s="827">
        <v>16</v>
      </c>
      <c r="E47" s="713">
        <f>C5</f>
        <v>10</v>
      </c>
      <c r="F47" s="830">
        <f>ROUNDUP(E47/C47,0)</f>
        <v>2</v>
      </c>
      <c r="G47" s="713">
        <f>ROUNDUP(E5/C47,0)</f>
        <v>0</v>
      </c>
      <c r="H47" s="830">
        <f>ROUNDUP(G47*D47/8,1)</f>
        <v>0</v>
      </c>
      <c r="I47" s="1013"/>
      <c r="J47" s="1013"/>
    </row>
    <row r="48" spans="2:10" ht="30.75" hidden="1" customHeight="1" outlineLevel="2" x14ac:dyDescent="0.25">
      <c r="B48" s="180" t="s">
        <v>1779</v>
      </c>
      <c r="C48" s="825">
        <v>10</v>
      </c>
      <c r="D48" s="828">
        <v>4</v>
      </c>
      <c r="E48" s="714">
        <f>C6</f>
        <v>20</v>
      </c>
      <c r="F48" s="831">
        <f>ROUNDUP(E48/C48,0)</f>
        <v>2</v>
      </c>
      <c r="G48" s="714">
        <f>ROUNDUP(E6/C48,0)</f>
        <v>0</v>
      </c>
      <c r="H48" s="831">
        <f>ROUNDUP(G48*D48/8,1)</f>
        <v>0</v>
      </c>
      <c r="I48" s="1013"/>
      <c r="J48" s="1013"/>
    </row>
    <row r="49" spans="2:10" ht="15.75" hidden="1" outlineLevel="2" thickBot="1" x14ac:dyDescent="0.3">
      <c r="B49" s="166" t="s">
        <v>1780</v>
      </c>
      <c r="C49" s="826">
        <v>5</v>
      </c>
      <c r="D49" s="829">
        <v>24</v>
      </c>
      <c r="E49" s="715">
        <f>C7</f>
        <v>5</v>
      </c>
      <c r="F49" s="832">
        <f>ROUNDUP(E49/C49,0)</f>
        <v>1</v>
      </c>
      <c r="G49" s="715">
        <f>ROUNDUP(E7/C49,0)</f>
        <v>0</v>
      </c>
      <c r="H49" s="832">
        <f>ROUNDUP(G49*D49/8,1)</f>
        <v>0</v>
      </c>
      <c r="I49" s="1013"/>
      <c r="J49" s="1013"/>
    </row>
    <row r="50" spans="2:10" ht="15" customHeight="1" outlineLevel="1" x14ac:dyDescent="0.25">
      <c r="B50" s="176" t="s">
        <v>250</v>
      </c>
      <c r="C50" s="177">
        <f>(15000+4000*5+6000)/5</f>
        <v>8200</v>
      </c>
    </row>
    <row r="51" spans="2:10" ht="15" customHeight="1" outlineLevel="1" x14ac:dyDescent="0.25">
      <c r="B51" s="162" t="s">
        <v>1455</v>
      </c>
      <c r="C51" s="165">
        <f>SUM(C52:C57)</f>
        <v>0.62000000000000011</v>
      </c>
    </row>
    <row r="52" spans="2:10" ht="15" customHeight="1" outlineLevel="2" thickBot="1" x14ac:dyDescent="0.3">
      <c r="B52" s="655" t="s">
        <v>1456</v>
      </c>
      <c r="C52" s="656">
        <v>0.2</v>
      </c>
    </row>
    <row r="53" spans="2:10" ht="15" customHeight="1" outlineLevel="2" thickBot="1" x14ac:dyDescent="0.3">
      <c r="B53" s="655" t="s">
        <v>2233</v>
      </c>
      <c r="C53" s="656">
        <f>MAX(SUM(C52,C54),SUM(C56,C57))</f>
        <v>0.21000000000000002</v>
      </c>
      <c r="D53" s="822" t="str">
        <f ca="1">IF(ISERROR(_xlfn.FORMULATEXT(C53)),"Значение введено вручную","Формула")</f>
        <v>Формула</v>
      </c>
    </row>
    <row r="54" spans="2:10" ht="15" customHeight="1" outlineLevel="2" thickBot="1" x14ac:dyDescent="0.3">
      <c r="B54" s="655" t="s">
        <v>2240</v>
      </c>
      <c r="C54" s="656">
        <f>IF('1.Содержание проекта'!B$176="НЕТ",10%,0)+IF('1.Содержание проекта'!B$178="НЕТ",5%,0)+IF('1.Содержание проекта'!B$177="НЕТ",20%,0)</f>
        <v>0</v>
      </c>
      <c r="D54" s="822" t="str">
        <f ca="1">IF(ISERROR(_xlfn.FORMULATEXT(C54)),"Значение введено вручную","Формула")</f>
        <v>Формула</v>
      </c>
      <c r="E54" s="1019" t="s">
        <v>2248</v>
      </c>
    </row>
    <row r="55" spans="2:10" ht="15" customHeight="1" outlineLevel="2" thickBot="1" x14ac:dyDescent="0.3">
      <c r="B55" s="655" t="s">
        <v>2241</v>
      </c>
      <c r="C55" s="656">
        <f>IF('1.Содержание проекта'!B$174="НЕТ",IF('1.Содержание проекта'!B$173="PM5",50%,15%)/L73*SUM(L77:L79),0)+IF('1.Содержание проекта'!B$175="НЕТ",10%,0)+IF(AND('1.Содержание проекта'!B180&gt;=30%,'1.Содержание проекта'!B181&lt;=10),0%,IF(AND(OR(C33="ПРОФ-проект",C33="КОРП-проект"),AND('1.Содержание проекта'!B180&lt;30%,'1.Содержание проекта'!B181&lt;=10)),2%*(E55/20),10%))</f>
        <v>0</v>
      </c>
      <c r="D55" s="822" t="str">
        <f ca="1">IF(ISERROR(_xlfn.FORMULATEXT(C55)),"Значение введено вручную","Формула")</f>
        <v>Формула</v>
      </c>
      <c r="E55" s="1016">
        <f>MAX(Y74:Y90)*5</f>
        <v>135</v>
      </c>
    </row>
    <row r="56" spans="2:10" ht="75" outlineLevel="2" x14ac:dyDescent="0.25">
      <c r="B56" s="655" t="s">
        <v>1653</v>
      </c>
      <c r="C56" s="656">
        <v>0.01</v>
      </c>
      <c r="D56" s="807" t="s">
        <v>1652</v>
      </c>
    </row>
    <row r="57" spans="2:10" ht="15" customHeight="1" outlineLevel="2" x14ac:dyDescent="0.25">
      <c r="B57" s="655" t="s">
        <v>1457</v>
      </c>
      <c r="C57" s="656">
        <v>0.2</v>
      </c>
    </row>
    <row r="58" spans="2:10" ht="15" customHeight="1" outlineLevel="2" thickBot="1" x14ac:dyDescent="0.3">
      <c r="B58" s="166" t="s">
        <v>304</v>
      </c>
      <c r="C58" s="167"/>
    </row>
    <row r="59" spans="2:10" ht="15" customHeight="1" outlineLevel="2" thickBot="1" x14ac:dyDescent="0.3">
      <c r="B59" s="166" t="s">
        <v>2151</v>
      </c>
      <c r="C59" s="167">
        <v>7.0000000000000007E-2</v>
      </c>
      <c r="D59" s="945" t="s">
        <v>2155</v>
      </c>
    </row>
    <row r="60" spans="2:10" ht="15.75" outlineLevel="1" thickBot="1" x14ac:dyDescent="0.3"/>
    <row r="61" spans="2:10" ht="18" customHeight="1" outlineLevel="1" thickBot="1" x14ac:dyDescent="0.3">
      <c r="B61" s="1274" t="s">
        <v>318</v>
      </c>
      <c r="C61" s="1275"/>
    </row>
    <row r="62" spans="2:10" ht="18" customHeight="1" outlineLevel="1" collapsed="1" x14ac:dyDescent="0.25">
      <c r="B62" s="420" t="s">
        <v>317</v>
      </c>
      <c r="C62" s="421" t="str">
        <f>D2</f>
        <v>ДО 200</v>
      </c>
    </row>
    <row r="63" spans="2:10" ht="18" hidden="1" customHeight="1" outlineLevel="2" thickBot="1" x14ac:dyDescent="0.3">
      <c r="B63" s="87" t="s">
        <v>219</v>
      </c>
      <c r="C63" s="178">
        <f>SUMIF('параметры расчета'!$C$245:$F$245,'Очередь 1 Кейс-Совм'!$D$2,'параметры расчета'!$C$246:$F$246)</f>
        <v>1</v>
      </c>
      <c r="D63" s="822" t="str">
        <f t="shared" ref="D63:D66" ca="1" si="3">IF(ISERROR(_xlfn.FORMULATEXT(C63)),"Значение введено вручную","Формула")</f>
        <v>Формула</v>
      </c>
    </row>
    <row r="64" spans="2:10" ht="31.5" hidden="1" customHeight="1" outlineLevel="2" thickBot="1" x14ac:dyDescent="0.3">
      <c r="B64" s="172" t="s">
        <v>257</v>
      </c>
      <c r="C64" s="173">
        <f>SUMIF('параметры расчета'!$C$245:$F$245,'Очередь 1 Кейс-Совм'!$D$2,'параметры расчета'!$C$247:$F$247)</f>
        <v>1</v>
      </c>
      <c r="D64" s="822" t="str">
        <f t="shared" ca="1" si="3"/>
        <v>Формула</v>
      </c>
    </row>
    <row r="65" spans="2:32" ht="15.75" hidden="1" customHeight="1" outlineLevel="2" thickBot="1" x14ac:dyDescent="0.3">
      <c r="B65" s="87" t="s">
        <v>709</v>
      </c>
      <c r="C65" s="178">
        <v>140</v>
      </c>
      <c r="D65" s="822" t="str">
        <f t="shared" ca="1" si="3"/>
        <v>Значение введено вручную</v>
      </c>
    </row>
    <row r="66" spans="2:32" ht="15.75" hidden="1" customHeight="1" outlineLevel="2" thickBot="1" x14ac:dyDescent="0.3">
      <c r="B66" s="90" t="s">
        <v>710</v>
      </c>
      <c r="C66" s="98">
        <v>40</v>
      </c>
      <c r="D66" s="822" t="str">
        <f t="shared" ca="1" si="3"/>
        <v>Значение введено вручную</v>
      </c>
    </row>
    <row r="67" spans="2:32" ht="15.75" hidden="1" customHeight="1" outlineLevel="2" x14ac:dyDescent="0.25"/>
    <row r="68" spans="2:32" ht="15.75" hidden="1" customHeight="1" outlineLevel="2" x14ac:dyDescent="0.25">
      <c r="B68" s="412"/>
      <c r="C68" s="413"/>
    </row>
    <row r="69" spans="2:32" ht="15.75" customHeight="1" x14ac:dyDescent="0.25"/>
    <row r="70" spans="2:32" ht="15.75" customHeight="1" thickBot="1" x14ac:dyDescent="0.3"/>
    <row r="71" spans="2:32" ht="15.75" customHeight="1" thickBot="1" x14ac:dyDescent="0.3">
      <c r="G71" s="909">
        <f>$C56</f>
        <v>0.01</v>
      </c>
      <c r="H71" s="910">
        <f>$C57</f>
        <v>0.2</v>
      </c>
      <c r="I71" s="910">
        <f>$C53</f>
        <v>0.21000000000000002</v>
      </c>
      <c r="J71" s="910">
        <f>SUM($C54:$C55)</f>
        <v>0</v>
      </c>
      <c r="K71" s="911">
        <f>$C52</f>
        <v>0.2</v>
      </c>
      <c r="R71" s="909">
        <f>$C56</f>
        <v>0.01</v>
      </c>
      <c r="S71" s="910">
        <f>$C57</f>
        <v>0.2</v>
      </c>
      <c r="T71" s="910">
        <f>$C53</f>
        <v>0.21000000000000002</v>
      </c>
      <c r="U71" s="910">
        <f>SUM($C54:$C55)</f>
        <v>0</v>
      </c>
      <c r="V71" s="911">
        <f>$C52</f>
        <v>0.2</v>
      </c>
    </row>
    <row r="72" spans="2:32" ht="56.25" customHeight="1" thickBot="1" x14ac:dyDescent="0.3">
      <c r="B72" s="59" t="s">
        <v>0</v>
      </c>
      <c r="C72" s="95" t="s">
        <v>2152</v>
      </c>
      <c r="D72" s="103" t="s">
        <v>707</v>
      </c>
      <c r="E72" s="169" t="s">
        <v>2153</v>
      </c>
      <c r="F72" s="905" t="s">
        <v>2154</v>
      </c>
      <c r="G72" s="905" t="s">
        <v>1850</v>
      </c>
      <c r="H72" s="905" t="s">
        <v>1851</v>
      </c>
      <c r="I72" s="905" t="s">
        <v>2236</v>
      </c>
      <c r="J72" s="905" t="s">
        <v>2237</v>
      </c>
      <c r="K72" s="905" t="s">
        <v>249</v>
      </c>
      <c r="L72" s="906" t="s">
        <v>1852</v>
      </c>
      <c r="M72" s="893" t="s">
        <v>305</v>
      </c>
      <c r="N72" s="95" t="s">
        <v>1785</v>
      </c>
      <c r="O72" s="891" t="s">
        <v>708</v>
      </c>
      <c r="P72" s="903" t="s">
        <v>2162</v>
      </c>
      <c r="Q72" s="905" t="s">
        <v>2156</v>
      </c>
      <c r="R72" s="905" t="s">
        <v>1850</v>
      </c>
      <c r="S72" s="905" t="s">
        <v>1851</v>
      </c>
      <c r="T72" s="905" t="s">
        <v>2236</v>
      </c>
      <c r="U72" s="905" t="s">
        <v>2237</v>
      </c>
      <c r="V72" s="905" t="s">
        <v>249</v>
      </c>
      <c r="W72" s="905" t="s">
        <v>1852</v>
      </c>
      <c r="X72" s="893" t="s">
        <v>305</v>
      </c>
      <c r="Y72" s="95" t="s">
        <v>1786</v>
      </c>
      <c r="Z72" s="192" t="s">
        <v>298</v>
      </c>
      <c r="AA72" s="101" t="s">
        <v>292</v>
      </c>
      <c r="AB72" s="39" t="s">
        <v>293</v>
      </c>
      <c r="AC72" s="39" t="s">
        <v>294</v>
      </c>
      <c r="AD72" s="39" t="s">
        <v>295</v>
      </c>
      <c r="AE72" s="39" t="s">
        <v>297</v>
      </c>
      <c r="AF72" s="100" t="s">
        <v>296</v>
      </c>
    </row>
    <row r="73" spans="2:32" ht="16.5" thickBot="1" x14ac:dyDescent="0.3">
      <c r="B73" s="60" t="s">
        <v>253</v>
      </c>
      <c r="C73" s="63">
        <f>SUM(C74:C91)</f>
        <v>13882000</v>
      </c>
      <c r="D73" s="104"/>
      <c r="E73" s="170">
        <f t="shared" ref="E73:N73" si="4">SUM(E74:E91)</f>
        <v>7502155.2000000002</v>
      </c>
      <c r="F73" s="170">
        <f t="shared" si="4"/>
        <v>7011360</v>
      </c>
      <c r="G73" s="170">
        <f t="shared" si="4"/>
        <v>43280</v>
      </c>
      <c r="H73" s="170">
        <f t="shared" si="4"/>
        <v>865600</v>
      </c>
      <c r="I73" s="170">
        <f t="shared" si="4"/>
        <v>908880</v>
      </c>
      <c r="J73" s="170">
        <f t="shared" si="4"/>
        <v>0</v>
      </c>
      <c r="K73" s="170">
        <f t="shared" si="4"/>
        <v>865600</v>
      </c>
      <c r="L73" s="170">
        <f t="shared" si="4"/>
        <v>4328000</v>
      </c>
      <c r="M73" s="894">
        <f t="shared" si="4"/>
        <v>1402.2719999999999</v>
      </c>
      <c r="N73" s="895">
        <f t="shared" si="4"/>
        <v>45</v>
      </c>
      <c r="O73" s="864"/>
      <c r="P73" s="170">
        <f t="shared" ref="P73:Y73" si="5">SUM(P74:P91)</f>
        <v>9235555.1999999993</v>
      </c>
      <c r="Q73" s="170">
        <f t="shared" si="5"/>
        <v>8631360</v>
      </c>
      <c r="R73" s="170">
        <f t="shared" si="5"/>
        <v>53280</v>
      </c>
      <c r="S73" s="170">
        <f t="shared" si="5"/>
        <v>1065600</v>
      </c>
      <c r="T73" s="170">
        <f t="shared" si="5"/>
        <v>1118880</v>
      </c>
      <c r="U73" s="170">
        <f t="shared" si="5"/>
        <v>0</v>
      </c>
      <c r="V73" s="170">
        <f t="shared" si="5"/>
        <v>1065600</v>
      </c>
      <c r="W73" s="170">
        <f t="shared" si="5"/>
        <v>5328000</v>
      </c>
      <c r="X73" s="894">
        <f t="shared" si="5"/>
        <v>1726.2720000000002</v>
      </c>
      <c r="Y73" s="895">
        <f t="shared" si="5"/>
        <v>54</v>
      </c>
      <c r="Z73" s="193">
        <f t="shared" ref="Z73:AF73" si="6">AVERAGE(Z75:Z91)</f>
        <v>0.75</v>
      </c>
      <c r="AA73" s="56">
        <f t="shared" si="6"/>
        <v>0.19117647058823534</v>
      </c>
      <c r="AB73" s="57" t="e">
        <f t="shared" si="6"/>
        <v>#DIV/0!</v>
      </c>
      <c r="AC73" s="57" t="e">
        <f t="shared" si="6"/>
        <v>#DIV/0!</v>
      </c>
      <c r="AD73" s="57">
        <f t="shared" si="6"/>
        <v>0.47647058823529409</v>
      </c>
      <c r="AE73" s="57" t="e">
        <f t="shared" si="6"/>
        <v>#DIV/0!</v>
      </c>
      <c r="AF73" s="58" t="e">
        <f t="shared" si="6"/>
        <v>#DIV/0!</v>
      </c>
    </row>
    <row r="74" spans="2:32" s="31" customFormat="1" ht="15.75" customHeight="1" outlineLevel="1" x14ac:dyDescent="0.25">
      <c r="B74" s="61" t="s">
        <v>283</v>
      </c>
      <c r="C74" s="64"/>
      <c r="D74" s="168"/>
      <c r="E74" s="878">
        <f>F74*(1+$C$59)</f>
        <v>0</v>
      </c>
      <c r="F74" s="878">
        <f>SUM(G74:L74)</f>
        <v>0</v>
      </c>
      <c r="G74" s="879">
        <f t="shared" ref="G74:G91" si="7">$L74*$C$56</f>
        <v>0</v>
      </c>
      <c r="H74" s="880">
        <f t="shared" ref="H74:H91" si="8">$L74*$C$57</f>
        <v>0</v>
      </c>
      <c r="I74" s="880">
        <f>$L74*$C$53</f>
        <v>0</v>
      </c>
      <c r="J74" s="880">
        <f>$L74*SUM($C$54:$C$55)</f>
        <v>0</v>
      </c>
      <c r="K74" s="880">
        <f t="shared" ref="K74:K91" si="9">$L74*$C$52</f>
        <v>0</v>
      </c>
      <c r="L74" s="882"/>
      <c r="M74" s="896">
        <f t="shared" ref="M74:M91" si="10">F74/C$32</f>
        <v>0</v>
      </c>
      <c r="N74" s="897"/>
      <c r="O74" s="892"/>
      <c r="P74" s="878">
        <f>Q74*(1+$C$59)</f>
        <v>0</v>
      </c>
      <c r="Q74" s="878">
        <f>SUM(R74:W74)</f>
        <v>0</v>
      </c>
      <c r="R74" s="879">
        <f t="shared" ref="R74:R91" si="11">$W74*$C$56</f>
        <v>0</v>
      </c>
      <c r="S74" s="879">
        <f t="shared" ref="S74:S91" si="12">$W74*$C$57</f>
        <v>0</v>
      </c>
      <c r="T74" s="880">
        <f>$W74*$C$53</f>
        <v>0</v>
      </c>
      <c r="U74" s="880">
        <f>$W74*SUM($C$54:$C$55)</f>
        <v>0</v>
      </c>
      <c r="V74" s="880">
        <f t="shared" ref="V74:V91" si="13">$W74*$C$52</f>
        <v>0</v>
      </c>
      <c r="W74" s="882"/>
      <c r="X74" s="896"/>
      <c r="Y74" s="897"/>
      <c r="Z74" s="194"/>
      <c r="AA74" s="73" t="s">
        <v>299</v>
      </c>
      <c r="AB74" s="74" t="s">
        <v>299</v>
      </c>
      <c r="AC74" s="74" t="s">
        <v>299</v>
      </c>
      <c r="AD74" s="74" t="s">
        <v>299</v>
      </c>
      <c r="AE74" s="74" t="s">
        <v>299</v>
      </c>
      <c r="AF74" s="75" t="s">
        <v>299</v>
      </c>
    </row>
    <row r="75" spans="2:32" s="31" customFormat="1" ht="15.75" customHeight="1" outlineLevel="1" x14ac:dyDescent="0.25">
      <c r="B75" s="61" t="s">
        <v>282</v>
      </c>
      <c r="C75" s="66">
        <f>($D20*$C35*$C32*C63+IF($E7&gt;0,$C50*$E7,0))</f>
        <v>0</v>
      </c>
      <c r="D75" s="168" t="str">
        <f>$C14</f>
        <v>НЕТ</v>
      </c>
      <c r="E75" s="871">
        <f t="shared" ref="E75:E91" si="14">F75*(1+$C$59)</f>
        <v>0</v>
      </c>
      <c r="F75" s="871">
        <f t="shared" ref="F75:F91" si="15">SUM(G75:L75)</f>
        <v>0</v>
      </c>
      <c r="G75" s="873">
        <f t="shared" si="7"/>
        <v>0</v>
      </c>
      <c r="H75" s="870">
        <f t="shared" si="8"/>
        <v>0</v>
      </c>
      <c r="I75" s="870">
        <f t="shared" ref="I75:I91" si="16">$L75*$C$53</f>
        <v>0</v>
      </c>
      <c r="J75" s="880">
        <f t="shared" ref="J75:J91" si="17">$L75*SUM($C$54:$C$55)</f>
        <v>0</v>
      </c>
      <c r="K75" s="870">
        <f t="shared" si="9"/>
        <v>0</v>
      </c>
      <c r="L75" s="883">
        <f t="shared" ref="L75:L91" si="18">IF(D75="Да",$C75,0)</f>
        <v>0</v>
      </c>
      <c r="M75" s="898">
        <f t="shared" si="10"/>
        <v>0</v>
      </c>
      <c r="N75" s="899">
        <f t="shared" ref="N75:N89" si="19">ROUNDUP(((L75/$C$32)/40)*1.2/$Z75,0)</f>
        <v>0</v>
      </c>
      <c r="O75" s="892" t="str">
        <f>$C14</f>
        <v>НЕТ</v>
      </c>
      <c r="P75" s="871">
        <f t="shared" ref="P75:P91" si="20">Q75*(1+$C$59)</f>
        <v>0</v>
      </c>
      <c r="Q75" s="871">
        <f t="shared" ref="Q75:Q91" si="21">SUM(R75:W75)</f>
        <v>0</v>
      </c>
      <c r="R75" s="873">
        <f>$W75*$C$56</f>
        <v>0</v>
      </c>
      <c r="S75" s="870">
        <f t="shared" si="12"/>
        <v>0</v>
      </c>
      <c r="T75" s="870">
        <f t="shared" ref="T75:T91" si="22">$W75*$C$53</f>
        <v>0</v>
      </c>
      <c r="U75" s="870">
        <f t="shared" ref="U75:U91" si="23">$W75*SUM($C$54:$C$55)</f>
        <v>0</v>
      </c>
      <c r="V75" s="870">
        <f t="shared" si="13"/>
        <v>0</v>
      </c>
      <c r="W75" s="883">
        <f t="shared" ref="W75:W91" si="24">IF(O75="Да",$C75,0)</f>
        <v>0</v>
      </c>
      <c r="X75" s="898">
        <f t="shared" ref="X75:X91" si="25">Q75/C$32</f>
        <v>0</v>
      </c>
      <c r="Y75" s="899">
        <f t="shared" ref="Y75:Y89" si="26">ROUNDUP(((W75/$C$32)/40)*1.2/$Z75,0)</f>
        <v>0</v>
      </c>
      <c r="Z75" s="195">
        <f>SUM(AA75:AF75)</f>
        <v>0.7</v>
      </c>
      <c r="AA75" s="76">
        <v>0.2</v>
      </c>
      <c r="AB75" s="77" t="s">
        <v>299</v>
      </c>
      <c r="AC75" s="77" t="s">
        <v>299</v>
      </c>
      <c r="AD75" s="77">
        <v>0.5</v>
      </c>
      <c r="AE75" s="77" t="s">
        <v>299</v>
      </c>
      <c r="AF75" s="83" t="s">
        <v>299</v>
      </c>
    </row>
    <row r="76" spans="2:32" s="31" customFormat="1" ht="15.75" customHeight="1" outlineLevel="1" x14ac:dyDescent="0.25">
      <c r="B76" s="62" t="s">
        <v>699</v>
      </c>
      <c r="C76" s="86">
        <f>(($C20+$C21)*$C37*$C32*C63+IF(E7&gt;0,$E7*C50))</f>
        <v>200000</v>
      </c>
      <c r="D76" s="168" t="s">
        <v>246</v>
      </c>
      <c r="E76" s="871">
        <f t="shared" si="14"/>
        <v>346680</v>
      </c>
      <c r="F76" s="871">
        <f t="shared" si="15"/>
        <v>324000</v>
      </c>
      <c r="G76" s="873">
        <f t="shared" si="7"/>
        <v>2000</v>
      </c>
      <c r="H76" s="870">
        <f t="shared" si="8"/>
        <v>40000</v>
      </c>
      <c r="I76" s="870">
        <f t="shared" si="16"/>
        <v>42000.000000000007</v>
      </c>
      <c r="J76" s="880">
        <f t="shared" si="17"/>
        <v>0</v>
      </c>
      <c r="K76" s="870">
        <f t="shared" si="9"/>
        <v>40000</v>
      </c>
      <c r="L76" s="884">
        <f t="shared" si="18"/>
        <v>200000</v>
      </c>
      <c r="M76" s="898">
        <f t="shared" si="10"/>
        <v>64.8</v>
      </c>
      <c r="N76" s="899">
        <f t="shared" si="19"/>
        <v>2</v>
      </c>
      <c r="O76" s="892" t="s">
        <v>246</v>
      </c>
      <c r="P76" s="871">
        <f>Q76*(1+$C$59)</f>
        <v>346680</v>
      </c>
      <c r="Q76" s="871">
        <f t="shared" si="21"/>
        <v>324000</v>
      </c>
      <c r="R76" s="873">
        <f t="shared" si="11"/>
        <v>2000</v>
      </c>
      <c r="S76" s="870">
        <f t="shared" si="12"/>
        <v>40000</v>
      </c>
      <c r="T76" s="870">
        <f t="shared" si="22"/>
        <v>42000.000000000007</v>
      </c>
      <c r="U76" s="870">
        <f t="shared" si="23"/>
        <v>0</v>
      </c>
      <c r="V76" s="870">
        <f t="shared" si="13"/>
        <v>40000</v>
      </c>
      <c r="W76" s="884">
        <f t="shared" si="24"/>
        <v>200000</v>
      </c>
      <c r="X76" s="898">
        <f t="shared" si="25"/>
        <v>64.8</v>
      </c>
      <c r="Y76" s="899">
        <f t="shared" si="26"/>
        <v>2</v>
      </c>
      <c r="Z76" s="195">
        <f>SUM(AA76:AF76)</f>
        <v>0.7</v>
      </c>
      <c r="AA76" s="76">
        <v>0.2</v>
      </c>
      <c r="AB76" s="77" t="s">
        <v>299</v>
      </c>
      <c r="AC76" s="77" t="s">
        <v>299</v>
      </c>
      <c r="AD76" s="77">
        <v>0.5</v>
      </c>
      <c r="AE76" s="77" t="s">
        <v>299</v>
      </c>
      <c r="AF76" s="83" t="s">
        <v>299</v>
      </c>
    </row>
    <row r="77" spans="2:32" s="31" customFormat="1" ht="15.75" customHeight="1" outlineLevel="1" x14ac:dyDescent="0.25">
      <c r="B77" s="62" t="s">
        <v>1</v>
      </c>
      <c r="C77" s="86">
        <f>$C20*$C38*$C32*C63</f>
        <v>440000</v>
      </c>
      <c r="D77" s="168" t="s">
        <v>255</v>
      </c>
      <c r="E77" s="871">
        <f t="shared" si="14"/>
        <v>0</v>
      </c>
      <c r="F77" s="871">
        <f>SUM(G77:L77)</f>
        <v>0</v>
      </c>
      <c r="G77" s="873">
        <f>$L77*$C$56</f>
        <v>0</v>
      </c>
      <c r="H77" s="870">
        <f>$L77*$C$57</f>
        <v>0</v>
      </c>
      <c r="I77" s="870">
        <f>$L77*$C$53</f>
        <v>0</v>
      </c>
      <c r="J77" s="880">
        <f>$L77*SUM($C$54:$C$55)</f>
        <v>0</v>
      </c>
      <c r="K77" s="870">
        <f>$L77*$C$52</f>
        <v>0</v>
      </c>
      <c r="L77" s="884">
        <f t="shared" si="18"/>
        <v>0</v>
      </c>
      <c r="M77" s="898">
        <f t="shared" si="10"/>
        <v>0</v>
      </c>
      <c r="N77" s="899">
        <f>ROUNDUP(((L77/$C$32)/40)*1.2/$Z77,0)</f>
        <v>0</v>
      </c>
      <c r="O77" s="892" t="s">
        <v>246</v>
      </c>
      <c r="P77" s="871">
        <f t="shared" si="20"/>
        <v>762696</v>
      </c>
      <c r="Q77" s="871">
        <f t="shared" si="21"/>
        <v>712800</v>
      </c>
      <c r="R77" s="873">
        <f t="shared" si="11"/>
        <v>4400</v>
      </c>
      <c r="S77" s="870">
        <f t="shared" si="12"/>
        <v>88000</v>
      </c>
      <c r="T77" s="870">
        <f t="shared" si="22"/>
        <v>92400.000000000015</v>
      </c>
      <c r="U77" s="870">
        <f t="shared" si="23"/>
        <v>0</v>
      </c>
      <c r="V77" s="870">
        <f t="shared" si="13"/>
        <v>88000</v>
      </c>
      <c r="W77" s="884">
        <f t="shared" si="24"/>
        <v>440000</v>
      </c>
      <c r="X77" s="898">
        <f t="shared" si="25"/>
        <v>142.56</v>
      </c>
      <c r="Y77" s="899">
        <f t="shared" si="26"/>
        <v>4</v>
      </c>
      <c r="Z77" s="195">
        <f t="shared" ref="Z77:Z83" si="27">SUM(AA77:AF77)</f>
        <v>0.7</v>
      </c>
      <c r="AA77" s="76">
        <v>0.2</v>
      </c>
      <c r="AB77" s="77" t="s">
        <v>299</v>
      </c>
      <c r="AC77" s="77" t="s">
        <v>299</v>
      </c>
      <c r="AD77" s="77">
        <v>0.5</v>
      </c>
      <c r="AE77" s="77" t="s">
        <v>299</v>
      </c>
      <c r="AF77" s="83" t="s">
        <v>299</v>
      </c>
    </row>
    <row r="78" spans="2:32" s="31" customFormat="1" ht="15.75" customHeight="1" outlineLevel="1" x14ac:dyDescent="0.25">
      <c r="B78" s="62" t="s">
        <v>277</v>
      </c>
      <c r="C78" s="67">
        <f>$C20*$C39*$C32*C63</f>
        <v>0</v>
      </c>
      <c r="D78" s="168" t="s">
        <v>255</v>
      </c>
      <c r="E78" s="871">
        <f t="shared" si="14"/>
        <v>0</v>
      </c>
      <c r="F78" s="871">
        <f t="shared" si="15"/>
        <v>0</v>
      </c>
      <c r="G78" s="873">
        <f>$L78*$C$56</f>
        <v>0</v>
      </c>
      <c r="H78" s="870">
        <f>$L78*$C$57</f>
        <v>0</v>
      </c>
      <c r="I78" s="870">
        <f>$L78*$C$53</f>
        <v>0</v>
      </c>
      <c r="J78" s="880">
        <f>$L78*SUM($C$54:$C$55)</f>
        <v>0</v>
      </c>
      <c r="K78" s="870">
        <f>$L78*$C$52</f>
        <v>0</v>
      </c>
      <c r="L78" s="885">
        <f t="shared" si="18"/>
        <v>0</v>
      </c>
      <c r="M78" s="898">
        <f t="shared" si="10"/>
        <v>0</v>
      </c>
      <c r="N78" s="899">
        <f>ROUNDUP(((L78/$C$32)/40)*1.2/$Z78,0)</f>
        <v>0</v>
      </c>
      <c r="O78" s="892" t="s">
        <v>255</v>
      </c>
      <c r="P78" s="871">
        <f t="shared" si="20"/>
        <v>0</v>
      </c>
      <c r="Q78" s="871">
        <f t="shared" si="21"/>
        <v>0</v>
      </c>
      <c r="R78" s="873">
        <f t="shared" si="11"/>
        <v>0</v>
      </c>
      <c r="S78" s="870">
        <f t="shared" si="12"/>
        <v>0</v>
      </c>
      <c r="T78" s="870">
        <f t="shared" si="22"/>
        <v>0</v>
      </c>
      <c r="U78" s="870">
        <f t="shared" si="23"/>
        <v>0</v>
      </c>
      <c r="V78" s="870">
        <f t="shared" si="13"/>
        <v>0</v>
      </c>
      <c r="W78" s="885">
        <f t="shared" si="24"/>
        <v>0</v>
      </c>
      <c r="X78" s="898">
        <f t="shared" si="25"/>
        <v>0</v>
      </c>
      <c r="Y78" s="899">
        <f t="shared" si="26"/>
        <v>0</v>
      </c>
      <c r="Z78" s="195">
        <f t="shared" si="27"/>
        <v>0.7</v>
      </c>
      <c r="AA78" s="76">
        <v>0.2</v>
      </c>
      <c r="AB78" s="77" t="s">
        <v>299</v>
      </c>
      <c r="AC78" s="77" t="s">
        <v>299</v>
      </c>
      <c r="AD78" s="77">
        <v>0.5</v>
      </c>
      <c r="AE78" s="77" t="s">
        <v>299</v>
      </c>
      <c r="AF78" s="83" t="s">
        <v>299</v>
      </c>
    </row>
    <row r="79" spans="2:32" s="31" customFormat="1" ht="15.75" customHeight="1" outlineLevel="1" x14ac:dyDescent="0.25">
      <c r="B79" s="62" t="s">
        <v>278</v>
      </c>
      <c r="C79" s="68">
        <f>C21*C36*C32*C64</f>
        <v>0</v>
      </c>
      <c r="D79" s="168" t="s">
        <v>255</v>
      </c>
      <c r="E79" s="871">
        <f t="shared" si="14"/>
        <v>0</v>
      </c>
      <c r="F79" s="871">
        <f t="shared" si="15"/>
        <v>0</v>
      </c>
      <c r="G79" s="873">
        <f t="shared" si="7"/>
        <v>0</v>
      </c>
      <c r="H79" s="870">
        <f t="shared" si="8"/>
        <v>0</v>
      </c>
      <c r="I79" s="870">
        <f t="shared" si="16"/>
        <v>0</v>
      </c>
      <c r="J79" s="880">
        <f t="shared" si="17"/>
        <v>0</v>
      </c>
      <c r="K79" s="870">
        <f t="shared" si="9"/>
        <v>0</v>
      </c>
      <c r="L79" s="883">
        <f t="shared" si="18"/>
        <v>0</v>
      </c>
      <c r="M79" s="898">
        <f t="shared" si="10"/>
        <v>0</v>
      </c>
      <c r="N79" s="899">
        <f t="shared" si="19"/>
        <v>0</v>
      </c>
      <c r="O79" s="892" t="s">
        <v>255</v>
      </c>
      <c r="P79" s="871">
        <f t="shared" si="20"/>
        <v>0</v>
      </c>
      <c r="Q79" s="871">
        <f t="shared" si="21"/>
        <v>0</v>
      </c>
      <c r="R79" s="873">
        <f t="shared" si="11"/>
        <v>0</v>
      </c>
      <c r="S79" s="870">
        <f t="shared" si="12"/>
        <v>0</v>
      </c>
      <c r="T79" s="870">
        <f t="shared" si="22"/>
        <v>0</v>
      </c>
      <c r="U79" s="870">
        <f t="shared" si="23"/>
        <v>0</v>
      </c>
      <c r="V79" s="870">
        <f t="shared" si="13"/>
        <v>0</v>
      </c>
      <c r="W79" s="883">
        <f t="shared" si="24"/>
        <v>0</v>
      </c>
      <c r="X79" s="898">
        <f t="shared" si="25"/>
        <v>0</v>
      </c>
      <c r="Y79" s="899">
        <f t="shared" si="26"/>
        <v>0</v>
      </c>
      <c r="Z79" s="195">
        <f t="shared" si="27"/>
        <v>0.7</v>
      </c>
      <c r="AA79" s="76">
        <v>0.2</v>
      </c>
      <c r="AB79" s="77" t="s">
        <v>299</v>
      </c>
      <c r="AC79" s="77" t="s">
        <v>299</v>
      </c>
      <c r="AD79" s="77">
        <v>0.5</v>
      </c>
      <c r="AE79" s="77" t="s">
        <v>299</v>
      </c>
      <c r="AF79" s="83" t="s">
        <v>299</v>
      </c>
    </row>
    <row r="80" spans="2:32" s="31" customFormat="1" ht="15.75" customHeight="1" outlineLevel="1" x14ac:dyDescent="0.25">
      <c r="B80" s="62" t="s">
        <v>279</v>
      </c>
      <c r="C80" s="69">
        <f>$E20*250000</f>
        <v>2750000</v>
      </c>
      <c r="D80" s="168" t="str">
        <f>$C15</f>
        <v>НЕТ</v>
      </c>
      <c r="E80" s="871">
        <f t="shared" si="14"/>
        <v>0</v>
      </c>
      <c r="F80" s="871">
        <f t="shared" si="15"/>
        <v>0</v>
      </c>
      <c r="G80" s="873">
        <f t="shared" si="7"/>
        <v>0</v>
      </c>
      <c r="H80" s="870">
        <f t="shared" si="8"/>
        <v>0</v>
      </c>
      <c r="I80" s="870">
        <f t="shared" si="16"/>
        <v>0</v>
      </c>
      <c r="J80" s="880">
        <f t="shared" si="17"/>
        <v>0</v>
      </c>
      <c r="K80" s="870">
        <f t="shared" si="9"/>
        <v>0</v>
      </c>
      <c r="L80" s="886">
        <f t="shared" si="18"/>
        <v>0</v>
      </c>
      <c r="M80" s="900">
        <f t="shared" si="10"/>
        <v>0</v>
      </c>
      <c r="N80" s="901">
        <f t="shared" si="19"/>
        <v>0</v>
      </c>
      <c r="O80" s="892" t="str">
        <f>$C15</f>
        <v>НЕТ</v>
      </c>
      <c r="P80" s="871">
        <f t="shared" si="20"/>
        <v>0</v>
      </c>
      <c r="Q80" s="871">
        <f t="shared" si="21"/>
        <v>0</v>
      </c>
      <c r="R80" s="873">
        <f t="shared" si="11"/>
        <v>0</v>
      </c>
      <c r="S80" s="870">
        <f t="shared" si="12"/>
        <v>0</v>
      </c>
      <c r="T80" s="870">
        <f>$W80*$C$53</f>
        <v>0</v>
      </c>
      <c r="U80" s="870">
        <f t="shared" si="23"/>
        <v>0</v>
      </c>
      <c r="V80" s="870">
        <f t="shared" si="13"/>
        <v>0</v>
      </c>
      <c r="W80" s="886">
        <f t="shared" si="24"/>
        <v>0</v>
      </c>
      <c r="X80" s="900">
        <f t="shared" si="25"/>
        <v>0</v>
      </c>
      <c r="Y80" s="901">
        <f t="shared" si="26"/>
        <v>0</v>
      </c>
      <c r="Z80" s="196">
        <f t="shared" si="27"/>
        <v>0.7</v>
      </c>
      <c r="AA80" s="76">
        <v>0.2</v>
      </c>
      <c r="AB80" s="77" t="s">
        <v>299</v>
      </c>
      <c r="AC80" s="77" t="s">
        <v>299</v>
      </c>
      <c r="AD80" s="77">
        <v>0.5</v>
      </c>
      <c r="AE80" s="77" t="s">
        <v>299</v>
      </c>
      <c r="AF80" s="83" t="s">
        <v>299</v>
      </c>
    </row>
    <row r="81" spans="2:32" s="36" customFormat="1" ht="15.75" customHeight="1" outlineLevel="1" x14ac:dyDescent="0.25">
      <c r="B81" s="62" t="s">
        <v>272</v>
      </c>
      <c r="C81" s="68">
        <f>(C40*C32)*C64</f>
        <v>850000</v>
      </c>
      <c r="D81" s="168" t="s">
        <v>246</v>
      </c>
      <c r="E81" s="871">
        <f t="shared" si="14"/>
        <v>1473390</v>
      </c>
      <c r="F81" s="871">
        <f t="shared" si="15"/>
        <v>1377000</v>
      </c>
      <c r="G81" s="873">
        <f t="shared" si="7"/>
        <v>8500</v>
      </c>
      <c r="H81" s="870">
        <f t="shared" si="8"/>
        <v>170000</v>
      </c>
      <c r="I81" s="870">
        <f t="shared" si="16"/>
        <v>178500.00000000003</v>
      </c>
      <c r="J81" s="880">
        <f t="shared" si="17"/>
        <v>0</v>
      </c>
      <c r="K81" s="870">
        <f t="shared" si="9"/>
        <v>170000</v>
      </c>
      <c r="L81" s="887">
        <f t="shared" si="18"/>
        <v>850000</v>
      </c>
      <c r="M81" s="898">
        <f t="shared" si="10"/>
        <v>275.39999999999998</v>
      </c>
      <c r="N81" s="899">
        <f t="shared" si="19"/>
        <v>8</v>
      </c>
      <c r="O81" s="892" t="s">
        <v>246</v>
      </c>
      <c r="P81" s="871">
        <f t="shared" si="20"/>
        <v>1473390</v>
      </c>
      <c r="Q81" s="871">
        <f t="shared" si="21"/>
        <v>1377000</v>
      </c>
      <c r="R81" s="873">
        <f t="shared" si="11"/>
        <v>8500</v>
      </c>
      <c r="S81" s="870">
        <f>$W81*$C$57</f>
        <v>170000</v>
      </c>
      <c r="T81" s="870">
        <f t="shared" si="22"/>
        <v>178500.00000000003</v>
      </c>
      <c r="U81" s="870">
        <f t="shared" si="23"/>
        <v>0</v>
      </c>
      <c r="V81" s="870">
        <f t="shared" si="13"/>
        <v>170000</v>
      </c>
      <c r="W81" s="887">
        <f t="shared" si="24"/>
        <v>850000</v>
      </c>
      <c r="X81" s="898">
        <f t="shared" si="25"/>
        <v>275.39999999999998</v>
      </c>
      <c r="Y81" s="899">
        <f t="shared" si="26"/>
        <v>8</v>
      </c>
      <c r="Z81" s="195">
        <f t="shared" si="27"/>
        <v>0.7</v>
      </c>
      <c r="AA81" s="76">
        <v>0.2</v>
      </c>
      <c r="AB81" s="77" t="s">
        <v>299</v>
      </c>
      <c r="AC81" s="77" t="s">
        <v>299</v>
      </c>
      <c r="AD81" s="77">
        <v>0.5</v>
      </c>
      <c r="AE81" s="77" t="s">
        <v>299</v>
      </c>
      <c r="AF81" s="83" t="s">
        <v>299</v>
      </c>
    </row>
    <row r="82" spans="2:32" s="36" customFormat="1" ht="27" customHeight="1" outlineLevel="1" x14ac:dyDescent="0.25">
      <c r="B82" s="62" t="s">
        <v>271</v>
      </c>
      <c r="C82" s="71">
        <f>IF((C45*C32*C63)&gt;SUM(C77:C78)*0.1,(C45*C32*C63),SUM(C77:C78)*0.1)</f>
        <v>560000</v>
      </c>
      <c r="D82" s="168" t="s">
        <v>255</v>
      </c>
      <c r="E82" s="871">
        <f t="shared" si="14"/>
        <v>0</v>
      </c>
      <c r="F82" s="871">
        <f t="shared" si="15"/>
        <v>0</v>
      </c>
      <c r="G82" s="873">
        <f t="shared" si="7"/>
        <v>0</v>
      </c>
      <c r="H82" s="870">
        <f t="shared" si="8"/>
        <v>0</v>
      </c>
      <c r="I82" s="870">
        <f t="shared" si="16"/>
        <v>0</v>
      </c>
      <c r="J82" s="880">
        <f t="shared" si="17"/>
        <v>0</v>
      </c>
      <c r="K82" s="870">
        <f t="shared" si="9"/>
        <v>0</v>
      </c>
      <c r="L82" s="887">
        <f t="shared" si="18"/>
        <v>0</v>
      </c>
      <c r="M82" s="898">
        <f t="shared" si="10"/>
        <v>0</v>
      </c>
      <c r="N82" s="899">
        <f t="shared" si="19"/>
        <v>0</v>
      </c>
      <c r="O82" s="892" t="s">
        <v>246</v>
      </c>
      <c r="P82" s="871">
        <f t="shared" si="20"/>
        <v>970704</v>
      </c>
      <c r="Q82" s="871">
        <f t="shared" si="21"/>
        <v>907200</v>
      </c>
      <c r="R82" s="873">
        <f t="shared" si="11"/>
        <v>5600</v>
      </c>
      <c r="S82" s="870">
        <f t="shared" si="12"/>
        <v>112000</v>
      </c>
      <c r="T82" s="870">
        <f t="shared" si="22"/>
        <v>117600.00000000001</v>
      </c>
      <c r="U82" s="870">
        <f t="shared" si="23"/>
        <v>0</v>
      </c>
      <c r="V82" s="870">
        <f t="shared" si="13"/>
        <v>112000</v>
      </c>
      <c r="W82" s="887">
        <f t="shared" si="24"/>
        <v>560000</v>
      </c>
      <c r="X82" s="898">
        <f t="shared" si="25"/>
        <v>181.44</v>
      </c>
      <c r="Y82" s="899">
        <f t="shared" si="26"/>
        <v>5</v>
      </c>
      <c r="Z82" s="195">
        <f t="shared" si="27"/>
        <v>0.7</v>
      </c>
      <c r="AA82" s="76">
        <v>0.2</v>
      </c>
      <c r="AB82" s="77" t="s">
        <v>299</v>
      </c>
      <c r="AC82" s="77" t="s">
        <v>299</v>
      </c>
      <c r="AD82" s="77">
        <v>0.5</v>
      </c>
      <c r="AE82" s="77" t="s">
        <v>299</v>
      </c>
      <c r="AF82" s="83" t="s">
        <v>299</v>
      </c>
    </row>
    <row r="83" spans="2:32" s="36" customFormat="1" ht="15.75" customHeight="1" outlineLevel="1" x14ac:dyDescent="0.25">
      <c r="B83" s="62" t="s">
        <v>273</v>
      </c>
      <c r="C83" s="71">
        <f>SUM(C77:C78)*0.1</f>
        <v>44000</v>
      </c>
      <c r="D83" s="168" t="s">
        <v>255</v>
      </c>
      <c r="E83" s="871">
        <f t="shared" si="14"/>
        <v>0</v>
      </c>
      <c r="F83" s="871">
        <f t="shared" si="15"/>
        <v>0</v>
      </c>
      <c r="G83" s="873">
        <f t="shared" si="7"/>
        <v>0</v>
      </c>
      <c r="H83" s="870">
        <f t="shared" si="8"/>
        <v>0</v>
      </c>
      <c r="I83" s="870">
        <f t="shared" si="16"/>
        <v>0</v>
      </c>
      <c r="J83" s="880">
        <f t="shared" si="17"/>
        <v>0</v>
      </c>
      <c r="K83" s="870">
        <f t="shared" si="9"/>
        <v>0</v>
      </c>
      <c r="L83" s="887">
        <f t="shared" si="18"/>
        <v>0</v>
      </c>
      <c r="M83" s="898">
        <f t="shared" si="10"/>
        <v>0</v>
      </c>
      <c r="N83" s="899">
        <f t="shared" si="19"/>
        <v>0</v>
      </c>
      <c r="O83" s="892" t="s">
        <v>255</v>
      </c>
      <c r="P83" s="871">
        <f t="shared" si="20"/>
        <v>0</v>
      </c>
      <c r="Q83" s="871">
        <f t="shared" si="21"/>
        <v>0</v>
      </c>
      <c r="R83" s="873">
        <f t="shared" si="11"/>
        <v>0</v>
      </c>
      <c r="S83" s="870">
        <f t="shared" si="12"/>
        <v>0</v>
      </c>
      <c r="T83" s="870">
        <f t="shared" si="22"/>
        <v>0</v>
      </c>
      <c r="U83" s="870">
        <f t="shared" si="23"/>
        <v>0</v>
      </c>
      <c r="V83" s="870">
        <f t="shared" si="13"/>
        <v>0</v>
      </c>
      <c r="W83" s="887">
        <f t="shared" si="24"/>
        <v>0</v>
      </c>
      <c r="X83" s="898">
        <f t="shared" si="25"/>
        <v>0</v>
      </c>
      <c r="Y83" s="899">
        <f t="shared" si="26"/>
        <v>0</v>
      </c>
      <c r="Z83" s="195">
        <f t="shared" si="27"/>
        <v>0.7</v>
      </c>
      <c r="AA83" s="76">
        <v>0.2</v>
      </c>
      <c r="AB83" s="77" t="s">
        <v>299</v>
      </c>
      <c r="AC83" s="77" t="s">
        <v>299</v>
      </c>
      <c r="AD83" s="77">
        <v>0.5</v>
      </c>
      <c r="AE83" s="77" t="s">
        <v>299</v>
      </c>
      <c r="AF83" s="83" t="s">
        <v>299</v>
      </c>
    </row>
    <row r="84" spans="2:32" s="36" customFormat="1" ht="15.75" customHeight="1" outlineLevel="1" x14ac:dyDescent="0.25">
      <c r="B84" s="62" t="s">
        <v>2304</v>
      </c>
      <c r="C84" s="71">
        <f>192000+96000*5</f>
        <v>672000</v>
      </c>
      <c r="D84" s="168" t="s">
        <v>246</v>
      </c>
      <c r="E84" s="871">
        <f t="shared" ref="E84" si="28">F84*(1+$C$59)</f>
        <v>1164844.8</v>
      </c>
      <c r="F84" s="871">
        <f t="shared" ref="F84" si="29">SUM(G84:L84)</f>
        <v>1088640</v>
      </c>
      <c r="G84" s="873">
        <f t="shared" si="7"/>
        <v>6720</v>
      </c>
      <c r="H84" s="870">
        <f t="shared" si="8"/>
        <v>134400</v>
      </c>
      <c r="I84" s="870">
        <f t="shared" si="16"/>
        <v>141120</v>
      </c>
      <c r="J84" s="880">
        <f t="shared" si="17"/>
        <v>0</v>
      </c>
      <c r="K84" s="870">
        <f t="shared" si="9"/>
        <v>134400</v>
      </c>
      <c r="L84" s="887">
        <f t="shared" ref="L84" si="30">IF(D84="Да",$C84,0)</f>
        <v>672000</v>
      </c>
      <c r="M84" s="898">
        <f t="shared" ref="M84" si="31">F84/C$32</f>
        <v>217.72800000000001</v>
      </c>
      <c r="N84" s="899">
        <f t="shared" ref="N84" si="32">ROUNDUP(((L84/$C$32)/40)*1.2/$Z84,0)</f>
        <v>27</v>
      </c>
      <c r="O84" s="892" t="s">
        <v>246</v>
      </c>
      <c r="P84" s="871">
        <f t="shared" ref="P84" si="33">Q84*(1+$C$59)</f>
        <v>1164844.8</v>
      </c>
      <c r="Q84" s="871">
        <f t="shared" ref="Q84" si="34">SUM(R84:W84)</f>
        <v>1088640</v>
      </c>
      <c r="R84" s="873">
        <f t="shared" si="11"/>
        <v>6720</v>
      </c>
      <c r="S84" s="870">
        <f t="shared" si="12"/>
        <v>134400</v>
      </c>
      <c r="T84" s="870">
        <f t="shared" si="22"/>
        <v>141120</v>
      </c>
      <c r="U84" s="870">
        <f t="shared" si="23"/>
        <v>0</v>
      </c>
      <c r="V84" s="870">
        <f t="shared" si="13"/>
        <v>134400</v>
      </c>
      <c r="W84" s="887">
        <f t="shared" ref="W84" si="35">IF(O84="Да",$C84,0)</f>
        <v>672000</v>
      </c>
      <c r="X84" s="898">
        <f t="shared" ref="X84" si="36">Q84/C$32</f>
        <v>217.72800000000001</v>
      </c>
      <c r="Y84" s="899">
        <f t="shared" ref="Y84" si="37">ROUNDUP(((W84/$C$32)/40)*1.2/$Z84,0)</f>
        <v>27</v>
      </c>
      <c r="Z84" s="195">
        <f t="shared" ref="Z84" si="38">SUM(AA84:AF84)</f>
        <v>0.15000000000000002</v>
      </c>
      <c r="AA84" s="76">
        <v>0.05</v>
      </c>
      <c r="AB84" s="77" t="s">
        <v>299</v>
      </c>
      <c r="AC84" s="77" t="s">
        <v>299</v>
      </c>
      <c r="AD84" s="77">
        <v>0.1</v>
      </c>
      <c r="AE84" s="77" t="s">
        <v>299</v>
      </c>
      <c r="AF84" s="83" t="s">
        <v>299</v>
      </c>
    </row>
    <row r="85" spans="2:32" s="31" customFormat="1" ht="31.5" customHeight="1" outlineLevel="1" x14ac:dyDescent="0.25">
      <c r="B85" s="62" t="s">
        <v>683</v>
      </c>
      <c r="C85" s="68">
        <f>(C46+F49*D49)*$C32+H49*$C50</f>
        <v>320000</v>
      </c>
      <c r="D85" s="168" t="s">
        <v>246</v>
      </c>
      <c r="E85" s="871">
        <f t="shared" si="14"/>
        <v>554688</v>
      </c>
      <c r="F85" s="871">
        <f t="shared" si="15"/>
        <v>518400</v>
      </c>
      <c r="G85" s="873">
        <f t="shared" si="7"/>
        <v>3200</v>
      </c>
      <c r="H85" s="870">
        <f t="shared" si="8"/>
        <v>64000</v>
      </c>
      <c r="I85" s="870">
        <f t="shared" si="16"/>
        <v>67200</v>
      </c>
      <c r="J85" s="880">
        <f t="shared" si="17"/>
        <v>0</v>
      </c>
      <c r="K85" s="870">
        <f t="shared" si="9"/>
        <v>64000</v>
      </c>
      <c r="L85" s="883">
        <f t="shared" si="18"/>
        <v>320000</v>
      </c>
      <c r="M85" s="898">
        <f t="shared" si="10"/>
        <v>103.68</v>
      </c>
      <c r="N85" s="899">
        <f t="shared" si="19"/>
        <v>3</v>
      </c>
      <c r="O85" s="892" t="s">
        <v>246</v>
      </c>
      <c r="P85" s="871">
        <f t="shared" si="20"/>
        <v>554688</v>
      </c>
      <c r="Q85" s="871">
        <f t="shared" si="21"/>
        <v>518400</v>
      </c>
      <c r="R85" s="873">
        <f t="shared" si="11"/>
        <v>3200</v>
      </c>
      <c r="S85" s="870">
        <f t="shared" si="12"/>
        <v>64000</v>
      </c>
      <c r="T85" s="870">
        <f t="shared" si="22"/>
        <v>67200</v>
      </c>
      <c r="U85" s="870">
        <f t="shared" si="23"/>
        <v>0</v>
      </c>
      <c r="V85" s="870">
        <f t="shared" si="13"/>
        <v>64000</v>
      </c>
      <c r="W85" s="883">
        <f t="shared" si="24"/>
        <v>320000</v>
      </c>
      <c r="X85" s="898">
        <f t="shared" si="25"/>
        <v>103.68</v>
      </c>
      <c r="Y85" s="899">
        <f t="shared" si="26"/>
        <v>3</v>
      </c>
      <c r="Z85" s="195">
        <f>SUM(AA83:AF83)</f>
        <v>0.7</v>
      </c>
      <c r="AA85" s="76">
        <v>0.2</v>
      </c>
      <c r="AB85" s="77" t="s">
        <v>299</v>
      </c>
      <c r="AC85" s="77" t="s">
        <v>299</v>
      </c>
      <c r="AD85" s="77">
        <v>0.5</v>
      </c>
      <c r="AE85" s="77" t="s">
        <v>299</v>
      </c>
      <c r="AF85" s="83" t="s">
        <v>299</v>
      </c>
    </row>
    <row r="86" spans="2:32" s="31" customFormat="1" ht="15.75" customHeight="1" outlineLevel="1" x14ac:dyDescent="0.25">
      <c r="B86" s="62" t="s">
        <v>588</v>
      </c>
      <c r="C86" s="68">
        <f>((F47*D47+F48*D48)*$C32+SUM(H47:H48)*$C50)</f>
        <v>200000</v>
      </c>
      <c r="D86" s="168" t="s">
        <v>246</v>
      </c>
      <c r="E86" s="871">
        <f t="shared" si="14"/>
        <v>346680</v>
      </c>
      <c r="F86" s="871">
        <f t="shared" si="15"/>
        <v>324000</v>
      </c>
      <c r="G86" s="873">
        <f t="shared" si="7"/>
        <v>2000</v>
      </c>
      <c r="H86" s="870">
        <f t="shared" si="8"/>
        <v>40000</v>
      </c>
      <c r="I86" s="870">
        <f t="shared" si="16"/>
        <v>42000.000000000007</v>
      </c>
      <c r="J86" s="880">
        <f t="shared" si="17"/>
        <v>0</v>
      </c>
      <c r="K86" s="870">
        <f t="shared" si="9"/>
        <v>40000</v>
      </c>
      <c r="L86" s="883">
        <f t="shared" si="18"/>
        <v>200000</v>
      </c>
      <c r="M86" s="898">
        <f t="shared" si="10"/>
        <v>64.8</v>
      </c>
      <c r="N86" s="899">
        <f t="shared" si="19"/>
        <v>2</v>
      </c>
      <c r="O86" s="892" t="s">
        <v>246</v>
      </c>
      <c r="P86" s="871">
        <f t="shared" si="20"/>
        <v>346680</v>
      </c>
      <c r="Q86" s="871">
        <f t="shared" si="21"/>
        <v>324000</v>
      </c>
      <c r="R86" s="873">
        <f t="shared" si="11"/>
        <v>2000</v>
      </c>
      <c r="S86" s="870">
        <f t="shared" si="12"/>
        <v>40000</v>
      </c>
      <c r="T86" s="870">
        <f t="shared" si="22"/>
        <v>42000.000000000007</v>
      </c>
      <c r="U86" s="870">
        <f t="shared" si="23"/>
        <v>0</v>
      </c>
      <c r="V86" s="870">
        <f t="shared" si="13"/>
        <v>40000</v>
      </c>
      <c r="W86" s="883">
        <f t="shared" si="24"/>
        <v>200000</v>
      </c>
      <c r="X86" s="898">
        <f t="shared" si="25"/>
        <v>64.8</v>
      </c>
      <c r="Y86" s="899">
        <f t="shared" si="26"/>
        <v>2</v>
      </c>
      <c r="Z86" s="195">
        <f>SUM(AA85:AF85)</f>
        <v>0.7</v>
      </c>
      <c r="AA86" s="76">
        <v>0.2</v>
      </c>
      <c r="AB86" s="77" t="s">
        <v>299</v>
      </c>
      <c r="AC86" s="77" t="s">
        <v>299</v>
      </c>
      <c r="AD86" s="77">
        <v>0.5</v>
      </c>
      <c r="AE86" s="77" t="s">
        <v>299</v>
      </c>
      <c r="AF86" s="83" t="s">
        <v>299</v>
      </c>
    </row>
    <row r="87" spans="2:32" s="31" customFormat="1" ht="15.75" customHeight="1" outlineLevel="1" x14ac:dyDescent="0.25">
      <c r="B87" s="62" t="s">
        <v>697</v>
      </c>
      <c r="C87" s="399">
        <f>($C65*$C32+$E7*$C50)</f>
        <v>700000</v>
      </c>
      <c r="D87" s="393" t="s">
        <v>246</v>
      </c>
      <c r="E87" s="871">
        <f t="shared" si="14"/>
        <v>1213380</v>
      </c>
      <c r="F87" s="871">
        <f t="shared" si="15"/>
        <v>1134000</v>
      </c>
      <c r="G87" s="873">
        <f t="shared" si="7"/>
        <v>7000</v>
      </c>
      <c r="H87" s="870">
        <f t="shared" si="8"/>
        <v>140000</v>
      </c>
      <c r="I87" s="870">
        <f t="shared" si="16"/>
        <v>147000</v>
      </c>
      <c r="J87" s="880">
        <f t="shared" si="17"/>
        <v>0</v>
      </c>
      <c r="K87" s="870">
        <f t="shared" si="9"/>
        <v>140000</v>
      </c>
      <c r="L87" s="888">
        <f t="shared" si="18"/>
        <v>700000</v>
      </c>
      <c r="M87" s="898">
        <f t="shared" si="10"/>
        <v>226.8</v>
      </c>
      <c r="N87" s="899">
        <f t="shared" si="19"/>
        <v>3</v>
      </c>
      <c r="O87" s="892" t="s">
        <v>246</v>
      </c>
      <c r="P87" s="871">
        <f t="shared" si="20"/>
        <v>1213380</v>
      </c>
      <c r="Q87" s="871">
        <f t="shared" si="21"/>
        <v>1134000</v>
      </c>
      <c r="R87" s="873">
        <f t="shared" si="11"/>
        <v>7000</v>
      </c>
      <c r="S87" s="870">
        <f t="shared" si="12"/>
        <v>140000</v>
      </c>
      <c r="T87" s="870">
        <f t="shared" si="22"/>
        <v>147000</v>
      </c>
      <c r="U87" s="870">
        <f t="shared" si="23"/>
        <v>0</v>
      </c>
      <c r="V87" s="870">
        <f t="shared" si="13"/>
        <v>140000</v>
      </c>
      <c r="W87" s="888">
        <f t="shared" si="24"/>
        <v>700000</v>
      </c>
      <c r="X87" s="898">
        <f t="shared" si="25"/>
        <v>226.8</v>
      </c>
      <c r="Y87" s="899">
        <f t="shared" si="26"/>
        <v>3</v>
      </c>
      <c r="Z87" s="195">
        <f>SUM(AA87:AF88)</f>
        <v>1.4</v>
      </c>
      <c r="AA87" s="76">
        <v>0.2</v>
      </c>
      <c r="AB87" s="77" t="s">
        <v>299</v>
      </c>
      <c r="AC87" s="77" t="s">
        <v>299</v>
      </c>
      <c r="AD87" s="77">
        <v>0.5</v>
      </c>
      <c r="AE87" s="77" t="s">
        <v>299</v>
      </c>
      <c r="AF87" s="83" t="s">
        <v>299</v>
      </c>
    </row>
    <row r="88" spans="2:32" s="31" customFormat="1" ht="15.75" customHeight="1" outlineLevel="1" x14ac:dyDescent="0.25">
      <c r="B88" s="62" t="s">
        <v>698</v>
      </c>
      <c r="C88" s="399">
        <f>($C66*$C32)</f>
        <v>200000</v>
      </c>
      <c r="D88" s="168" t="s">
        <v>255</v>
      </c>
      <c r="E88" s="871">
        <f t="shared" si="14"/>
        <v>0</v>
      </c>
      <c r="F88" s="871">
        <f t="shared" si="15"/>
        <v>0</v>
      </c>
      <c r="G88" s="873">
        <f t="shared" si="7"/>
        <v>0</v>
      </c>
      <c r="H88" s="870">
        <f t="shared" si="8"/>
        <v>0</v>
      </c>
      <c r="I88" s="870">
        <f t="shared" si="16"/>
        <v>0</v>
      </c>
      <c r="J88" s="880">
        <f t="shared" si="17"/>
        <v>0</v>
      </c>
      <c r="K88" s="870">
        <f t="shared" si="9"/>
        <v>0</v>
      </c>
      <c r="L88" s="888">
        <f t="shared" si="18"/>
        <v>0</v>
      </c>
      <c r="M88" s="898">
        <f t="shared" si="10"/>
        <v>0</v>
      </c>
      <c r="N88" s="899">
        <f t="shared" si="19"/>
        <v>0</v>
      </c>
      <c r="O88" s="892" t="s">
        <v>255</v>
      </c>
      <c r="P88" s="871">
        <f t="shared" si="20"/>
        <v>0</v>
      </c>
      <c r="Q88" s="871">
        <f t="shared" si="21"/>
        <v>0</v>
      </c>
      <c r="R88" s="873">
        <f t="shared" si="11"/>
        <v>0</v>
      </c>
      <c r="S88" s="870">
        <f t="shared" si="12"/>
        <v>0</v>
      </c>
      <c r="T88" s="870">
        <f t="shared" si="22"/>
        <v>0</v>
      </c>
      <c r="U88" s="870">
        <f t="shared" si="23"/>
        <v>0</v>
      </c>
      <c r="V88" s="870">
        <f t="shared" si="13"/>
        <v>0</v>
      </c>
      <c r="W88" s="888">
        <f t="shared" si="24"/>
        <v>0</v>
      </c>
      <c r="X88" s="898">
        <f t="shared" si="25"/>
        <v>0</v>
      </c>
      <c r="Y88" s="899">
        <f t="shared" si="26"/>
        <v>0</v>
      </c>
      <c r="Z88" s="195">
        <f>SUM(AA88:AF89)</f>
        <v>1.4</v>
      </c>
      <c r="AA88" s="76">
        <v>0.2</v>
      </c>
      <c r="AB88" s="77" t="s">
        <v>299</v>
      </c>
      <c r="AC88" s="77" t="s">
        <v>299</v>
      </c>
      <c r="AD88" s="77">
        <v>0.5</v>
      </c>
      <c r="AE88" s="77" t="s">
        <v>299</v>
      </c>
      <c r="AF88" s="83" t="s">
        <v>299</v>
      </c>
    </row>
    <row r="89" spans="2:32" s="31" customFormat="1" ht="31.5" customHeight="1" outlineLevel="1" x14ac:dyDescent="0.25">
      <c r="B89" s="62" t="s">
        <v>276</v>
      </c>
      <c r="C89" s="99">
        <f>5000000</f>
        <v>5000000</v>
      </c>
      <c r="D89" s="168" t="str">
        <f>$C16</f>
        <v>НЕТ</v>
      </c>
      <c r="E89" s="871">
        <f t="shared" si="14"/>
        <v>0</v>
      </c>
      <c r="F89" s="871">
        <f t="shared" si="15"/>
        <v>0</v>
      </c>
      <c r="G89" s="873">
        <f t="shared" si="7"/>
        <v>0</v>
      </c>
      <c r="H89" s="870">
        <f t="shared" si="8"/>
        <v>0</v>
      </c>
      <c r="I89" s="870">
        <f t="shared" si="16"/>
        <v>0</v>
      </c>
      <c r="J89" s="880">
        <f t="shared" si="17"/>
        <v>0</v>
      </c>
      <c r="K89" s="870">
        <f t="shared" si="9"/>
        <v>0</v>
      </c>
      <c r="L89" s="889">
        <f t="shared" si="18"/>
        <v>0</v>
      </c>
      <c r="M89" s="898">
        <f t="shared" si="10"/>
        <v>0</v>
      </c>
      <c r="N89" s="899">
        <f t="shared" si="19"/>
        <v>0</v>
      </c>
      <c r="O89" s="892" t="str">
        <f>$C16</f>
        <v>НЕТ</v>
      </c>
      <c r="P89" s="871">
        <f t="shared" si="20"/>
        <v>0</v>
      </c>
      <c r="Q89" s="871">
        <f t="shared" si="21"/>
        <v>0</v>
      </c>
      <c r="R89" s="873">
        <f t="shared" si="11"/>
        <v>0</v>
      </c>
      <c r="S89" s="870">
        <f t="shared" si="12"/>
        <v>0</v>
      </c>
      <c r="T89" s="870">
        <f t="shared" si="22"/>
        <v>0</v>
      </c>
      <c r="U89" s="870">
        <f t="shared" si="23"/>
        <v>0</v>
      </c>
      <c r="V89" s="870">
        <f t="shared" si="13"/>
        <v>0</v>
      </c>
      <c r="W89" s="889">
        <f t="shared" si="24"/>
        <v>0</v>
      </c>
      <c r="X89" s="898">
        <f t="shared" si="25"/>
        <v>0</v>
      </c>
      <c r="Y89" s="899">
        <f t="shared" si="26"/>
        <v>0</v>
      </c>
      <c r="Z89" s="195">
        <f>SUM(AA89:AF89)</f>
        <v>0.7</v>
      </c>
      <c r="AA89" s="76">
        <v>0.2</v>
      </c>
      <c r="AB89" s="77" t="s">
        <v>299</v>
      </c>
      <c r="AC89" s="77" t="s">
        <v>299</v>
      </c>
      <c r="AD89" s="77">
        <v>0.5</v>
      </c>
      <c r="AE89" s="77" t="s">
        <v>299</v>
      </c>
      <c r="AF89" s="83" t="s">
        <v>299</v>
      </c>
    </row>
    <row r="90" spans="2:32" s="31" customFormat="1" ht="31.5" customHeight="1" outlineLevel="1" x14ac:dyDescent="0.25">
      <c r="B90" s="982" t="s">
        <v>275</v>
      </c>
      <c r="C90" s="983">
        <f>C82</f>
        <v>560000</v>
      </c>
      <c r="D90" s="168" t="s">
        <v>255</v>
      </c>
      <c r="E90" s="984">
        <f t="shared" ref="E90" si="39">F90*(1+$C$59)</f>
        <v>0</v>
      </c>
      <c r="F90" s="984">
        <f t="shared" ref="F90" si="40">SUM(G90:L90)</f>
        <v>0</v>
      </c>
      <c r="G90" s="985">
        <f t="shared" si="7"/>
        <v>0</v>
      </c>
      <c r="H90" s="986">
        <f t="shared" si="8"/>
        <v>0</v>
      </c>
      <c r="I90" s="986">
        <f t="shared" si="16"/>
        <v>0</v>
      </c>
      <c r="J90" s="880">
        <f t="shared" si="17"/>
        <v>0</v>
      </c>
      <c r="K90" s="986">
        <f t="shared" si="9"/>
        <v>0</v>
      </c>
      <c r="L90" s="987">
        <f t="shared" ref="L90" si="41">IF(D90="Да",$C90,0)</f>
        <v>0</v>
      </c>
      <c r="M90" s="988">
        <f t="shared" ref="M90" si="42">F90/C$32</f>
        <v>0</v>
      </c>
      <c r="N90" s="989">
        <f t="shared" ref="N90" si="43">ROUNDUP(((L90/$C$32)/40)*1.2/$Z90,0)</f>
        <v>0</v>
      </c>
      <c r="O90" s="892" t="s">
        <v>255</v>
      </c>
      <c r="P90" s="984">
        <f t="shared" ref="P90" si="44">Q90*(1+$C$59)</f>
        <v>0</v>
      </c>
      <c r="Q90" s="984">
        <f t="shared" ref="Q90" si="45">SUM(R90:W90)</f>
        <v>0</v>
      </c>
      <c r="R90" s="985">
        <f t="shared" si="11"/>
        <v>0</v>
      </c>
      <c r="S90" s="986">
        <f t="shared" si="12"/>
        <v>0</v>
      </c>
      <c r="T90" s="986">
        <f t="shared" si="22"/>
        <v>0</v>
      </c>
      <c r="U90" s="986">
        <f t="shared" si="23"/>
        <v>0</v>
      </c>
      <c r="V90" s="986">
        <f t="shared" si="13"/>
        <v>0</v>
      </c>
      <c r="W90" s="987">
        <f t="shared" ref="W90" si="46">IF(O90="Да",$C90,0)</f>
        <v>0</v>
      </c>
      <c r="X90" s="988">
        <f t="shared" ref="X90" si="47">Q90/C$32</f>
        <v>0</v>
      </c>
      <c r="Y90" s="989">
        <f t="shared" ref="Y90" si="48">ROUNDUP(((W90/$C$32)/40)*1.2/$Z90,0)</f>
        <v>0</v>
      </c>
      <c r="Z90" s="990">
        <f>SUM(AA90:AF90)</f>
        <v>0.7</v>
      </c>
      <c r="AA90" s="76">
        <v>0.2</v>
      </c>
      <c r="AB90" s="77" t="s">
        <v>299</v>
      </c>
      <c r="AC90" s="77" t="s">
        <v>299</v>
      </c>
      <c r="AD90" s="77">
        <v>0.5</v>
      </c>
      <c r="AE90" s="77" t="s">
        <v>299</v>
      </c>
      <c r="AF90" s="83" t="s">
        <v>299</v>
      </c>
    </row>
    <row r="91" spans="2:32" s="1005" customFormat="1" ht="15.75" customHeight="1" outlineLevel="1" thickBot="1" x14ac:dyDescent="0.3">
      <c r="B91" s="991" t="s">
        <v>2227</v>
      </c>
      <c r="C91" s="992">
        <v>1386000</v>
      </c>
      <c r="D91" s="993" t="s">
        <v>246</v>
      </c>
      <c r="E91" s="994">
        <f t="shared" si="14"/>
        <v>2402492.4000000004</v>
      </c>
      <c r="F91" s="994">
        <f t="shared" si="15"/>
        <v>2245320</v>
      </c>
      <c r="G91" s="995">
        <f t="shared" si="7"/>
        <v>13860</v>
      </c>
      <c r="H91" s="996">
        <f t="shared" si="8"/>
        <v>277200</v>
      </c>
      <c r="I91" s="996">
        <f t="shared" si="16"/>
        <v>291060</v>
      </c>
      <c r="J91" s="880">
        <f t="shared" si="17"/>
        <v>0</v>
      </c>
      <c r="K91" s="996">
        <f t="shared" si="9"/>
        <v>277200</v>
      </c>
      <c r="L91" s="997">
        <f t="shared" si="18"/>
        <v>1386000</v>
      </c>
      <c r="M91" s="998">
        <f t="shared" si="10"/>
        <v>449.06400000000002</v>
      </c>
      <c r="N91" s="999"/>
      <c r="O91" s="1000" t="s">
        <v>246</v>
      </c>
      <c r="P91" s="994">
        <f t="shared" si="20"/>
        <v>2402492.4000000004</v>
      </c>
      <c r="Q91" s="994">
        <f t="shared" si="21"/>
        <v>2245320</v>
      </c>
      <c r="R91" s="995">
        <f t="shared" si="11"/>
        <v>13860</v>
      </c>
      <c r="S91" s="996">
        <f t="shared" si="12"/>
        <v>277200</v>
      </c>
      <c r="T91" s="996">
        <f t="shared" si="22"/>
        <v>291060</v>
      </c>
      <c r="U91" s="996">
        <f t="shared" si="23"/>
        <v>0</v>
      </c>
      <c r="V91" s="996">
        <f t="shared" si="13"/>
        <v>277200</v>
      </c>
      <c r="W91" s="997">
        <f t="shared" si="24"/>
        <v>1386000</v>
      </c>
      <c r="X91" s="998">
        <f t="shared" si="25"/>
        <v>449.06400000000002</v>
      </c>
      <c r="Y91" s="999"/>
      <c r="Z91" s="1001">
        <f>SUM(AA91:AF91)</f>
        <v>0.7</v>
      </c>
      <c r="AA91" s="1002">
        <v>0.2</v>
      </c>
      <c r="AB91" s="1003" t="s">
        <v>299</v>
      </c>
      <c r="AC91" s="1003" t="s">
        <v>299</v>
      </c>
      <c r="AD91" s="1003">
        <v>0.5</v>
      </c>
      <c r="AE91" s="1003" t="s">
        <v>299</v>
      </c>
      <c r="AF91" s="1004" t="s">
        <v>299</v>
      </c>
    </row>
    <row r="92" spans="2:32" x14ac:dyDescent="0.25">
      <c r="K92" s="2"/>
      <c r="L92" s="2" t="s">
        <v>1787</v>
      </c>
      <c r="M92" s="2">
        <f>N73/4</f>
        <v>11.25</v>
      </c>
      <c r="N92" s="2"/>
      <c r="O92" s="2"/>
      <c r="W92" s="2" t="s">
        <v>1787</v>
      </c>
      <c r="X92" s="2">
        <f>Y73/4</f>
        <v>13.5</v>
      </c>
    </row>
    <row r="93" spans="2:32" x14ac:dyDescent="0.25">
      <c r="L93" s="833" t="s">
        <v>1806</v>
      </c>
      <c r="M93" s="834" t="s">
        <v>1807</v>
      </c>
      <c r="N93" s="835" t="s">
        <v>1808</v>
      </c>
      <c r="W93" s="833" t="s">
        <v>1789</v>
      </c>
      <c r="X93" s="834" t="s">
        <v>1790</v>
      </c>
      <c r="Y93" s="835" t="s">
        <v>1791</v>
      </c>
    </row>
    <row r="202" spans="5:5" x14ac:dyDescent="0.25">
      <c r="E202" s="1" t="e">
        <f>'параметры расчета'!C2</f>
        <v>#REF!</v>
      </c>
    </row>
  </sheetData>
  <autoFilter ref="B19:E58" xr:uid="{00000000-0009-0000-0000-000008000000}"/>
  <mergeCells count="9">
    <mergeCell ref="B30:C30"/>
    <mergeCell ref="B31:C31"/>
    <mergeCell ref="B61:C61"/>
    <mergeCell ref="B2:C2"/>
    <mergeCell ref="B18:B19"/>
    <mergeCell ref="C18:E18"/>
    <mergeCell ref="B27:C27"/>
    <mergeCell ref="B28:C28"/>
    <mergeCell ref="B29:C29"/>
  </mergeCells>
  <conditionalFormatting sqref="C10:C16">
    <cfRule type="cellIs" dxfId="194" priority="153" operator="equal">
      <formula>"ДА"</formula>
    </cfRule>
    <cfRule type="cellIs" dxfId="193" priority="154" operator="equal">
      <formula>"НЕТ"</formula>
    </cfRule>
  </conditionalFormatting>
  <conditionalFormatting sqref="C24">
    <cfRule type="cellIs" dxfId="192" priority="151" operator="greaterThan">
      <formula>0</formula>
    </cfRule>
  </conditionalFormatting>
  <conditionalFormatting sqref="C20:E21">
    <cfRule type="cellIs" dxfId="191" priority="227" operator="equal">
      <formula>"ДА"</formula>
    </cfRule>
    <cfRule type="cellIs" dxfId="190" priority="226" operator="equal">
      <formula>"НЕТ"</formula>
    </cfRule>
  </conditionalFormatting>
  <conditionalFormatting sqref="C73:L73">
    <cfRule type="expression" dxfId="189" priority="31">
      <formula>#REF!=0</formula>
    </cfRule>
  </conditionalFormatting>
  <conditionalFormatting sqref="D10:D16">
    <cfRule type="cellIs" dxfId="188" priority="134" operator="equal">
      <formula>"КОРП"</formula>
    </cfRule>
    <cfRule type="cellIs" dxfId="187" priority="133" operator="equal">
      <formula>"ПРОФ"</formula>
    </cfRule>
  </conditionalFormatting>
  <conditionalFormatting sqref="D32:D34">
    <cfRule type="cellIs" dxfId="186" priority="143" operator="equal">
      <formula>"Формула"</formula>
    </cfRule>
    <cfRule type="cellIs" dxfId="185" priority="142" operator="equal">
      <formula>"Значение введено вручную"</formula>
    </cfRule>
  </conditionalFormatting>
  <conditionalFormatting sqref="D53:D55">
    <cfRule type="cellIs" dxfId="184" priority="9" operator="equal">
      <formula>"Значение введено вручную"</formula>
    </cfRule>
    <cfRule type="cellIs" dxfId="183" priority="10" operator="equal">
      <formula>"Формула"</formula>
    </cfRule>
  </conditionalFormatting>
  <conditionalFormatting sqref="D63:D66">
    <cfRule type="cellIs" dxfId="182" priority="124" operator="equal">
      <formula>"Формула"</formula>
    </cfRule>
    <cfRule type="cellIs" dxfId="181" priority="123" operator="equal">
      <formula>"Значение введено вручную"</formula>
    </cfRule>
  </conditionalFormatting>
  <conditionalFormatting sqref="D74:D91">
    <cfRule type="cellIs" dxfId="180" priority="102" operator="equal">
      <formula>"ДА"</formula>
    </cfRule>
    <cfRule type="cellIs" dxfId="179" priority="101" operator="equal">
      <formula>"НЕТ"</formula>
    </cfRule>
  </conditionalFormatting>
  <conditionalFormatting sqref="D24:E24">
    <cfRule type="cellIs" dxfId="178" priority="152" operator="greaterThan">
      <formula>0</formula>
    </cfRule>
  </conditionalFormatting>
  <conditionalFormatting sqref="E2">
    <cfRule type="cellIs" dxfId="177" priority="157" operator="equal">
      <formula>"SMB Заказчик"</formula>
    </cfRule>
    <cfRule type="cellIs" dxfId="176" priority="158" operator="equal">
      <formula>"КОРП Заказчик"</formula>
    </cfRule>
  </conditionalFormatting>
  <conditionalFormatting sqref="E10:E16">
    <cfRule type="cellIs" dxfId="175" priority="132" operator="equal">
      <formula>"НЕТ"</formula>
    </cfRule>
    <cfRule type="cellIs" dxfId="174" priority="131" operator="equal">
      <formula>"ДА"</formula>
    </cfRule>
  </conditionalFormatting>
  <conditionalFormatting sqref="E55">
    <cfRule type="cellIs" dxfId="173" priority="3" operator="equal">
      <formula>"НЕТ"</formula>
    </cfRule>
    <cfRule type="cellIs" dxfId="172" priority="2" operator="equal">
      <formula>"ДА"</formula>
    </cfRule>
    <cfRule type="cellIs" dxfId="171" priority="1" operator="equal">
      <formula>"Указать"</formula>
    </cfRule>
  </conditionalFormatting>
  <conditionalFormatting sqref="F10:F16">
    <cfRule type="cellIs" dxfId="170" priority="127" operator="equal">
      <formula>"Значение введено вручную"</formula>
    </cfRule>
    <cfRule type="cellIs" dxfId="169" priority="128" operator="equal">
      <formula>"Формула"</formula>
    </cfRule>
  </conditionalFormatting>
  <conditionalFormatting sqref="G74:K74 G74:G91">
    <cfRule type="expression" dxfId="168" priority="64">
      <formula>#REF!=0</formula>
    </cfRule>
  </conditionalFormatting>
  <conditionalFormatting sqref="H75:K91">
    <cfRule type="expression" dxfId="167" priority="8">
      <formula>#REF!=0</formula>
    </cfRule>
  </conditionalFormatting>
  <conditionalFormatting sqref="L77:M91">
    <cfRule type="expression" dxfId="166" priority="122">
      <formula>#REF!=0</formula>
    </cfRule>
  </conditionalFormatting>
  <conditionalFormatting sqref="L74:N76 C74:C91 M78:N80 N81:N90 M91:N91">
    <cfRule type="expression" dxfId="165" priority="105">
      <formula>#REF!=0</formula>
    </cfRule>
  </conditionalFormatting>
  <conditionalFormatting sqref="M73:M77">
    <cfRule type="expression" dxfId="164" priority="111">
      <formula>#REF!=0</formula>
    </cfRule>
  </conditionalFormatting>
  <conditionalFormatting sqref="M92">
    <cfRule type="cellIs" dxfId="163" priority="92" operator="lessThanOrEqual">
      <formula>6</formula>
    </cfRule>
    <cfRule type="cellIs" dxfId="162" priority="91" operator="between">
      <formula>6</formula>
      <formula>9</formula>
    </cfRule>
    <cfRule type="cellIs" dxfId="161" priority="90" operator="greaterThan">
      <formula>9</formula>
    </cfRule>
  </conditionalFormatting>
  <conditionalFormatting sqref="N77">
    <cfRule type="expression" dxfId="160" priority="110">
      <formula>#REF!=0</formula>
    </cfRule>
  </conditionalFormatting>
  <conditionalFormatting sqref="N73:U73">
    <cfRule type="expression" dxfId="159" priority="15">
      <formula>#REF!=0</formula>
    </cfRule>
  </conditionalFormatting>
  <conditionalFormatting sqref="O74:O91">
    <cfRule type="cellIs" dxfId="158" priority="72" operator="equal">
      <formula>"ДА"</formula>
    </cfRule>
    <cfRule type="cellIs" dxfId="157" priority="71" operator="equal">
      <formula>"НЕТ"</formula>
    </cfRule>
  </conditionalFormatting>
  <conditionalFormatting sqref="R74:U74">
    <cfRule type="expression" dxfId="156" priority="7">
      <formula>#REF!=0</formula>
    </cfRule>
  </conditionalFormatting>
  <conditionalFormatting sqref="R75:W91">
    <cfRule type="expression" dxfId="155" priority="36">
      <formula>#REF!=0</formula>
    </cfRule>
  </conditionalFormatting>
  <conditionalFormatting sqref="V73:W74">
    <cfRule type="expression" dxfId="154" priority="30">
      <formula>#REF!=0</formula>
    </cfRule>
  </conditionalFormatting>
  <conditionalFormatting sqref="X73:X91 X74:Y74">
    <cfRule type="expression" dxfId="153" priority="25">
      <formula>#REF!=0</formula>
    </cfRule>
  </conditionalFormatting>
  <conditionalFormatting sqref="X92">
    <cfRule type="cellIs" dxfId="152" priority="89" operator="lessThan">
      <formula>9</formula>
    </cfRule>
    <cfRule type="cellIs" dxfId="151" priority="88" operator="between">
      <formula>9</formula>
      <formula>12</formula>
    </cfRule>
    <cfRule type="cellIs" dxfId="150" priority="87" operator="greaterThan">
      <formula>12</formula>
    </cfRule>
  </conditionalFormatting>
  <conditionalFormatting sqref="Y73">
    <cfRule type="expression" dxfId="149" priority="24">
      <formula>#REF!=0</formula>
    </cfRule>
  </conditionalFormatting>
  <conditionalFormatting sqref="Y75:Y91">
    <cfRule type="expression" dxfId="148" priority="21">
      <formula>#REF!=0</formula>
    </cfRule>
  </conditionalFormatting>
  <conditionalFormatting sqref="Z73:Z91">
    <cfRule type="expression" dxfId="147" priority="95">
      <formula>#REF!=0</formula>
    </cfRule>
  </conditionalFormatting>
  <conditionalFormatting sqref="AA76:AA91">
    <cfRule type="colorScale" priority="98">
      <colorScale>
        <cfvo type="min"/>
        <cfvo type="max"/>
        <color rgb="FFFFEF9C"/>
        <color rgb="FF63BE7B"/>
      </colorScale>
    </cfRule>
    <cfRule type="colorScale" priority="97">
      <colorScale>
        <cfvo type="min"/>
        <cfvo type="max"/>
        <color rgb="FFFFEF9C"/>
        <color rgb="FF63BE7B"/>
      </colorScale>
    </cfRule>
  </conditionalFormatting>
  <conditionalFormatting sqref="AA74:AF74 AA75 AC75:AF91">
    <cfRule type="colorScale" priority="114">
      <colorScale>
        <cfvo type="min"/>
        <cfvo type="max"/>
        <color rgb="FFFFEF9C"/>
        <color rgb="FF63BE7B"/>
      </colorScale>
    </cfRule>
  </conditionalFormatting>
  <conditionalFormatting sqref="AB75:AB91">
    <cfRule type="colorScale" priority="99">
      <colorScale>
        <cfvo type="min"/>
        <cfvo type="max"/>
        <color rgb="FFFFEF9C"/>
        <color rgb="FF63BE7B"/>
      </colorScale>
    </cfRule>
    <cfRule type="colorScale" priority="100">
      <colorScale>
        <cfvo type="min"/>
        <cfvo type="max"/>
        <color rgb="FFFFEF9C"/>
        <color rgb="FF63BE7B"/>
      </colorScale>
    </cfRule>
  </conditionalFormatting>
  <conditionalFormatting sqref="AC75:AF91 AA75">
    <cfRule type="colorScale" priority="115">
      <colorScale>
        <cfvo type="min"/>
        <cfvo type="max"/>
        <color rgb="FFFFEF9C"/>
        <color rgb="FF63BE7B"/>
      </colorScale>
    </cfRule>
  </conditionalFormatting>
  <dataValidations disablePrompts="1" count="3">
    <dataValidation type="list" allowBlank="1" showInputMessage="1" showErrorMessage="1" sqref="C62" xr:uid="{00000000-0002-0000-0800-000000000000}">
      <formula1>"ДО 200,201-500,501-1000,1001+"</formula1>
    </dataValidation>
    <dataValidation type="list" allowBlank="1" showInputMessage="1" showErrorMessage="1" sqref="E10:E16 C10:C16 D88:D91 O74:O91 D74:D86" xr:uid="{00000000-0002-0000-0800-000001000000}">
      <formula1>"ДА,НЕТ"</formula1>
    </dataValidation>
    <dataValidation type="list" allowBlank="1" showInputMessage="1" showErrorMessage="1" sqref="C59" xr:uid="{00000000-0002-0000-0800-000002000000}">
      <formula1>"0%,7%,20%"</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800-000003000000}">
          <x14:formula1>
            <xm:f>Списки!$K$2:$K$7</xm:f>
          </x14:formula1>
          <xm:sqref>C33:C34</xm:sqref>
        </x14:dataValidation>
        <x14:dataValidation type="list" allowBlank="1" showInputMessage="1" showErrorMessage="1" xr:uid="{00000000-0002-0000-0800-000004000000}">
          <x14:formula1>
            <xm:f>Списки!$M$2:$M$5</xm:f>
          </x14:formula1>
          <xm:sqref>C1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92"/>
  <sheetViews>
    <sheetView topLeftCell="A18" zoomScale="70" zoomScaleNormal="70" workbookViewId="0">
      <selection activeCell="C55" sqref="C55"/>
    </sheetView>
  </sheetViews>
  <sheetFormatPr defaultColWidth="9.28515625" defaultRowHeight="15" outlineLevelRow="3" outlineLevelCol="1" x14ac:dyDescent="0.25"/>
  <cols>
    <col min="1" max="1" width="9.7109375" style="1" customWidth="1"/>
    <col min="2" max="2" width="46.42578125" style="1" customWidth="1"/>
    <col min="3" max="3" width="23" style="1" customWidth="1"/>
    <col min="4" max="4" width="30.7109375" style="1" customWidth="1"/>
    <col min="5" max="5" width="19.7109375" style="1" customWidth="1" collapsed="1"/>
    <col min="6" max="6" width="21.28515625" style="1" hidden="1" customWidth="1" outlineLevel="1"/>
    <col min="7" max="10" width="19.7109375" style="1" hidden="1" customWidth="1" outlineLevel="1"/>
    <col min="11" max="11" width="21.42578125" style="1" hidden="1" customWidth="1" outlineLevel="1"/>
    <col min="12" max="12" width="26.28515625" style="1" hidden="1" customWidth="1" outlineLevel="1"/>
    <col min="13" max="13" width="19.7109375" style="1" customWidth="1"/>
    <col min="14" max="15" width="22.7109375" style="1" customWidth="1"/>
    <col min="16" max="20" width="22.7109375" style="1" customWidth="1" outlineLevel="1"/>
    <col min="21" max="21" width="19.7109375" style="1" customWidth="1" outlineLevel="1"/>
    <col min="22" max="22" width="23.7109375" style="1" customWidth="1" outlineLevel="1"/>
    <col min="23" max="25" width="15.7109375" style="1" customWidth="1"/>
    <col min="26" max="26" width="15.7109375" style="1" customWidth="1" outlineLevel="1"/>
    <col min="27" max="31" width="9.28515625" style="1" customWidth="1" outlineLevel="1"/>
    <col min="32" max="16384" width="9.28515625" style="1"/>
  </cols>
  <sheetData>
    <row r="1" spans="2:12" ht="21.75" thickBot="1" x14ac:dyDescent="0.3">
      <c r="B1" s="1006" t="s">
        <v>2230</v>
      </c>
      <c r="C1" s="1007" t="s">
        <v>500</v>
      </c>
    </row>
    <row r="2" spans="2:12" ht="66" customHeight="1" thickBot="1" x14ac:dyDescent="0.3">
      <c r="B2" s="1276" t="s">
        <v>321</v>
      </c>
      <c r="C2" s="1277"/>
      <c r="D2" s="411" t="str">
        <f>'2.ФС для Заполнения'!AC2</f>
        <v>ДО 200</v>
      </c>
      <c r="E2" s="411" t="str">
        <f>IF(D2="1001+","КОРП Заказчик", "SMB Заказчик")</f>
        <v>SMB Заказчик</v>
      </c>
      <c r="L2" s="2"/>
    </row>
    <row r="3" spans="2:12" ht="33.75" customHeight="1" outlineLevel="1" collapsed="1" thickBot="1" x14ac:dyDescent="0.3">
      <c r="B3" s="198" t="s">
        <v>4</v>
      </c>
      <c r="C3" s="40" t="s">
        <v>7</v>
      </c>
      <c r="D3" s="40" t="s">
        <v>258</v>
      </c>
      <c r="E3" s="43" t="s">
        <v>259</v>
      </c>
    </row>
    <row r="4" spans="2:12" ht="33.75" hidden="1" customHeight="1" outlineLevel="2" x14ac:dyDescent="0.25">
      <c r="B4" s="42" t="s">
        <v>319</v>
      </c>
      <c r="C4" s="47">
        <f t="shared" ref="C4:C7" si="0">D4+E4</f>
        <v>30</v>
      </c>
      <c r="D4" s="47">
        <f>SUM(D5:D6)</f>
        <v>30</v>
      </c>
      <c r="E4" s="400">
        <f>SUM(E5:E6)</f>
        <v>0</v>
      </c>
    </row>
    <row r="5" spans="2:12" ht="16.5" hidden="1" customHeight="1" outlineLevel="3" x14ac:dyDescent="0.25">
      <c r="B5" s="41" t="s">
        <v>5</v>
      </c>
      <c r="C5" s="48">
        <f t="shared" si="0"/>
        <v>10</v>
      </c>
      <c r="D5" s="407">
        <f>'2.ФС для Заполнения'!AD5</f>
        <v>10</v>
      </c>
      <c r="E5" s="408">
        <f>'2.ФС для Заполнения'!AE5</f>
        <v>0</v>
      </c>
    </row>
    <row r="6" spans="2:12" ht="33.75" hidden="1" customHeight="1" outlineLevel="3" x14ac:dyDescent="0.25">
      <c r="B6" s="41" t="s">
        <v>6</v>
      </c>
      <c r="C6" s="48">
        <f t="shared" si="0"/>
        <v>20</v>
      </c>
      <c r="D6" s="407">
        <f>'2.ФС для Заполнения'!AD6</f>
        <v>20</v>
      </c>
      <c r="E6" s="408">
        <f>'2.ФС для Заполнения'!AE6</f>
        <v>0</v>
      </c>
    </row>
    <row r="7" spans="2:12" ht="30.75" hidden="1" customHeight="1" outlineLevel="2" thickBot="1" x14ac:dyDescent="0.3">
      <c r="B7" s="402" t="s">
        <v>320</v>
      </c>
      <c r="C7" s="403">
        <f t="shared" si="0"/>
        <v>5</v>
      </c>
      <c r="D7" s="407">
        <f>'2.ФС для Заполнения'!AD7</f>
        <v>5</v>
      </c>
      <c r="E7" s="410">
        <f>'2.ФС для Заполнения'!AE7</f>
        <v>0</v>
      </c>
    </row>
    <row r="8" spans="2:12" ht="30.75" hidden="1" customHeight="1" outlineLevel="2" thickBot="1" x14ac:dyDescent="0.3"/>
    <row r="9" spans="2:12" ht="30.75" hidden="1" customHeight="1" outlineLevel="2" thickBot="1" x14ac:dyDescent="0.3">
      <c r="B9" s="823"/>
      <c r="C9" s="839" t="s">
        <v>1803</v>
      </c>
      <c r="D9" s="840" t="s">
        <v>1804</v>
      </c>
      <c r="E9" s="840" t="s">
        <v>1805</v>
      </c>
    </row>
    <row r="10" spans="2:12" ht="30.75" hidden="1" customHeight="1" outlineLevel="2" thickBot="1" x14ac:dyDescent="0.3">
      <c r="B10" s="396" t="s">
        <v>1765</v>
      </c>
      <c r="C10" s="821" t="str">
        <f>E10</f>
        <v>НЕТ</v>
      </c>
      <c r="D10" s="838" t="s">
        <v>223</v>
      </c>
      <c r="E10" s="821" t="str">
        <f>IF(OR('1.Содержание проекта'!C102="ДА",'1.Содержание проекта'!C107="ДА",'1.Содержание проекта'!C111="ДА",'1.Содержание проекта'!C113="ДА"),"ДА","НЕТ")</f>
        <v>НЕТ</v>
      </c>
      <c r="F10" s="822" t="str">
        <f t="shared" ref="F10:F16" ca="1" si="1">IF(ISERROR(_xlfn.FORMULATEXT(E10)),"Значение введено вручную","Формула")</f>
        <v>Формула</v>
      </c>
    </row>
    <row r="11" spans="2:12" ht="30.75" hidden="1" customHeight="1" outlineLevel="2" thickBot="1" x14ac:dyDescent="0.3">
      <c r="B11" s="396" t="s">
        <v>1839</v>
      </c>
      <c r="C11" s="821" t="str">
        <f t="shared" ref="C11:C16" si="2">E11</f>
        <v>НЕТ</v>
      </c>
      <c r="D11" s="838" t="s">
        <v>1801</v>
      </c>
      <c r="E11" s="821" t="str">
        <f>IF(OR('1.Содержание проекта'!D101="ДА",,SUM('1.Содержание проекта'!G117:G123)&gt;0),"ДА","НЕТ")</f>
        <v>НЕТ</v>
      </c>
      <c r="F11" s="822" t="str">
        <f t="shared" ca="1" si="1"/>
        <v>Формула</v>
      </c>
    </row>
    <row r="12" spans="2:12" ht="30.75" hidden="1" customHeight="1" outlineLevel="2" thickBot="1" x14ac:dyDescent="0.3">
      <c r="B12" s="396" t="s">
        <v>1766</v>
      </c>
      <c r="C12" s="821" t="str">
        <f t="shared" si="2"/>
        <v>НЕТ</v>
      </c>
      <c r="D12" s="838" t="s">
        <v>223</v>
      </c>
      <c r="E12" s="821" t="str">
        <f>IF(OR('1.Содержание проекта'!C103="ДА",'1.Содержание проекта'!C104="ДА"),"ДА","НЕТ")</f>
        <v>НЕТ</v>
      </c>
      <c r="F12" s="822" t="str">
        <f t="shared" ca="1" si="1"/>
        <v>Формула</v>
      </c>
    </row>
    <row r="13" spans="2:12" ht="30.75" hidden="1" customHeight="1" outlineLevel="2" thickBot="1" x14ac:dyDescent="0.3">
      <c r="B13" s="396" t="s">
        <v>1767</v>
      </c>
      <c r="C13" s="821" t="str">
        <f t="shared" si="2"/>
        <v>НЕТ</v>
      </c>
      <c r="D13" s="838" t="s">
        <v>1801</v>
      </c>
      <c r="E13" s="821" t="str">
        <f>'1.Содержание проекта'!C105</f>
        <v>НЕТ</v>
      </c>
      <c r="F13" s="822" t="str">
        <f t="shared" ca="1" si="1"/>
        <v>Формула</v>
      </c>
    </row>
    <row r="14" spans="2:12" ht="30.75" hidden="1" customHeight="1" outlineLevel="2" thickBot="1" x14ac:dyDescent="0.3">
      <c r="B14" s="396" t="s">
        <v>1768</v>
      </c>
      <c r="C14" s="821" t="str">
        <f t="shared" si="2"/>
        <v>НЕТ</v>
      </c>
      <c r="D14" s="838" t="s">
        <v>1801</v>
      </c>
      <c r="E14" s="821" t="str">
        <f>IF(SUM('1.Содержание проекта'!G86:G99)=0,"НЕТ","ДА")</f>
        <v>НЕТ</v>
      </c>
      <c r="F14" s="822" t="str">
        <f t="shared" ca="1" si="1"/>
        <v>Формула</v>
      </c>
    </row>
    <row r="15" spans="2:12" ht="30.75" hidden="1" customHeight="1" outlineLevel="2" thickBot="1" x14ac:dyDescent="0.3">
      <c r="B15" s="396" t="s">
        <v>1771</v>
      </c>
      <c r="C15" s="821" t="str">
        <f t="shared" si="2"/>
        <v>НЕТ</v>
      </c>
      <c r="D15" s="838" t="s">
        <v>223</v>
      </c>
      <c r="E15" s="821" t="str">
        <f>'1.Содержание проекта'!C115</f>
        <v>НЕТ</v>
      </c>
      <c r="F15" s="822" t="str">
        <f t="shared" ca="1" si="1"/>
        <v>Формула</v>
      </c>
    </row>
    <row r="16" spans="2:12" ht="16.5" collapsed="1" thickBot="1" x14ac:dyDescent="0.3">
      <c r="B16" s="396" t="s">
        <v>1772</v>
      </c>
      <c r="C16" s="821" t="str">
        <f t="shared" si="2"/>
        <v>НЕТ</v>
      </c>
      <c r="D16" s="838" t="s">
        <v>1801</v>
      </c>
      <c r="E16" s="821" t="str" cm="1">
        <f t="array" ref="E16">IF(OR('1.Содержание проекта'!C116="ДА",'1.Содержание проекта'!B170:C170="ДА"),"ДА","НЕТ")</f>
        <v>НЕТ</v>
      </c>
      <c r="F16" s="822" t="str">
        <f t="shared" ca="1" si="1"/>
        <v>Формула</v>
      </c>
    </row>
    <row r="17" spans="1:6" ht="30.75" hidden="1" customHeight="1" outlineLevel="2" thickBot="1" x14ac:dyDescent="0.3"/>
    <row r="18" spans="1:6" ht="33" customHeight="1" collapsed="1" thickBot="1" x14ac:dyDescent="0.3">
      <c r="B18" s="1278" t="s">
        <v>8</v>
      </c>
      <c r="C18" s="1280" t="s">
        <v>694</v>
      </c>
      <c r="D18" s="1281"/>
      <c r="E18" s="1282"/>
    </row>
    <row r="19" spans="1:6" ht="51.75" hidden="1" customHeight="1" outlineLevel="3" thickBot="1" x14ac:dyDescent="0.3">
      <c r="B19" s="1279"/>
      <c r="C19" s="198" t="s">
        <v>288</v>
      </c>
      <c r="D19" s="45" t="s">
        <v>285</v>
      </c>
      <c r="E19" s="43" t="s">
        <v>274</v>
      </c>
    </row>
    <row r="20" spans="1:6" ht="20.25" hidden="1" customHeight="1" outlineLevel="3" thickBot="1" x14ac:dyDescent="0.35">
      <c r="B20" s="395" t="s">
        <v>254</v>
      </c>
      <c r="C20" s="397">
        <f>'2.ФС для Заполнения'!O327</f>
        <v>16</v>
      </c>
      <c r="D20" s="50">
        <f>'2.ФС для Заполнения'!P327</f>
        <v>0</v>
      </c>
      <c r="E20" s="51">
        <f>'2.ФС для Заполнения'!Q327</f>
        <v>11</v>
      </c>
    </row>
    <row r="21" spans="1:6" s="46" customFormat="1" ht="20.25" hidden="1" customHeight="1" outlineLevel="3" thickBot="1" x14ac:dyDescent="0.3">
      <c r="B21" s="396" t="s">
        <v>252</v>
      </c>
      <c r="C21" s="217">
        <f>'2.ФС для Заполнения'!O328</f>
        <v>0</v>
      </c>
      <c r="D21" s="218">
        <f>'2.ФС для Заполнения'!P328</f>
        <v>0</v>
      </c>
      <c r="E21" s="219">
        <f>'2.ФС для Заполнения'!Q328</f>
        <v>0</v>
      </c>
    </row>
    <row r="22" spans="1:6" s="29" customFormat="1" ht="16.5" thickBot="1" x14ac:dyDescent="0.3">
      <c r="A22" s="46"/>
      <c r="B22" s="1"/>
      <c r="C22" s="1"/>
      <c r="D22" s="1"/>
      <c r="E22" s="1"/>
    </row>
    <row r="23" spans="1:6" s="29" customFormat="1" ht="48.75" thickBot="1" x14ac:dyDescent="0.35">
      <c r="A23" s="46"/>
      <c r="B23" s="395" t="s">
        <v>1760</v>
      </c>
      <c r="C23" s="395" t="s">
        <v>1759</v>
      </c>
      <c r="D23" s="395" t="s">
        <v>1757</v>
      </c>
      <c r="E23" s="816" t="s">
        <v>1758</v>
      </c>
      <c r="F23" s="818" t="s">
        <v>1764</v>
      </c>
    </row>
    <row r="24" spans="1:6" s="29" customFormat="1" ht="16.5" thickBot="1" x14ac:dyDescent="0.3">
      <c r="A24" s="46"/>
      <c r="B24" s="396">
        <f>SUMIFS('2.ФС для Заполнения'!O:O,'2.ФС для Заполнения'!G:G,Списки!K4)</f>
        <v>16</v>
      </c>
      <c r="C24" s="396">
        <f>SUMIFS('2.ФС для Заполнения'!O:O,'2.ФС для Заполнения'!G:G,Списки!K5)</f>
        <v>0</v>
      </c>
      <c r="D24" s="396">
        <f>SUMIFS('2.ФС для Заполнения'!O:O,'2.ФС для Заполнения'!G:G,Списки!K6)</f>
        <v>0</v>
      </c>
      <c r="E24" s="817">
        <f>SUMIFS('2.ФС для Заполнения'!O:O,'2.ФС для Заполнения'!G:G,Списки!K7)</f>
        <v>0</v>
      </c>
      <c r="F24" s="819">
        <f>SUM(C20:C21)-SUM(B24:E24)</f>
        <v>0</v>
      </c>
    </row>
    <row r="25" spans="1:6" s="29" customFormat="1" ht="15.75" x14ac:dyDescent="0.25">
      <c r="A25" s="46"/>
      <c r="B25" s="1"/>
      <c r="C25" s="1"/>
      <c r="D25" s="1"/>
      <c r="E25" s="1"/>
    </row>
    <row r="26" spans="1:6" s="29" customFormat="1" ht="16.5" thickBot="1" x14ac:dyDescent="0.3">
      <c r="A26" s="46"/>
      <c r="B26" s="1"/>
      <c r="C26" s="1"/>
      <c r="D26" s="1"/>
      <c r="E26" s="1"/>
    </row>
    <row r="27" spans="1:6" x14ac:dyDescent="0.25">
      <c r="A27" s="46"/>
      <c r="B27" s="1283" t="s">
        <v>308</v>
      </c>
      <c r="C27" s="1284"/>
      <c r="E27" s="1" t="s">
        <v>1743</v>
      </c>
    </row>
    <row r="28" spans="1:6" outlineLevel="1" x14ac:dyDescent="0.25">
      <c r="A28" s="46"/>
      <c r="B28" s="1272" t="s">
        <v>309</v>
      </c>
      <c r="C28" s="1273"/>
      <c r="D28" s="30" t="s">
        <v>1761</v>
      </c>
      <c r="E28" s="30">
        <f>'параметры расчета'!C3</f>
        <v>5000</v>
      </c>
    </row>
    <row r="29" spans="1:6" outlineLevel="1" x14ac:dyDescent="0.25">
      <c r="B29" s="1272" t="s">
        <v>310</v>
      </c>
      <c r="C29" s="1273"/>
      <c r="D29" s="30" t="s">
        <v>1762</v>
      </c>
      <c r="E29" s="30">
        <f>'параметры расчета'!C4</f>
        <v>5500</v>
      </c>
    </row>
    <row r="30" spans="1:6" ht="33" customHeight="1" outlineLevel="1" x14ac:dyDescent="0.25">
      <c r="B30" s="1272" t="s">
        <v>311</v>
      </c>
      <c r="C30" s="1273"/>
      <c r="D30" s="30" t="s">
        <v>1763</v>
      </c>
      <c r="E30" s="30">
        <f>'параметры расчета'!C5</f>
        <v>6500</v>
      </c>
    </row>
    <row r="31" spans="1:6" ht="15.75" outlineLevel="1" thickBot="1" x14ac:dyDescent="0.3">
      <c r="B31" s="1272" t="s">
        <v>312</v>
      </c>
      <c r="C31" s="1273"/>
    </row>
    <row r="32" spans="1:6" ht="24" customHeight="1" outlineLevel="1" collapsed="1" thickBot="1" x14ac:dyDescent="0.3">
      <c r="B32" s="512" t="s">
        <v>2161</v>
      </c>
      <c r="C32" s="513">
        <f>IF(C33=Списки!K7,E30,IF(C33=Списки!K6,E29,E28))</f>
        <v>5000</v>
      </c>
      <c r="D32" s="822" t="str">
        <f ca="1">IF(ISERROR(_xlfn.FORMULATEXT(C32)),"Значение введено вручную","Формула")</f>
        <v>Формула</v>
      </c>
    </row>
    <row r="33" spans="2:10" ht="24" hidden="1" customHeight="1" outlineLevel="2" thickBot="1" x14ac:dyDescent="0.3">
      <c r="B33" s="813" t="s">
        <v>1749</v>
      </c>
      <c r="C33" s="513" t="str">
        <f>IF(OR(E24&gt;0,E2="КОРП Заказчик",C4&gt;500,C11="ДА",C14="ДА",D20&gt;0,C13="ДА",C16="ДА"),Списки!K7,IF(OR(D24&gt;0,C10="ДА",C12="ДА",C4&gt;200,C5&gt;20,C15="ДА"),Списки!K6,IF(C24&gt;0,Списки!K5,Списки!K4)))</f>
        <v>Кейс-проект</v>
      </c>
      <c r="D33" s="822" t="str">
        <f ca="1">IF(ISERROR(_xlfn.FORMULATEXT(C33)),"Значение введено вручную","Формула")</f>
        <v>Формула</v>
      </c>
    </row>
    <row r="34" spans="2:10" ht="24" hidden="1" customHeight="1" outlineLevel="2" thickBot="1" x14ac:dyDescent="0.3">
      <c r="B34" s="814" t="s">
        <v>1750</v>
      </c>
      <c r="C34" s="815">
        <v>12</v>
      </c>
    </row>
    <row r="35" spans="2:10" ht="48" customHeight="1" outlineLevel="1" thickBot="1" x14ac:dyDescent="0.3">
      <c r="B35" s="181" t="s">
        <v>287</v>
      </c>
      <c r="C35" s="182">
        <v>16</v>
      </c>
    </row>
    <row r="36" spans="2:10" ht="37.5" customHeight="1" outlineLevel="1" collapsed="1" thickBot="1" x14ac:dyDescent="0.3">
      <c r="B36" s="183" t="s">
        <v>284</v>
      </c>
      <c r="C36" s="184">
        <f>SUM(C37:C39)</f>
        <v>24.5</v>
      </c>
      <c r="E36" s="811"/>
    </row>
    <row r="37" spans="2:10" ht="30" hidden="1" outlineLevel="2" x14ac:dyDescent="0.25">
      <c r="B37" s="164" t="s">
        <v>281</v>
      </c>
      <c r="C37" s="163">
        <f>'параметры расчета'!C241*0.1</f>
        <v>4.5</v>
      </c>
    </row>
    <row r="38" spans="2:10" ht="30" hidden="1" outlineLevel="2" x14ac:dyDescent="0.25">
      <c r="B38" s="164" t="s">
        <v>280</v>
      </c>
      <c r="C38" s="163">
        <v>8</v>
      </c>
    </row>
    <row r="39" spans="2:10" ht="30.75" hidden="1" outlineLevel="2" thickBot="1" x14ac:dyDescent="0.3">
      <c r="B39" s="174" t="s">
        <v>256</v>
      </c>
      <c r="C39" s="175">
        <v>12</v>
      </c>
    </row>
    <row r="40" spans="2:10" ht="15.75" outlineLevel="1" collapsed="1" thickBot="1" x14ac:dyDescent="0.3">
      <c r="B40" s="424" t="s">
        <v>717</v>
      </c>
      <c r="C40" s="186">
        <f>SUM(C41:C44)</f>
        <v>176</v>
      </c>
    </row>
    <row r="41" spans="2:10" ht="15" hidden="1" customHeight="1" outlineLevel="2" x14ac:dyDescent="0.25">
      <c r="B41" s="179" t="s">
        <v>702</v>
      </c>
      <c r="C41" s="184">
        <v>32</v>
      </c>
    </row>
    <row r="42" spans="2:10" ht="15" hidden="1" customHeight="1" outlineLevel="2" x14ac:dyDescent="0.25">
      <c r="B42" s="180" t="s">
        <v>703</v>
      </c>
      <c r="C42" s="163">
        <v>80</v>
      </c>
    </row>
    <row r="43" spans="2:10" ht="15" hidden="1" customHeight="1" outlineLevel="2" x14ac:dyDescent="0.25">
      <c r="B43" s="415" t="s">
        <v>704</v>
      </c>
      <c r="C43" s="423">
        <v>32</v>
      </c>
    </row>
    <row r="44" spans="2:10" ht="15" hidden="1" customHeight="1" outlineLevel="2" x14ac:dyDescent="0.25">
      <c r="B44" s="415" t="s">
        <v>705</v>
      </c>
      <c r="C44" s="423">
        <v>32</v>
      </c>
    </row>
    <row r="45" spans="2:10" ht="15" hidden="1" customHeight="1" outlineLevel="2" thickBot="1" x14ac:dyDescent="0.3">
      <c r="B45" s="425" t="s">
        <v>718</v>
      </c>
      <c r="C45" s="182">
        <v>112</v>
      </c>
    </row>
    <row r="46" spans="2:10" ht="49.5" customHeight="1" outlineLevel="1" collapsed="1" thickBot="1" x14ac:dyDescent="0.3">
      <c r="B46" s="185" t="s">
        <v>700</v>
      </c>
      <c r="C46" s="709">
        <v>40</v>
      </c>
      <c r="D46" s="185" t="s">
        <v>1777</v>
      </c>
      <c r="E46" s="185" t="s">
        <v>1781</v>
      </c>
      <c r="F46" s="185" t="s">
        <v>1782</v>
      </c>
      <c r="G46" s="185" t="s">
        <v>1784</v>
      </c>
      <c r="H46" s="185" t="s">
        <v>1783</v>
      </c>
      <c r="I46" s="25"/>
      <c r="J46" s="25"/>
    </row>
    <row r="47" spans="2:10" ht="30.75" hidden="1" customHeight="1" outlineLevel="2" x14ac:dyDescent="0.25">
      <c r="B47" s="179" t="s">
        <v>1778</v>
      </c>
      <c r="C47" s="710">
        <v>5</v>
      </c>
      <c r="D47" s="710">
        <v>16</v>
      </c>
      <c r="E47" s="713">
        <f>C5</f>
        <v>10</v>
      </c>
      <c r="F47" s="830">
        <f>ROUNDUP(E47/C47,0)</f>
        <v>2</v>
      </c>
      <c r="G47" s="713">
        <f>ROUNDUP(E5/C47,0)</f>
        <v>0</v>
      </c>
      <c r="H47" s="830">
        <f>ROUNDUP(G47*D47/8,1)</f>
        <v>0</v>
      </c>
      <c r="I47" s="1013"/>
      <c r="J47" s="1013"/>
    </row>
    <row r="48" spans="2:10" ht="30.75" hidden="1" customHeight="1" outlineLevel="2" x14ac:dyDescent="0.25">
      <c r="B48" s="180" t="s">
        <v>1779</v>
      </c>
      <c r="C48" s="711">
        <v>10</v>
      </c>
      <c r="D48" s="711">
        <v>4</v>
      </c>
      <c r="E48" s="714">
        <f>C6</f>
        <v>20</v>
      </c>
      <c r="F48" s="831">
        <f t="shared" ref="F48:F49" si="3">ROUNDUP(E48/C48,0)</f>
        <v>2</v>
      </c>
      <c r="G48" s="714">
        <f>ROUNDUP(E6/C48,0)</f>
        <v>0</v>
      </c>
      <c r="H48" s="831">
        <f t="shared" ref="H48:H49" si="4">ROUNDUP(G48*D48/8,1)</f>
        <v>0</v>
      </c>
      <c r="I48" s="1013"/>
      <c r="J48" s="1013"/>
    </row>
    <row r="49" spans="2:10" ht="30.75" hidden="1" outlineLevel="2" thickBot="1" x14ac:dyDescent="0.3">
      <c r="B49" s="166" t="s">
        <v>1780</v>
      </c>
      <c r="C49" s="712">
        <v>5</v>
      </c>
      <c r="D49" s="712">
        <v>24</v>
      </c>
      <c r="E49" s="715">
        <f>C7</f>
        <v>5</v>
      </c>
      <c r="F49" s="832">
        <f t="shared" si="3"/>
        <v>1</v>
      </c>
      <c r="G49" s="715">
        <f>ROUNDUP(E7/C49,0)</f>
        <v>0</v>
      </c>
      <c r="H49" s="832">
        <f t="shared" si="4"/>
        <v>0</v>
      </c>
      <c r="I49" s="1013"/>
      <c r="J49" s="1013"/>
    </row>
    <row r="50" spans="2:10" ht="15" customHeight="1" outlineLevel="1" x14ac:dyDescent="0.25">
      <c r="B50" s="176" t="s">
        <v>250</v>
      </c>
      <c r="C50" s="177">
        <f>(15000+4000*5+6000)/5</f>
        <v>8200</v>
      </c>
    </row>
    <row r="51" spans="2:10" ht="15" customHeight="1" outlineLevel="1" x14ac:dyDescent="0.25">
      <c r="B51" s="162" t="s">
        <v>1458</v>
      </c>
      <c r="C51" s="165">
        <f>SUM(C52:C57)</f>
        <v>0.62000000000000011</v>
      </c>
    </row>
    <row r="52" spans="2:10" ht="15" customHeight="1" outlineLevel="2" thickBot="1" x14ac:dyDescent="0.3">
      <c r="B52" s="655" t="s">
        <v>1456</v>
      </c>
      <c r="C52" s="656">
        <v>0.2</v>
      </c>
    </row>
    <row r="53" spans="2:10" ht="15" customHeight="1" outlineLevel="2" thickBot="1" x14ac:dyDescent="0.3">
      <c r="B53" s="655" t="s">
        <v>2233</v>
      </c>
      <c r="C53" s="656">
        <f>MAX(SUM(C52,C54),SUM(C56,C57))</f>
        <v>0.21000000000000002</v>
      </c>
      <c r="D53" s="822" t="str">
        <f ca="1">IF(ISERROR(_xlfn.FORMULATEXT(C53)),"Значение введено вручную","Формула")</f>
        <v>Формула</v>
      </c>
    </row>
    <row r="54" spans="2:10" ht="15" customHeight="1" outlineLevel="2" thickBot="1" x14ac:dyDescent="0.3">
      <c r="B54" s="655" t="s">
        <v>2240</v>
      </c>
      <c r="C54" s="656">
        <f>IF('1.Содержание проекта'!B$176="НЕТ",10%,0)+IF('1.Содержание проекта'!B$178="НЕТ",5%,0)+IF('1.Содержание проекта'!B$177="НЕТ",20%,0)</f>
        <v>0</v>
      </c>
      <c r="D54" s="822" t="str">
        <f ca="1">IF(ISERROR(_xlfn.FORMULATEXT(C54)),"Значение введено вручную","Формула")</f>
        <v>Формула</v>
      </c>
      <c r="E54" s="1019" t="s">
        <v>2248</v>
      </c>
    </row>
    <row r="55" spans="2:10" ht="15" customHeight="1" outlineLevel="2" thickBot="1" x14ac:dyDescent="0.3">
      <c r="B55" s="655" t="s">
        <v>2241</v>
      </c>
      <c r="C55" s="1020">
        <f>IF('1.Содержание проекта'!B$174="НЕТ",IF('1.Содержание проекта'!B$173="PM5",50%,15%)/L72*SUM(L76:L78),0)+IF('1.Содержание проекта'!B$175="НЕТ",10%,0)+IF(AND('1.Содержание проекта'!B180&gt;=30%,'1.Содержание проекта'!B181&lt;=10),0%,IF(AND(OR(C33="ПРОФ-проект",C33="КОРП-проект"),AND('1.Содержание проекта'!B180&lt;30%,'1.Содержание проекта'!B181&lt;=10)),2%*(E55/20),10%))</f>
        <v>0</v>
      </c>
      <c r="D55" s="822" t="str">
        <f ca="1">IF(ISERROR(_xlfn.FORMULATEXT(C55)),"Значение введено вручную","Формула")</f>
        <v>Формула</v>
      </c>
      <c r="E55" s="1016">
        <f>MAX(X73:X89)*5</f>
        <v>135</v>
      </c>
    </row>
    <row r="56" spans="2:10" ht="64.5" customHeight="1" outlineLevel="2" x14ac:dyDescent="0.25">
      <c r="B56" s="655" t="s">
        <v>1653</v>
      </c>
      <c r="C56" s="656">
        <v>0.01</v>
      </c>
      <c r="D56" s="807" t="s">
        <v>1652</v>
      </c>
    </row>
    <row r="57" spans="2:10" ht="15" customHeight="1" outlineLevel="2" x14ac:dyDescent="0.25">
      <c r="B57" s="655" t="s">
        <v>1457</v>
      </c>
      <c r="C57" s="656">
        <v>0.2</v>
      </c>
    </row>
    <row r="58" spans="2:10" ht="15" customHeight="1" outlineLevel="2" thickBot="1" x14ac:dyDescent="0.3">
      <c r="B58" s="166" t="s">
        <v>304</v>
      </c>
      <c r="C58" s="167">
        <v>0</v>
      </c>
    </row>
    <row r="59" spans="2:10" ht="15" customHeight="1" outlineLevel="2" thickBot="1" x14ac:dyDescent="0.3">
      <c r="B59" s="166" t="s">
        <v>2151</v>
      </c>
      <c r="C59" s="167">
        <v>7.0000000000000007E-2</v>
      </c>
      <c r="D59" s="945" t="s">
        <v>2155</v>
      </c>
    </row>
    <row r="60" spans="2:10" ht="15.75" outlineLevel="1" thickBot="1" x14ac:dyDescent="0.3"/>
    <row r="61" spans="2:10" ht="15.75" outlineLevel="1" thickBot="1" x14ac:dyDescent="0.3">
      <c r="B61" s="1274" t="s">
        <v>318</v>
      </c>
      <c r="C61" s="1275"/>
    </row>
    <row r="62" spans="2:10" ht="17.25" outlineLevel="1" collapsed="1" x14ac:dyDescent="0.25">
      <c r="B62" s="96" t="s">
        <v>317</v>
      </c>
      <c r="C62" s="97" t="str">
        <f>D2</f>
        <v>ДО 200</v>
      </c>
    </row>
    <row r="63" spans="2:10" ht="15.75" hidden="1" outlineLevel="2" thickBot="1" x14ac:dyDescent="0.3">
      <c r="B63" s="88" t="s">
        <v>219</v>
      </c>
      <c r="C63" s="85">
        <f>SUMIF('параметры расчета'!$C$245:$F$245,'Очередь 1 ПРОФ_КОРП'!$D$2,'параметры расчета'!$C$246:$F$246)</f>
        <v>1</v>
      </c>
      <c r="D63" s="822" t="str">
        <f t="shared" ref="D63:D68" ca="1" si="5">IF(ISERROR(_xlfn.FORMULATEXT(C63)),"Значение введено вручную","Формула")</f>
        <v>Формула</v>
      </c>
    </row>
    <row r="64" spans="2:10" ht="30" hidden="1" customHeight="1" outlineLevel="2" thickBot="1" x14ac:dyDescent="0.3">
      <c r="B64" s="172" t="s">
        <v>257</v>
      </c>
      <c r="C64" s="173">
        <f>SUMIF('параметры расчета'!$C$245:$F$245,'Очередь 1 ПРОФ_КОРП'!$D$2,'параметры расчета'!$C$247:$F$247)</f>
        <v>1</v>
      </c>
      <c r="D64" s="822" t="str">
        <f t="shared" ca="1" si="5"/>
        <v>Формула</v>
      </c>
    </row>
    <row r="65" spans="2:31" ht="15.75" hidden="1" customHeight="1" outlineLevel="2" thickBot="1" x14ac:dyDescent="0.3">
      <c r="B65" s="87" t="s">
        <v>709</v>
      </c>
      <c r="C65" s="178">
        <v>140</v>
      </c>
      <c r="D65" s="822" t="str">
        <f t="shared" ca="1" si="5"/>
        <v>Значение введено вручную</v>
      </c>
    </row>
    <row r="66" spans="2:31" ht="15.75" hidden="1" customHeight="1" outlineLevel="2" thickBot="1" x14ac:dyDescent="0.3">
      <c r="B66" s="90" t="s">
        <v>710</v>
      </c>
      <c r="C66" s="98">
        <v>40</v>
      </c>
      <c r="D66" s="822" t="str">
        <f t="shared" ca="1" si="5"/>
        <v>Значение введено вручную</v>
      </c>
    </row>
    <row r="67" spans="2:31" ht="15.75" hidden="1" customHeight="1" outlineLevel="2" thickBot="1" x14ac:dyDescent="0.3">
      <c r="B67" s="87" t="s">
        <v>527</v>
      </c>
      <c r="C67" s="178">
        <f>SUMIF('параметры расчета'!$C$245:$F$245,'Очередь 1 ПРОФ_КОРП'!$D$2,'параметры расчета'!C248:F248)</f>
        <v>6</v>
      </c>
      <c r="D67" s="822" t="str">
        <f t="shared" ca="1" si="5"/>
        <v>Формула</v>
      </c>
    </row>
    <row r="68" spans="2:31" ht="15.75" hidden="1" customHeight="1" outlineLevel="2" thickBot="1" x14ac:dyDescent="0.3">
      <c r="B68" s="90" t="s">
        <v>528</v>
      </c>
      <c r="C68" s="98">
        <f>SUMIF('параметры расчета'!$C$245:$F$245,'Очередь 1 ПРОФ_КОРП'!$D$2,'параметры расчета'!C249:F249)</f>
        <v>1</v>
      </c>
      <c r="D68" s="822" t="str">
        <f t="shared" ca="1" si="5"/>
        <v>Формула</v>
      </c>
    </row>
    <row r="69" spans="2:31" ht="15.75" customHeight="1" thickBot="1" x14ac:dyDescent="0.3"/>
    <row r="70" spans="2:31" ht="15.75" customHeight="1" thickBot="1" x14ac:dyDescent="0.3">
      <c r="G70" s="909">
        <f>$C56</f>
        <v>0.01</v>
      </c>
      <c r="H70" s="910">
        <f>$C57</f>
        <v>0.2</v>
      </c>
      <c r="I70" s="910">
        <f>$C53</f>
        <v>0.21000000000000002</v>
      </c>
      <c r="J70" s="910">
        <f>SUM($C54:$C55)</f>
        <v>0</v>
      </c>
      <c r="K70" s="911">
        <f>$C52</f>
        <v>0.2</v>
      </c>
      <c r="Q70" s="909">
        <f>$C56</f>
        <v>0.01</v>
      </c>
      <c r="R70" s="910">
        <f>$C57</f>
        <v>0.2</v>
      </c>
      <c r="S70" s="910">
        <f>$C53</f>
        <v>0.21000000000000002</v>
      </c>
      <c r="T70" s="910">
        <f>SUM($C54:$C55)</f>
        <v>0</v>
      </c>
      <c r="U70" s="911">
        <f>$C52</f>
        <v>0.2</v>
      </c>
    </row>
    <row r="71" spans="2:31" ht="56.25" customHeight="1" thickBot="1" x14ac:dyDescent="0.3">
      <c r="B71" s="59" t="s">
        <v>0</v>
      </c>
      <c r="C71" s="95" t="s">
        <v>323</v>
      </c>
      <c r="D71" s="103" t="s">
        <v>324</v>
      </c>
      <c r="E71" s="169" t="s">
        <v>2158</v>
      </c>
      <c r="F71" s="907" t="s">
        <v>2157</v>
      </c>
      <c r="G71" s="907" t="s">
        <v>1850</v>
      </c>
      <c r="H71" s="905" t="s">
        <v>1851</v>
      </c>
      <c r="I71" s="905" t="s">
        <v>2236</v>
      </c>
      <c r="J71" s="905" t="s">
        <v>2237</v>
      </c>
      <c r="K71" s="905" t="s">
        <v>249</v>
      </c>
      <c r="L71" s="908" t="s">
        <v>1852</v>
      </c>
      <c r="M71" s="904" t="s">
        <v>305</v>
      </c>
      <c r="N71" s="95" t="s">
        <v>1435</v>
      </c>
      <c r="O71" s="169" t="s">
        <v>2159</v>
      </c>
      <c r="P71" s="905" t="s">
        <v>2160</v>
      </c>
      <c r="Q71" s="905" t="s">
        <v>1850</v>
      </c>
      <c r="R71" s="905" t="s">
        <v>1851</v>
      </c>
      <c r="S71" s="905" t="s">
        <v>2236</v>
      </c>
      <c r="T71" s="905" t="s">
        <v>2237</v>
      </c>
      <c r="U71" s="905" t="s">
        <v>249</v>
      </c>
      <c r="V71" s="906" t="s">
        <v>1852</v>
      </c>
      <c r="W71" s="39" t="s">
        <v>305</v>
      </c>
      <c r="X71" s="414" t="s">
        <v>1434</v>
      </c>
      <c r="Y71" s="192" t="s">
        <v>298</v>
      </c>
      <c r="Z71" s="101" t="s">
        <v>292</v>
      </c>
      <c r="AA71" s="39" t="s">
        <v>293</v>
      </c>
      <c r="AB71" s="39" t="s">
        <v>294</v>
      </c>
      <c r="AC71" s="39" t="s">
        <v>295</v>
      </c>
      <c r="AD71" s="39" t="s">
        <v>297</v>
      </c>
      <c r="AE71" s="100" t="s">
        <v>296</v>
      </c>
    </row>
    <row r="72" spans="2:31" ht="16.5" thickBot="1" x14ac:dyDescent="0.3">
      <c r="B72" s="60" t="s">
        <v>253</v>
      </c>
      <c r="C72" s="63">
        <f>SUM(C73:C89)</f>
        <v>14878000</v>
      </c>
      <c r="D72" s="104"/>
      <c r="E72" s="170">
        <f>SUM(E73:E89)</f>
        <v>11107627.199999999</v>
      </c>
      <c r="F72" s="170">
        <f>SUM(F73:F89)</f>
        <v>10380960</v>
      </c>
      <c r="G72" s="170">
        <f>SUM(G73:G89)</f>
        <v>64080</v>
      </c>
      <c r="H72" s="170">
        <f>SUM(H73:H89)</f>
        <v>1281600</v>
      </c>
      <c r="I72" s="170">
        <f>SUM(I73:I90)</f>
        <v>1900329.48</v>
      </c>
      <c r="J72" s="170">
        <f>SUM(J73:J90)</f>
        <v>0</v>
      </c>
      <c r="K72" s="170">
        <f t="shared" ref="K72:R72" si="6">SUM(K73:K89)</f>
        <v>1281600</v>
      </c>
      <c r="L72" s="170">
        <f t="shared" si="6"/>
        <v>6408000</v>
      </c>
      <c r="M72" s="865">
        <f t="shared" si="6"/>
        <v>2076.192</v>
      </c>
      <c r="N72" s="171">
        <f t="shared" si="6"/>
        <v>53</v>
      </c>
      <c r="O72" s="170">
        <f t="shared" si="6"/>
        <v>11107627.199999999</v>
      </c>
      <c r="P72" s="170">
        <f t="shared" si="6"/>
        <v>10380960</v>
      </c>
      <c r="Q72" s="170">
        <f t="shared" si="6"/>
        <v>64080</v>
      </c>
      <c r="R72" s="170">
        <f t="shared" si="6"/>
        <v>1281600</v>
      </c>
      <c r="S72" s="170">
        <f>SUM(S73:S90)</f>
        <v>1900329.48</v>
      </c>
      <c r="T72" s="170">
        <f>SUM(T73:T90)</f>
        <v>0</v>
      </c>
      <c r="U72" s="170">
        <f>SUM(U73:U89)</f>
        <v>1281600</v>
      </c>
      <c r="V72" s="170">
        <f>SUM(V73:V89)</f>
        <v>6408000</v>
      </c>
      <c r="W72" s="55">
        <f>SUM(W73:W89)</f>
        <v>2076.192</v>
      </c>
      <c r="X72" s="171">
        <f>SUM(X73:X89)</f>
        <v>53</v>
      </c>
      <c r="Y72" s="193">
        <f t="shared" ref="Y72:AE72" si="7">AVERAGE(Y74:Y89)</f>
        <v>1.9156249999999999</v>
      </c>
      <c r="Z72" s="56">
        <f t="shared" si="7"/>
        <v>0.28437499999999993</v>
      </c>
      <c r="AA72" s="57">
        <f t="shared" si="7"/>
        <v>0.41538461538461546</v>
      </c>
      <c r="AB72" s="57">
        <f t="shared" si="7"/>
        <v>1</v>
      </c>
      <c r="AC72" s="57">
        <f t="shared" si="7"/>
        <v>0.80666666666666664</v>
      </c>
      <c r="AD72" s="57" t="e">
        <f t="shared" si="7"/>
        <v>#DIV/0!</v>
      </c>
      <c r="AE72" s="58">
        <f t="shared" si="7"/>
        <v>0.62857142857142867</v>
      </c>
    </row>
    <row r="73" spans="2:31" s="31" customFormat="1" outlineLevel="1" x14ac:dyDescent="0.25">
      <c r="B73" s="61" t="s">
        <v>283</v>
      </c>
      <c r="C73" s="64"/>
      <c r="D73" s="168"/>
      <c r="E73" s="878">
        <f>F73*(1+$C$59)</f>
        <v>0</v>
      </c>
      <c r="F73" s="878">
        <f>SUM(G73:L73)</f>
        <v>0</v>
      </c>
      <c r="G73" s="879">
        <f t="shared" ref="G73:J89" si="8">$L73*G$70</f>
        <v>0</v>
      </c>
      <c r="H73" s="880">
        <f t="shared" si="8"/>
        <v>0</v>
      </c>
      <c r="I73" s="880">
        <f t="shared" si="8"/>
        <v>0</v>
      </c>
      <c r="J73" s="880">
        <f>$L73*J$70</f>
        <v>0</v>
      </c>
      <c r="K73" s="880">
        <f t="shared" ref="K73:K90" si="9">$L73*K$70</f>
        <v>0</v>
      </c>
      <c r="L73" s="881"/>
      <c r="M73" s="866"/>
      <c r="N73" s="897"/>
      <c r="O73" s="878">
        <f>P73*(1+$C$59)</f>
        <v>0</v>
      </c>
      <c r="P73" s="878">
        <f>SUM(Q73:V73)</f>
        <v>0</v>
      </c>
      <c r="Q73" s="879">
        <f t="shared" ref="Q73:U89" si="10">$V73*Q$70</f>
        <v>0</v>
      </c>
      <c r="R73" s="880">
        <f t="shared" si="10"/>
        <v>0</v>
      </c>
      <c r="S73" s="880">
        <f t="shared" si="10"/>
        <v>0</v>
      </c>
      <c r="T73" s="880">
        <f>$V73*T$70</f>
        <v>0</v>
      </c>
      <c r="U73" s="880">
        <f t="shared" ref="U73" si="11">$V73*U$70</f>
        <v>0</v>
      </c>
      <c r="V73" s="882"/>
      <c r="W73" s="65"/>
      <c r="X73" s="897"/>
      <c r="Y73" s="194"/>
      <c r="Z73" s="73" t="s">
        <v>299</v>
      </c>
      <c r="AA73" s="74" t="s">
        <v>299</v>
      </c>
      <c r="AB73" s="74" t="s">
        <v>299</v>
      </c>
      <c r="AC73" s="74" t="s">
        <v>299</v>
      </c>
      <c r="AD73" s="74" t="s">
        <v>299</v>
      </c>
      <c r="AE73" s="75" t="s">
        <v>299</v>
      </c>
    </row>
    <row r="74" spans="2:31" s="31" customFormat="1" outlineLevel="1" x14ac:dyDescent="0.25">
      <c r="B74" s="61" t="s">
        <v>282</v>
      </c>
      <c r="C74" s="66">
        <f>($D20*$C35*$C32*C63+IF($E7&gt;0,$C50*$E7,0))</f>
        <v>0</v>
      </c>
      <c r="D74" s="168" t="str">
        <f>C13</f>
        <v>НЕТ</v>
      </c>
      <c r="E74" s="871">
        <f t="shared" ref="E74:E90" si="12">F74*(1+$C$59)</f>
        <v>0</v>
      </c>
      <c r="F74" s="871">
        <f t="shared" ref="F74:F90" si="13">SUM(G74:L74)</f>
        <v>0</v>
      </c>
      <c r="G74" s="873">
        <f t="shared" si="8"/>
        <v>0</v>
      </c>
      <c r="H74" s="870">
        <f t="shared" si="8"/>
        <v>0</v>
      </c>
      <c r="I74" s="870">
        <f t="shared" si="8"/>
        <v>0</v>
      </c>
      <c r="J74" s="870">
        <f t="shared" si="8"/>
        <v>0</v>
      </c>
      <c r="K74" s="870">
        <f t="shared" si="9"/>
        <v>0</v>
      </c>
      <c r="L74" s="68">
        <f t="shared" ref="L74:L90" si="14">IF(D74="Да",$C74,0)</f>
        <v>0</v>
      </c>
      <c r="M74" s="867">
        <f>F74/$C$32</f>
        <v>0</v>
      </c>
      <c r="N74" s="899">
        <f t="shared" ref="N74:N89" si="15">ROUNDUP(((L74/$C$32)/40)*1.2/$Y74,0)</f>
        <v>0</v>
      </c>
      <c r="O74" s="871">
        <f t="shared" ref="O74:O90" si="16">P74*(1+$C$59)</f>
        <v>0</v>
      </c>
      <c r="P74" s="871">
        <f t="shared" ref="P74:P90" si="17">SUM(Q74:V74)</f>
        <v>0</v>
      </c>
      <c r="Q74" s="873">
        <f t="shared" si="10"/>
        <v>0</v>
      </c>
      <c r="R74" s="870">
        <f t="shared" si="10"/>
        <v>0</v>
      </c>
      <c r="S74" s="870">
        <f t="shared" si="10"/>
        <v>0</v>
      </c>
      <c r="T74" s="870">
        <f t="shared" ref="T74:T90" si="18">$V74*T$70</f>
        <v>0</v>
      </c>
      <c r="U74" s="870">
        <f t="shared" si="10"/>
        <v>0</v>
      </c>
      <c r="V74" s="884">
        <f>IF($D74="Да",$C74*(1+$C$58),0)</f>
        <v>0</v>
      </c>
      <c r="W74" s="161">
        <f>P74/$C$32</f>
        <v>0</v>
      </c>
      <c r="X74" s="899">
        <f t="shared" ref="X74:X89" si="19">ROUNDUP(((V74/$C$32)/40)*1.2/$Y74,0)</f>
        <v>0</v>
      </c>
      <c r="Y74" s="195">
        <f>SUM(Z74:AE74)</f>
        <v>2</v>
      </c>
      <c r="Z74" s="76">
        <v>0.3</v>
      </c>
      <c r="AA74" s="77">
        <v>0.7</v>
      </c>
      <c r="AB74" s="77"/>
      <c r="AC74" s="77">
        <v>1</v>
      </c>
      <c r="AD74" s="77"/>
      <c r="AE74" s="83"/>
    </row>
    <row r="75" spans="2:31" s="31" customFormat="1" ht="30" outlineLevel="1" x14ac:dyDescent="0.25">
      <c r="B75" s="62" t="s">
        <v>699</v>
      </c>
      <c r="C75" s="86">
        <f>(($C20+$C21)*$C37*$C32*C63+IF(E7&gt;0,$E7*C50))</f>
        <v>360000</v>
      </c>
      <c r="D75" s="393" t="s">
        <v>246</v>
      </c>
      <c r="E75" s="871">
        <f t="shared" si="12"/>
        <v>624024</v>
      </c>
      <c r="F75" s="871">
        <f t="shared" si="13"/>
        <v>583200</v>
      </c>
      <c r="G75" s="873">
        <f t="shared" si="8"/>
        <v>3600</v>
      </c>
      <c r="H75" s="870">
        <f t="shared" si="8"/>
        <v>72000</v>
      </c>
      <c r="I75" s="870">
        <f t="shared" si="8"/>
        <v>75600</v>
      </c>
      <c r="J75" s="870">
        <f t="shared" si="8"/>
        <v>0</v>
      </c>
      <c r="K75" s="870">
        <f t="shared" si="9"/>
        <v>72000</v>
      </c>
      <c r="L75" s="874">
        <f t="shared" si="14"/>
        <v>360000</v>
      </c>
      <c r="M75" s="867">
        <f t="shared" ref="M75:M90" si="20">F75/$C$32</f>
        <v>116.64</v>
      </c>
      <c r="N75" s="899">
        <f t="shared" si="15"/>
        <v>2</v>
      </c>
      <c r="O75" s="871">
        <f t="shared" si="16"/>
        <v>624024</v>
      </c>
      <c r="P75" s="871">
        <f t="shared" si="17"/>
        <v>583200</v>
      </c>
      <c r="Q75" s="873">
        <f t="shared" si="10"/>
        <v>3600</v>
      </c>
      <c r="R75" s="870">
        <f t="shared" si="10"/>
        <v>72000</v>
      </c>
      <c r="S75" s="870">
        <f t="shared" si="10"/>
        <v>75600</v>
      </c>
      <c r="T75" s="870">
        <f t="shared" si="18"/>
        <v>0</v>
      </c>
      <c r="U75" s="870">
        <f t="shared" si="10"/>
        <v>72000</v>
      </c>
      <c r="V75" s="884">
        <f t="shared" ref="V75:V90" si="21">IF($D75="Да",$C75*(1+$C$58),0)</f>
        <v>360000</v>
      </c>
      <c r="W75" s="161">
        <f t="shared" ref="W75:W90" si="22">P75/$C$32</f>
        <v>116.64</v>
      </c>
      <c r="X75" s="899">
        <f t="shared" si="19"/>
        <v>2</v>
      </c>
      <c r="Y75" s="195">
        <f>SUM(Z75:AE75)</f>
        <v>2</v>
      </c>
      <c r="Z75" s="394">
        <v>0.3</v>
      </c>
      <c r="AA75" s="84">
        <v>0.7</v>
      </c>
      <c r="AB75" s="84"/>
      <c r="AC75" s="77">
        <v>1</v>
      </c>
      <c r="AD75" s="84"/>
      <c r="AE75" s="82"/>
    </row>
    <row r="76" spans="2:31" s="31" customFormat="1" outlineLevel="1" x14ac:dyDescent="0.25">
      <c r="B76" s="62" t="s">
        <v>1</v>
      </c>
      <c r="C76" s="86">
        <f>$C20*$C38*$C32*C63</f>
        <v>640000</v>
      </c>
      <c r="D76" s="168" t="s">
        <v>246</v>
      </c>
      <c r="E76" s="871">
        <f t="shared" si="12"/>
        <v>1109376</v>
      </c>
      <c r="F76" s="871">
        <f t="shared" si="13"/>
        <v>1036800</v>
      </c>
      <c r="G76" s="873">
        <f t="shared" si="8"/>
        <v>6400</v>
      </c>
      <c r="H76" s="870">
        <f t="shared" si="8"/>
        <v>128000</v>
      </c>
      <c r="I76" s="870">
        <f t="shared" si="8"/>
        <v>134400</v>
      </c>
      <c r="J76" s="870">
        <f t="shared" si="8"/>
        <v>0</v>
      </c>
      <c r="K76" s="870">
        <f t="shared" si="9"/>
        <v>128000</v>
      </c>
      <c r="L76" s="874">
        <f t="shared" si="14"/>
        <v>640000</v>
      </c>
      <c r="M76" s="867">
        <f t="shared" si="20"/>
        <v>207.36</v>
      </c>
      <c r="N76" s="899">
        <f t="shared" si="15"/>
        <v>4</v>
      </c>
      <c r="O76" s="871">
        <f t="shared" si="16"/>
        <v>1109376</v>
      </c>
      <c r="P76" s="871">
        <f t="shared" si="17"/>
        <v>1036800</v>
      </c>
      <c r="Q76" s="873">
        <f t="shared" si="10"/>
        <v>6400</v>
      </c>
      <c r="R76" s="870">
        <f t="shared" si="10"/>
        <v>128000</v>
      </c>
      <c r="S76" s="870">
        <f t="shared" si="10"/>
        <v>134400</v>
      </c>
      <c r="T76" s="870">
        <f t="shared" si="18"/>
        <v>0</v>
      </c>
      <c r="U76" s="870">
        <f t="shared" si="10"/>
        <v>128000</v>
      </c>
      <c r="V76" s="884">
        <f t="shared" si="21"/>
        <v>640000</v>
      </c>
      <c r="W76" s="161">
        <f t="shared" si="22"/>
        <v>207.36</v>
      </c>
      <c r="X76" s="899">
        <f t="shared" si="19"/>
        <v>4</v>
      </c>
      <c r="Y76" s="195">
        <f t="shared" ref="Y76:Y85" si="23">SUM(Z76:AE76)</f>
        <v>1.2</v>
      </c>
      <c r="Z76" s="76">
        <v>0.3</v>
      </c>
      <c r="AA76" s="77">
        <v>0.2</v>
      </c>
      <c r="AB76" s="77"/>
      <c r="AC76" s="77">
        <v>0.5</v>
      </c>
      <c r="AD76" s="77"/>
      <c r="AE76" s="83">
        <v>0.2</v>
      </c>
    </row>
    <row r="77" spans="2:31" s="31" customFormat="1" outlineLevel="1" x14ac:dyDescent="0.25">
      <c r="B77" s="62" t="s">
        <v>277</v>
      </c>
      <c r="C77" s="67">
        <f>$C20*$C39*$C32*C63</f>
        <v>960000</v>
      </c>
      <c r="D77" s="168" t="s">
        <v>246</v>
      </c>
      <c r="E77" s="871">
        <f t="shared" si="12"/>
        <v>1664064</v>
      </c>
      <c r="F77" s="871">
        <f t="shared" si="13"/>
        <v>1555200</v>
      </c>
      <c r="G77" s="873">
        <f t="shared" si="8"/>
        <v>9600</v>
      </c>
      <c r="H77" s="870">
        <f t="shared" si="8"/>
        <v>192000</v>
      </c>
      <c r="I77" s="870">
        <f t="shared" si="8"/>
        <v>201600.00000000003</v>
      </c>
      <c r="J77" s="870">
        <f t="shared" si="8"/>
        <v>0</v>
      </c>
      <c r="K77" s="870">
        <f t="shared" si="9"/>
        <v>192000</v>
      </c>
      <c r="L77" s="67">
        <f t="shared" si="14"/>
        <v>960000</v>
      </c>
      <c r="M77" s="867">
        <f t="shared" si="20"/>
        <v>311.04000000000002</v>
      </c>
      <c r="N77" s="899">
        <f t="shared" si="15"/>
        <v>3</v>
      </c>
      <c r="O77" s="871">
        <f t="shared" si="16"/>
        <v>1664064</v>
      </c>
      <c r="P77" s="871">
        <f t="shared" si="17"/>
        <v>1555200</v>
      </c>
      <c r="Q77" s="873">
        <f t="shared" si="10"/>
        <v>9600</v>
      </c>
      <c r="R77" s="870">
        <f t="shared" si="10"/>
        <v>192000</v>
      </c>
      <c r="S77" s="870">
        <f t="shared" si="10"/>
        <v>201600.00000000003</v>
      </c>
      <c r="T77" s="870">
        <f t="shared" si="18"/>
        <v>0</v>
      </c>
      <c r="U77" s="870">
        <f t="shared" si="10"/>
        <v>192000</v>
      </c>
      <c r="V77" s="885">
        <f t="shared" si="21"/>
        <v>960000</v>
      </c>
      <c r="W77" s="161">
        <f t="shared" si="22"/>
        <v>311.04000000000002</v>
      </c>
      <c r="X77" s="899">
        <f t="shared" si="19"/>
        <v>3</v>
      </c>
      <c r="Y77" s="195">
        <f t="shared" si="23"/>
        <v>2</v>
      </c>
      <c r="Z77" s="76">
        <v>0.3</v>
      </c>
      <c r="AA77" s="77">
        <v>0.2</v>
      </c>
      <c r="AB77" s="77"/>
      <c r="AC77" s="77">
        <v>1</v>
      </c>
      <c r="AD77" s="77"/>
      <c r="AE77" s="83">
        <v>0.5</v>
      </c>
    </row>
    <row r="78" spans="2:31" s="31" customFormat="1" outlineLevel="1" x14ac:dyDescent="0.25">
      <c r="B78" s="62" t="s">
        <v>278</v>
      </c>
      <c r="C78" s="68">
        <f>C21*C36*C32*C64</f>
        <v>0</v>
      </c>
      <c r="D78" s="168" t="s">
        <v>246</v>
      </c>
      <c r="E78" s="871">
        <f t="shared" si="12"/>
        <v>0</v>
      </c>
      <c r="F78" s="871">
        <f t="shared" si="13"/>
        <v>0</v>
      </c>
      <c r="G78" s="873">
        <f t="shared" si="8"/>
        <v>0</v>
      </c>
      <c r="H78" s="870">
        <f t="shared" si="8"/>
        <v>0</v>
      </c>
      <c r="I78" s="870">
        <f t="shared" si="8"/>
        <v>0</v>
      </c>
      <c r="J78" s="870">
        <f t="shared" si="8"/>
        <v>0</v>
      </c>
      <c r="K78" s="870">
        <f t="shared" si="9"/>
        <v>0</v>
      </c>
      <c r="L78" s="68">
        <f t="shared" si="14"/>
        <v>0</v>
      </c>
      <c r="M78" s="867">
        <f t="shared" si="20"/>
        <v>0</v>
      </c>
      <c r="N78" s="899">
        <f t="shared" si="15"/>
        <v>0</v>
      </c>
      <c r="O78" s="871">
        <f t="shared" si="16"/>
        <v>0</v>
      </c>
      <c r="P78" s="871">
        <f t="shared" si="17"/>
        <v>0</v>
      </c>
      <c r="Q78" s="873">
        <f t="shared" si="10"/>
        <v>0</v>
      </c>
      <c r="R78" s="870">
        <f t="shared" si="10"/>
        <v>0</v>
      </c>
      <c r="S78" s="870">
        <f t="shared" si="10"/>
        <v>0</v>
      </c>
      <c r="T78" s="870">
        <f t="shared" si="18"/>
        <v>0</v>
      </c>
      <c r="U78" s="870">
        <f t="shared" si="10"/>
        <v>0</v>
      </c>
      <c r="V78" s="883">
        <f t="shared" si="21"/>
        <v>0</v>
      </c>
      <c r="W78" s="161">
        <f t="shared" si="22"/>
        <v>0</v>
      </c>
      <c r="X78" s="899">
        <f t="shared" si="19"/>
        <v>0</v>
      </c>
      <c r="Y78" s="195">
        <f t="shared" si="23"/>
        <v>2</v>
      </c>
      <c r="Z78" s="76">
        <v>0.3</v>
      </c>
      <c r="AA78" s="77">
        <v>0.2</v>
      </c>
      <c r="AB78" s="77"/>
      <c r="AC78" s="77">
        <v>0.5</v>
      </c>
      <c r="AD78" s="77"/>
      <c r="AE78" s="83">
        <v>1</v>
      </c>
    </row>
    <row r="79" spans="2:31" s="31" customFormat="1" outlineLevel="1" x14ac:dyDescent="0.25">
      <c r="B79" s="62" t="s">
        <v>279</v>
      </c>
      <c r="C79" s="69">
        <f>$E20*250000</f>
        <v>2750000</v>
      </c>
      <c r="D79" s="168" t="str">
        <f>C14</f>
        <v>НЕТ</v>
      </c>
      <c r="E79" s="871">
        <f t="shared" si="12"/>
        <v>0</v>
      </c>
      <c r="F79" s="871">
        <f t="shared" si="13"/>
        <v>0</v>
      </c>
      <c r="G79" s="873">
        <f t="shared" si="8"/>
        <v>0</v>
      </c>
      <c r="H79" s="870">
        <f t="shared" si="8"/>
        <v>0</v>
      </c>
      <c r="I79" s="870">
        <f t="shared" si="8"/>
        <v>0</v>
      </c>
      <c r="J79" s="870">
        <f t="shared" si="8"/>
        <v>0</v>
      </c>
      <c r="K79" s="870">
        <f t="shared" si="9"/>
        <v>0</v>
      </c>
      <c r="L79" s="69">
        <f t="shared" si="14"/>
        <v>0</v>
      </c>
      <c r="M79" s="868">
        <f t="shared" si="20"/>
        <v>0</v>
      </c>
      <c r="N79" s="901">
        <f t="shared" si="15"/>
        <v>0</v>
      </c>
      <c r="O79" s="871">
        <f t="shared" si="16"/>
        <v>0</v>
      </c>
      <c r="P79" s="871">
        <f t="shared" si="17"/>
        <v>0</v>
      </c>
      <c r="Q79" s="873">
        <f t="shared" si="10"/>
        <v>0</v>
      </c>
      <c r="R79" s="870">
        <f t="shared" si="10"/>
        <v>0</v>
      </c>
      <c r="S79" s="870">
        <f t="shared" si="10"/>
        <v>0</v>
      </c>
      <c r="T79" s="870">
        <f t="shared" si="18"/>
        <v>0</v>
      </c>
      <c r="U79" s="870">
        <f t="shared" si="10"/>
        <v>0</v>
      </c>
      <c r="V79" s="886">
        <f t="shared" si="21"/>
        <v>0</v>
      </c>
      <c r="W79" s="70">
        <f t="shared" si="22"/>
        <v>0</v>
      </c>
      <c r="X79" s="901">
        <f t="shared" si="19"/>
        <v>0</v>
      </c>
      <c r="Y79" s="196">
        <f t="shared" si="23"/>
        <v>2.8</v>
      </c>
      <c r="Z79" s="76">
        <v>0.3</v>
      </c>
      <c r="AA79" s="77">
        <v>0.5</v>
      </c>
      <c r="AB79" s="77">
        <v>1</v>
      </c>
      <c r="AC79" s="77"/>
      <c r="AD79" s="77"/>
      <c r="AE79" s="83">
        <v>1</v>
      </c>
    </row>
    <row r="80" spans="2:31" s="36" customFormat="1" ht="30" outlineLevel="1" x14ac:dyDescent="0.25">
      <c r="B80" s="62" t="s">
        <v>272</v>
      </c>
      <c r="C80" s="71">
        <f>SUM(C75:C78)*0.1+C40*C32</f>
        <v>1076000</v>
      </c>
      <c r="D80" s="168" t="s">
        <v>246</v>
      </c>
      <c r="E80" s="871">
        <f t="shared" si="12"/>
        <v>1865138.4000000001</v>
      </c>
      <c r="F80" s="871">
        <f t="shared" si="13"/>
        <v>1743120</v>
      </c>
      <c r="G80" s="873">
        <f t="shared" si="8"/>
        <v>10760</v>
      </c>
      <c r="H80" s="870">
        <f t="shared" si="8"/>
        <v>215200</v>
      </c>
      <c r="I80" s="870">
        <f t="shared" si="8"/>
        <v>225960.00000000003</v>
      </c>
      <c r="J80" s="870">
        <f t="shared" si="8"/>
        <v>0</v>
      </c>
      <c r="K80" s="870">
        <f t="shared" si="9"/>
        <v>215200</v>
      </c>
      <c r="L80" s="71">
        <f t="shared" si="14"/>
        <v>1076000</v>
      </c>
      <c r="M80" s="867">
        <f t="shared" si="20"/>
        <v>348.62400000000002</v>
      </c>
      <c r="N80" s="899">
        <f t="shared" si="15"/>
        <v>7</v>
      </c>
      <c r="O80" s="871">
        <f t="shared" si="16"/>
        <v>1865138.4000000001</v>
      </c>
      <c r="P80" s="871">
        <f t="shared" si="17"/>
        <v>1743120</v>
      </c>
      <c r="Q80" s="873">
        <f t="shared" si="10"/>
        <v>10760</v>
      </c>
      <c r="R80" s="870">
        <f t="shared" si="10"/>
        <v>215200</v>
      </c>
      <c r="S80" s="870">
        <f t="shared" si="10"/>
        <v>225960.00000000003</v>
      </c>
      <c r="T80" s="870">
        <f t="shared" si="18"/>
        <v>0</v>
      </c>
      <c r="U80" s="870">
        <f t="shared" si="10"/>
        <v>215200</v>
      </c>
      <c r="V80" s="887">
        <f t="shared" si="21"/>
        <v>1076000</v>
      </c>
      <c r="W80" s="161">
        <f t="shared" si="22"/>
        <v>348.62400000000002</v>
      </c>
      <c r="X80" s="899">
        <f t="shared" si="19"/>
        <v>7</v>
      </c>
      <c r="Y80" s="195">
        <f t="shared" si="23"/>
        <v>1</v>
      </c>
      <c r="Z80" s="76">
        <v>0.3</v>
      </c>
      <c r="AA80" s="77">
        <v>0.2</v>
      </c>
      <c r="AB80" s="77"/>
      <c r="AC80" s="77">
        <v>0.5</v>
      </c>
      <c r="AD80" s="77"/>
      <c r="AE80" s="83"/>
    </row>
    <row r="81" spans="2:31" s="36" customFormat="1" ht="30" outlineLevel="1" x14ac:dyDescent="0.25">
      <c r="B81" s="62" t="s">
        <v>271</v>
      </c>
      <c r="C81" s="71">
        <f>SUM(C76:C77)*0.1+C45*C32</f>
        <v>720000</v>
      </c>
      <c r="D81" s="168" t="s">
        <v>246</v>
      </c>
      <c r="E81" s="871">
        <f t="shared" si="12"/>
        <v>1248048</v>
      </c>
      <c r="F81" s="871">
        <f t="shared" si="13"/>
        <v>1166400</v>
      </c>
      <c r="G81" s="873">
        <f t="shared" si="8"/>
        <v>7200</v>
      </c>
      <c r="H81" s="870">
        <f t="shared" si="8"/>
        <v>144000</v>
      </c>
      <c r="I81" s="870">
        <f t="shared" si="8"/>
        <v>151200</v>
      </c>
      <c r="J81" s="870">
        <f t="shared" si="8"/>
        <v>0</v>
      </c>
      <c r="K81" s="870">
        <f t="shared" si="9"/>
        <v>144000</v>
      </c>
      <c r="L81" s="71">
        <f t="shared" si="14"/>
        <v>720000</v>
      </c>
      <c r="M81" s="867">
        <f t="shared" si="20"/>
        <v>233.28</v>
      </c>
      <c r="N81" s="899">
        <f t="shared" si="15"/>
        <v>3</v>
      </c>
      <c r="O81" s="871">
        <f t="shared" si="16"/>
        <v>1248048</v>
      </c>
      <c r="P81" s="871">
        <f t="shared" si="17"/>
        <v>1166400</v>
      </c>
      <c r="Q81" s="873">
        <f t="shared" si="10"/>
        <v>7200</v>
      </c>
      <c r="R81" s="870">
        <f t="shared" si="10"/>
        <v>144000</v>
      </c>
      <c r="S81" s="870">
        <f t="shared" si="10"/>
        <v>151200</v>
      </c>
      <c r="T81" s="870">
        <f t="shared" si="18"/>
        <v>0</v>
      </c>
      <c r="U81" s="870">
        <f t="shared" si="10"/>
        <v>144000</v>
      </c>
      <c r="V81" s="887">
        <f t="shared" si="21"/>
        <v>720000</v>
      </c>
      <c r="W81" s="161">
        <f t="shared" si="22"/>
        <v>233.28</v>
      </c>
      <c r="X81" s="899">
        <f t="shared" si="19"/>
        <v>3</v>
      </c>
      <c r="Y81" s="195">
        <f t="shared" si="23"/>
        <v>1.5</v>
      </c>
      <c r="Z81" s="76">
        <v>0.3</v>
      </c>
      <c r="AA81" s="77">
        <v>0.2</v>
      </c>
      <c r="AB81" s="77"/>
      <c r="AC81" s="77">
        <v>1</v>
      </c>
      <c r="AD81" s="77"/>
      <c r="AE81" s="83"/>
    </row>
    <row r="82" spans="2:31" s="36" customFormat="1" ht="30" outlineLevel="1" x14ac:dyDescent="0.25">
      <c r="B82" s="62" t="s">
        <v>273</v>
      </c>
      <c r="C82" s="71">
        <f>SUM(C76:C77)*0.1</f>
        <v>160000</v>
      </c>
      <c r="D82" s="168" t="s">
        <v>246</v>
      </c>
      <c r="E82" s="871">
        <f t="shared" si="12"/>
        <v>277344</v>
      </c>
      <c r="F82" s="871">
        <f t="shared" si="13"/>
        <v>259200</v>
      </c>
      <c r="G82" s="873">
        <f t="shared" si="8"/>
        <v>1600</v>
      </c>
      <c r="H82" s="870">
        <f t="shared" si="8"/>
        <v>32000</v>
      </c>
      <c r="I82" s="870">
        <f t="shared" si="8"/>
        <v>33600</v>
      </c>
      <c r="J82" s="870">
        <f t="shared" si="8"/>
        <v>0</v>
      </c>
      <c r="K82" s="870">
        <f t="shared" si="9"/>
        <v>32000</v>
      </c>
      <c r="L82" s="71">
        <f t="shared" si="14"/>
        <v>160000</v>
      </c>
      <c r="M82" s="867">
        <f t="shared" si="20"/>
        <v>51.84</v>
      </c>
      <c r="N82" s="899">
        <f t="shared" si="15"/>
        <v>1</v>
      </c>
      <c r="O82" s="871">
        <f t="shared" si="16"/>
        <v>277344</v>
      </c>
      <c r="P82" s="871">
        <f t="shared" si="17"/>
        <v>259200</v>
      </c>
      <c r="Q82" s="873">
        <f t="shared" si="10"/>
        <v>1600</v>
      </c>
      <c r="R82" s="870">
        <f t="shared" si="10"/>
        <v>32000</v>
      </c>
      <c r="S82" s="870">
        <f t="shared" si="10"/>
        <v>33600</v>
      </c>
      <c r="T82" s="870">
        <f t="shared" si="18"/>
        <v>0</v>
      </c>
      <c r="U82" s="870">
        <f t="shared" si="10"/>
        <v>32000</v>
      </c>
      <c r="V82" s="887">
        <f t="shared" si="21"/>
        <v>160000</v>
      </c>
      <c r="W82" s="161">
        <f t="shared" si="22"/>
        <v>51.84</v>
      </c>
      <c r="X82" s="899">
        <f t="shared" si="19"/>
        <v>1</v>
      </c>
      <c r="Y82" s="195">
        <f t="shared" si="23"/>
        <v>2.5</v>
      </c>
      <c r="Z82" s="76">
        <v>0.3</v>
      </c>
      <c r="AA82" s="77">
        <v>0.2</v>
      </c>
      <c r="AB82" s="77"/>
      <c r="AC82" s="77">
        <v>1</v>
      </c>
      <c r="AD82" s="77"/>
      <c r="AE82" s="83">
        <v>1</v>
      </c>
    </row>
    <row r="83" spans="2:31" s="36" customFormat="1" ht="30" outlineLevel="1" x14ac:dyDescent="0.25">
      <c r="B83" s="62" t="s">
        <v>2304</v>
      </c>
      <c r="C83" s="71">
        <f>192000+96000*5</f>
        <v>672000</v>
      </c>
      <c r="D83" s="168" t="s">
        <v>246</v>
      </c>
      <c r="E83" s="871">
        <f t="shared" ref="E83" si="24">F83*(1+$C$59)</f>
        <v>1164844.8</v>
      </c>
      <c r="F83" s="871">
        <f t="shared" ref="F83" si="25">SUM(G83:L83)</f>
        <v>1088640</v>
      </c>
      <c r="G83" s="873">
        <f t="shared" si="8"/>
        <v>6720</v>
      </c>
      <c r="H83" s="870">
        <f t="shared" si="8"/>
        <v>134400</v>
      </c>
      <c r="I83" s="870">
        <f t="shared" si="8"/>
        <v>141120</v>
      </c>
      <c r="J83" s="870">
        <f t="shared" si="8"/>
        <v>0</v>
      </c>
      <c r="K83" s="870">
        <f t="shared" si="9"/>
        <v>134400</v>
      </c>
      <c r="L83" s="71">
        <f t="shared" ref="L83" si="26">IF(D83="Да",$C83,0)</f>
        <v>672000</v>
      </c>
      <c r="M83" s="867">
        <f>F83/$C$32</f>
        <v>217.72800000000001</v>
      </c>
      <c r="N83" s="899">
        <f t="shared" ref="N83" si="27">ROUNDUP(((L83/$C$32)/40)*1.2/$Y83,0)</f>
        <v>27</v>
      </c>
      <c r="O83" s="871">
        <f t="shared" ref="O83" si="28">P83*(1+$C$59)</f>
        <v>1164844.8</v>
      </c>
      <c r="P83" s="871">
        <f t="shared" ref="P83" si="29">SUM(Q83:V83)</f>
        <v>1088640</v>
      </c>
      <c r="Q83" s="873">
        <f t="shared" si="10"/>
        <v>6720</v>
      </c>
      <c r="R83" s="870">
        <f t="shared" si="10"/>
        <v>134400</v>
      </c>
      <c r="S83" s="870">
        <f t="shared" si="10"/>
        <v>141120</v>
      </c>
      <c r="T83" s="870">
        <f t="shared" si="18"/>
        <v>0</v>
      </c>
      <c r="U83" s="870">
        <f t="shared" si="10"/>
        <v>134400</v>
      </c>
      <c r="V83" s="887">
        <f t="shared" si="21"/>
        <v>672000</v>
      </c>
      <c r="W83" s="161">
        <f t="shared" ref="W83" si="30">P83/$C$32</f>
        <v>217.72800000000001</v>
      </c>
      <c r="X83" s="899">
        <f t="shared" ref="X83" si="31">ROUNDUP(((V83/$C$32)/40)*1.2/$Y83,0)</f>
        <v>27</v>
      </c>
      <c r="Y83" s="195">
        <f t="shared" ref="Y83" si="32">SUM(Z83:AE83)</f>
        <v>0.15000000000000002</v>
      </c>
      <c r="Z83" s="76">
        <v>0.05</v>
      </c>
      <c r="AA83" s="77"/>
      <c r="AB83" s="77"/>
      <c r="AC83" s="77">
        <v>0.1</v>
      </c>
      <c r="AD83" s="77"/>
      <c r="AE83" s="83"/>
    </row>
    <row r="84" spans="2:31" s="31" customFormat="1" ht="30" outlineLevel="1" x14ac:dyDescent="0.25">
      <c r="B84" s="62" t="s">
        <v>683</v>
      </c>
      <c r="C84" s="68">
        <f>(((C46+F49*D49)*$C32+H49*$C50))</f>
        <v>320000</v>
      </c>
      <c r="D84" s="168" t="s">
        <v>246</v>
      </c>
      <c r="E84" s="871">
        <f t="shared" si="12"/>
        <v>554688</v>
      </c>
      <c r="F84" s="871">
        <f t="shared" si="13"/>
        <v>518400</v>
      </c>
      <c r="G84" s="873">
        <f t="shared" si="8"/>
        <v>3200</v>
      </c>
      <c r="H84" s="870">
        <f t="shared" si="8"/>
        <v>64000</v>
      </c>
      <c r="I84" s="870">
        <f t="shared" si="8"/>
        <v>67200</v>
      </c>
      <c r="J84" s="870">
        <f t="shared" si="8"/>
        <v>0</v>
      </c>
      <c r="K84" s="870">
        <f t="shared" si="9"/>
        <v>64000</v>
      </c>
      <c r="L84" s="68">
        <f t="shared" si="14"/>
        <v>320000</v>
      </c>
      <c r="M84" s="867">
        <f t="shared" si="20"/>
        <v>103.68</v>
      </c>
      <c r="N84" s="899">
        <f t="shared" si="15"/>
        <v>2</v>
      </c>
      <c r="O84" s="871">
        <f t="shared" si="16"/>
        <v>554688</v>
      </c>
      <c r="P84" s="871">
        <f t="shared" si="17"/>
        <v>518400</v>
      </c>
      <c r="Q84" s="873">
        <f t="shared" si="10"/>
        <v>3200</v>
      </c>
      <c r="R84" s="870">
        <f t="shared" si="10"/>
        <v>64000</v>
      </c>
      <c r="S84" s="870">
        <f t="shared" si="10"/>
        <v>67200</v>
      </c>
      <c r="T84" s="870">
        <f t="shared" si="18"/>
        <v>0</v>
      </c>
      <c r="U84" s="870">
        <f t="shared" si="10"/>
        <v>64000</v>
      </c>
      <c r="V84" s="883">
        <f t="shared" si="21"/>
        <v>320000</v>
      </c>
      <c r="W84" s="161">
        <f t="shared" si="22"/>
        <v>103.68</v>
      </c>
      <c r="X84" s="899">
        <f t="shared" si="19"/>
        <v>2</v>
      </c>
      <c r="Y84" s="195">
        <f t="shared" si="23"/>
        <v>1.3</v>
      </c>
      <c r="Z84" s="76">
        <v>0.3</v>
      </c>
      <c r="AA84" s="77"/>
      <c r="AB84" s="77"/>
      <c r="AC84" s="77">
        <v>1</v>
      </c>
      <c r="AD84" s="77"/>
      <c r="AE84" s="83"/>
    </row>
    <row r="85" spans="2:31" s="31" customFormat="1" outlineLevel="1" x14ac:dyDescent="0.25">
      <c r="B85" s="62" t="s">
        <v>588</v>
      </c>
      <c r="C85" s="68">
        <f>((F47*D47+F48*D48)*$C32+SUM(H47:H48)*$C50)</f>
        <v>200000</v>
      </c>
      <c r="D85" s="168" t="s">
        <v>246</v>
      </c>
      <c r="E85" s="871">
        <f t="shared" si="12"/>
        <v>346680</v>
      </c>
      <c r="F85" s="871">
        <f t="shared" si="13"/>
        <v>324000</v>
      </c>
      <c r="G85" s="873">
        <f t="shared" si="8"/>
        <v>2000</v>
      </c>
      <c r="H85" s="870">
        <f t="shared" si="8"/>
        <v>40000</v>
      </c>
      <c r="I85" s="870">
        <f t="shared" si="8"/>
        <v>42000.000000000007</v>
      </c>
      <c r="J85" s="870">
        <f t="shared" si="8"/>
        <v>0</v>
      </c>
      <c r="K85" s="870">
        <f t="shared" si="9"/>
        <v>40000</v>
      </c>
      <c r="L85" s="68">
        <f t="shared" si="14"/>
        <v>200000</v>
      </c>
      <c r="M85" s="867">
        <f t="shared" si="20"/>
        <v>64.8</v>
      </c>
      <c r="N85" s="899">
        <f t="shared" si="15"/>
        <v>1</v>
      </c>
      <c r="O85" s="871">
        <f t="shared" si="16"/>
        <v>346680</v>
      </c>
      <c r="P85" s="871">
        <f t="shared" si="17"/>
        <v>324000</v>
      </c>
      <c r="Q85" s="873">
        <f t="shared" si="10"/>
        <v>2000</v>
      </c>
      <c r="R85" s="870">
        <f t="shared" si="10"/>
        <v>40000</v>
      </c>
      <c r="S85" s="870">
        <f t="shared" si="10"/>
        <v>42000.000000000007</v>
      </c>
      <c r="T85" s="870">
        <f t="shared" si="18"/>
        <v>0</v>
      </c>
      <c r="U85" s="870">
        <f t="shared" si="10"/>
        <v>40000</v>
      </c>
      <c r="V85" s="883">
        <f t="shared" si="21"/>
        <v>200000</v>
      </c>
      <c r="W85" s="161">
        <f t="shared" si="22"/>
        <v>64.8</v>
      </c>
      <c r="X85" s="899">
        <f t="shared" si="19"/>
        <v>1</v>
      </c>
      <c r="Y85" s="195">
        <f t="shared" si="23"/>
        <v>1.3</v>
      </c>
      <c r="Z85" s="76">
        <v>0.3</v>
      </c>
      <c r="AA85" s="77"/>
      <c r="AB85" s="77"/>
      <c r="AC85" s="77">
        <v>1</v>
      </c>
      <c r="AD85" s="77"/>
      <c r="AE85" s="83"/>
    </row>
    <row r="86" spans="2:31" s="31" customFormat="1" outlineLevel="1" x14ac:dyDescent="0.25">
      <c r="B86" s="62" t="s">
        <v>697</v>
      </c>
      <c r="C86" s="399">
        <f>(((($C5*C67+C6*C68)*0.5+C65)*$C32+$E5*$C50))</f>
        <v>900000</v>
      </c>
      <c r="D86" s="393" t="s">
        <v>246</v>
      </c>
      <c r="E86" s="871">
        <f t="shared" si="12"/>
        <v>1560060</v>
      </c>
      <c r="F86" s="871">
        <f t="shared" si="13"/>
        <v>1458000</v>
      </c>
      <c r="G86" s="873">
        <f t="shared" si="8"/>
        <v>9000</v>
      </c>
      <c r="H86" s="870">
        <f t="shared" si="8"/>
        <v>180000</v>
      </c>
      <c r="I86" s="870">
        <f t="shared" si="8"/>
        <v>189000.00000000003</v>
      </c>
      <c r="J86" s="870">
        <f t="shared" si="8"/>
        <v>0</v>
      </c>
      <c r="K86" s="870">
        <f t="shared" si="9"/>
        <v>180000</v>
      </c>
      <c r="L86" s="875">
        <f t="shared" si="14"/>
        <v>900000</v>
      </c>
      <c r="M86" s="867">
        <f t="shared" si="20"/>
        <v>291.60000000000002</v>
      </c>
      <c r="N86" s="899">
        <f t="shared" si="15"/>
        <v>2</v>
      </c>
      <c r="O86" s="871">
        <f t="shared" si="16"/>
        <v>1560060</v>
      </c>
      <c r="P86" s="871">
        <f t="shared" si="17"/>
        <v>1458000</v>
      </c>
      <c r="Q86" s="873">
        <f t="shared" si="10"/>
        <v>9000</v>
      </c>
      <c r="R86" s="870">
        <f t="shared" si="10"/>
        <v>180000</v>
      </c>
      <c r="S86" s="870">
        <f t="shared" si="10"/>
        <v>189000.00000000003</v>
      </c>
      <c r="T86" s="870">
        <f t="shared" si="18"/>
        <v>0</v>
      </c>
      <c r="U86" s="870">
        <f t="shared" si="10"/>
        <v>180000</v>
      </c>
      <c r="V86" s="888">
        <f t="shared" si="21"/>
        <v>900000</v>
      </c>
      <c r="W86" s="161">
        <f t="shared" si="22"/>
        <v>291.60000000000002</v>
      </c>
      <c r="X86" s="899">
        <f t="shared" si="19"/>
        <v>2</v>
      </c>
      <c r="Y86" s="195">
        <f>SUM(Z86:AE87)</f>
        <v>3.7</v>
      </c>
      <c r="Z86" s="394">
        <v>0.3</v>
      </c>
      <c r="AA86" s="84">
        <v>0.7</v>
      </c>
      <c r="AB86" s="84"/>
      <c r="AC86" s="84">
        <v>1</v>
      </c>
      <c r="AD86" s="84"/>
      <c r="AE86" s="83">
        <v>0.5</v>
      </c>
    </row>
    <row r="87" spans="2:31" s="31" customFormat="1" outlineLevel="1" x14ac:dyDescent="0.25">
      <c r="B87" s="62" t="s">
        <v>698</v>
      </c>
      <c r="C87" s="399">
        <f>(((($C5*C67+C6*C68)*0.5+C66)*$C32+$E5*$C50))</f>
        <v>400000</v>
      </c>
      <c r="D87" s="393" t="s">
        <v>246</v>
      </c>
      <c r="E87" s="871">
        <f t="shared" si="12"/>
        <v>693360</v>
      </c>
      <c r="F87" s="871">
        <f t="shared" si="13"/>
        <v>648000</v>
      </c>
      <c r="G87" s="873">
        <f t="shared" si="8"/>
        <v>4000</v>
      </c>
      <c r="H87" s="870">
        <f t="shared" si="8"/>
        <v>80000</v>
      </c>
      <c r="I87" s="870">
        <f t="shared" si="8"/>
        <v>84000.000000000015</v>
      </c>
      <c r="J87" s="870">
        <f t="shared" si="8"/>
        <v>0</v>
      </c>
      <c r="K87" s="870">
        <f t="shared" si="9"/>
        <v>80000</v>
      </c>
      <c r="L87" s="875">
        <f t="shared" si="14"/>
        <v>400000</v>
      </c>
      <c r="M87" s="867">
        <f t="shared" si="20"/>
        <v>129.6</v>
      </c>
      <c r="N87" s="899">
        <f t="shared" si="15"/>
        <v>1</v>
      </c>
      <c r="O87" s="871">
        <f t="shared" si="16"/>
        <v>693360</v>
      </c>
      <c r="P87" s="871">
        <f t="shared" si="17"/>
        <v>648000</v>
      </c>
      <c r="Q87" s="873">
        <f t="shared" si="10"/>
        <v>4000</v>
      </c>
      <c r="R87" s="870">
        <f t="shared" si="10"/>
        <v>80000</v>
      </c>
      <c r="S87" s="870">
        <f t="shared" si="10"/>
        <v>84000.000000000015</v>
      </c>
      <c r="T87" s="870">
        <f t="shared" si="18"/>
        <v>0</v>
      </c>
      <c r="U87" s="870">
        <f t="shared" si="10"/>
        <v>80000</v>
      </c>
      <c r="V87" s="888">
        <f t="shared" si="21"/>
        <v>400000</v>
      </c>
      <c r="W87" s="161">
        <f t="shared" si="22"/>
        <v>129.6</v>
      </c>
      <c r="X87" s="899">
        <f t="shared" si="19"/>
        <v>1</v>
      </c>
      <c r="Y87" s="195">
        <f>SUM(Z87:AE88)</f>
        <v>3.2</v>
      </c>
      <c r="Z87" s="394">
        <v>0.3</v>
      </c>
      <c r="AA87" s="84">
        <v>0.2</v>
      </c>
      <c r="AB87" s="84"/>
      <c r="AC87" s="84">
        <v>0.5</v>
      </c>
      <c r="AD87" s="84"/>
      <c r="AE87" s="83">
        <v>0.2</v>
      </c>
    </row>
    <row r="88" spans="2:31" s="31" customFormat="1" ht="45" outlineLevel="1" x14ac:dyDescent="0.25">
      <c r="B88" s="62" t="s">
        <v>276</v>
      </c>
      <c r="C88" s="99">
        <f>5000000</f>
        <v>5000000</v>
      </c>
      <c r="D88" s="168" t="str">
        <f>C15</f>
        <v>НЕТ</v>
      </c>
      <c r="E88" s="871">
        <f t="shared" si="12"/>
        <v>0</v>
      </c>
      <c r="F88" s="871">
        <f t="shared" si="13"/>
        <v>0</v>
      </c>
      <c r="G88" s="873">
        <f t="shared" si="8"/>
        <v>0</v>
      </c>
      <c r="H88" s="870">
        <f t="shared" si="8"/>
        <v>0</v>
      </c>
      <c r="I88" s="870">
        <f t="shared" si="8"/>
        <v>0</v>
      </c>
      <c r="J88" s="870">
        <f t="shared" si="8"/>
        <v>0</v>
      </c>
      <c r="K88" s="870">
        <f t="shared" si="9"/>
        <v>0</v>
      </c>
      <c r="L88" s="99">
        <f t="shared" si="14"/>
        <v>0</v>
      </c>
      <c r="M88" s="867">
        <f t="shared" si="20"/>
        <v>0</v>
      </c>
      <c r="N88" s="899">
        <f t="shared" si="15"/>
        <v>0</v>
      </c>
      <c r="O88" s="871">
        <f t="shared" si="16"/>
        <v>0</v>
      </c>
      <c r="P88" s="871">
        <f t="shared" si="17"/>
        <v>0</v>
      </c>
      <c r="Q88" s="873">
        <f t="shared" si="10"/>
        <v>0</v>
      </c>
      <c r="R88" s="870">
        <f t="shared" si="10"/>
        <v>0</v>
      </c>
      <c r="S88" s="870">
        <f t="shared" si="10"/>
        <v>0</v>
      </c>
      <c r="T88" s="870">
        <f t="shared" si="18"/>
        <v>0</v>
      </c>
      <c r="U88" s="870">
        <f t="shared" si="10"/>
        <v>0</v>
      </c>
      <c r="V88" s="889">
        <f t="shared" si="21"/>
        <v>0</v>
      </c>
      <c r="W88" s="161">
        <f t="shared" si="22"/>
        <v>0</v>
      </c>
      <c r="X88" s="899">
        <f t="shared" si="19"/>
        <v>0</v>
      </c>
      <c r="Y88" s="195">
        <f>SUM(Z88:AE88)</f>
        <v>2</v>
      </c>
      <c r="Z88" s="394">
        <v>0.3</v>
      </c>
      <c r="AA88" s="84">
        <v>0.7</v>
      </c>
      <c r="AB88" s="77"/>
      <c r="AC88" s="77">
        <v>1</v>
      </c>
      <c r="AD88" s="77"/>
      <c r="AE88" s="83"/>
    </row>
    <row r="89" spans="2:31" s="31" customFormat="1" ht="30" outlineLevel="1" x14ac:dyDescent="0.25">
      <c r="B89" s="62" t="s">
        <v>275</v>
      </c>
      <c r="C89" s="99">
        <f>C81</f>
        <v>720000</v>
      </c>
      <c r="D89" s="168" t="s">
        <v>255</v>
      </c>
      <c r="E89" s="871">
        <f t="shared" si="12"/>
        <v>0</v>
      </c>
      <c r="F89" s="871">
        <f t="shared" si="13"/>
        <v>0</v>
      </c>
      <c r="G89" s="873">
        <f t="shared" si="8"/>
        <v>0</v>
      </c>
      <c r="H89" s="870">
        <f t="shared" si="8"/>
        <v>0</v>
      </c>
      <c r="I89" s="986">
        <f t="shared" si="8"/>
        <v>0</v>
      </c>
      <c r="J89" s="986">
        <f t="shared" si="8"/>
        <v>0</v>
      </c>
      <c r="K89" s="870">
        <f t="shared" si="9"/>
        <v>0</v>
      </c>
      <c r="L89" s="99">
        <f t="shared" si="14"/>
        <v>0</v>
      </c>
      <c r="M89" s="867">
        <f t="shared" si="20"/>
        <v>0</v>
      </c>
      <c r="N89" s="899">
        <f t="shared" si="15"/>
        <v>0</v>
      </c>
      <c r="O89" s="871">
        <f t="shared" si="16"/>
        <v>0</v>
      </c>
      <c r="P89" s="871">
        <f t="shared" si="17"/>
        <v>0</v>
      </c>
      <c r="Q89" s="873">
        <f t="shared" si="10"/>
        <v>0</v>
      </c>
      <c r="R89" s="870">
        <f t="shared" si="10"/>
        <v>0</v>
      </c>
      <c r="S89" s="986">
        <f t="shared" si="10"/>
        <v>0</v>
      </c>
      <c r="T89" s="986">
        <f t="shared" si="18"/>
        <v>0</v>
      </c>
      <c r="U89" s="870">
        <f t="shared" si="10"/>
        <v>0</v>
      </c>
      <c r="V89" s="889">
        <f t="shared" si="21"/>
        <v>0</v>
      </c>
      <c r="W89" s="161">
        <f t="shared" si="22"/>
        <v>0</v>
      </c>
      <c r="X89" s="899">
        <f t="shared" si="19"/>
        <v>0</v>
      </c>
      <c r="Y89" s="195">
        <f>SUM(Z89:AE89)</f>
        <v>2</v>
      </c>
      <c r="Z89" s="394">
        <v>0.3</v>
      </c>
      <c r="AA89" s="84">
        <v>0.7</v>
      </c>
      <c r="AB89" s="77"/>
      <c r="AC89" s="77">
        <v>1</v>
      </c>
      <c r="AD89" s="77"/>
      <c r="AE89" s="83"/>
    </row>
    <row r="90" spans="2:31" s="31" customFormat="1" ht="15.75" outlineLevel="1" thickBot="1" x14ac:dyDescent="0.3">
      <c r="B90" s="991" t="s">
        <v>2227</v>
      </c>
      <c r="C90" s="992">
        <v>2641188</v>
      </c>
      <c r="D90" s="168" t="s">
        <v>246</v>
      </c>
      <c r="E90" s="872">
        <f t="shared" si="12"/>
        <v>4578235.2792000007</v>
      </c>
      <c r="F90" s="872">
        <f t="shared" si="13"/>
        <v>4278724.5600000005</v>
      </c>
      <c r="G90" s="876">
        <f t="shared" ref="G90:J90" si="33">$L90*G$70</f>
        <v>26411.88</v>
      </c>
      <c r="H90" s="877">
        <f t="shared" si="33"/>
        <v>528237.6</v>
      </c>
      <c r="I90" s="996">
        <f t="shared" si="33"/>
        <v>554649.4800000001</v>
      </c>
      <c r="J90" s="996">
        <f t="shared" si="33"/>
        <v>0</v>
      </c>
      <c r="K90" s="877">
        <f t="shared" si="9"/>
        <v>528237.6</v>
      </c>
      <c r="L90" s="106">
        <f t="shared" si="14"/>
        <v>2641188</v>
      </c>
      <c r="M90" s="869">
        <f t="shared" si="20"/>
        <v>855.74491200000011</v>
      </c>
      <c r="N90" s="902"/>
      <c r="O90" s="872">
        <f t="shared" si="16"/>
        <v>4578235.2792000007</v>
      </c>
      <c r="P90" s="872">
        <f t="shared" si="17"/>
        <v>4278724.5600000005</v>
      </c>
      <c r="Q90" s="876">
        <f t="shared" ref="Q90:U90" si="34">$V90*Q$70</f>
        <v>26411.88</v>
      </c>
      <c r="R90" s="877">
        <f t="shared" si="34"/>
        <v>528237.6</v>
      </c>
      <c r="S90" s="996">
        <f t="shared" si="34"/>
        <v>554649.4800000001</v>
      </c>
      <c r="T90" s="996">
        <f t="shared" si="18"/>
        <v>0</v>
      </c>
      <c r="U90" s="877">
        <f t="shared" si="34"/>
        <v>528237.6</v>
      </c>
      <c r="V90" s="890">
        <f t="shared" si="21"/>
        <v>2641188</v>
      </c>
      <c r="W90" s="72">
        <f t="shared" si="22"/>
        <v>855.74491200000011</v>
      </c>
      <c r="X90" s="902"/>
      <c r="Y90" s="195">
        <f>SUM(Z90:AE90)</f>
        <v>0.4</v>
      </c>
      <c r="Z90" s="78"/>
      <c r="AA90" s="79"/>
      <c r="AB90" s="79"/>
      <c r="AC90" s="79">
        <v>0.2</v>
      </c>
      <c r="AD90" s="79"/>
      <c r="AE90" s="80">
        <v>0.2</v>
      </c>
    </row>
    <row r="91" spans="2:31" ht="30" x14ac:dyDescent="0.25">
      <c r="K91" s="2"/>
      <c r="M91" s="2" t="s">
        <v>1788</v>
      </c>
      <c r="N91" s="2">
        <f>N72/4</f>
        <v>13.25</v>
      </c>
      <c r="V91" s="2" t="s">
        <v>1788</v>
      </c>
      <c r="W91" s="2">
        <f>X72/4</f>
        <v>13.25</v>
      </c>
    </row>
    <row r="92" spans="2:31" x14ac:dyDescent="0.25">
      <c r="U92" s="833" t="s">
        <v>1799</v>
      </c>
      <c r="V92" s="834" t="s">
        <v>1793</v>
      </c>
      <c r="W92" s="835" t="s">
        <v>1794</v>
      </c>
    </row>
  </sheetData>
  <autoFilter ref="B19:E58" xr:uid="{00000000-0009-0000-0000-00000B000000}"/>
  <customSheetViews>
    <customSheetView guid="{4C101172-6A1B-4680-8EB9-7A8F363D5714}" scale="85" showAutoFilter="1" hiddenRows="1" hiddenColumns="1">
      <selection activeCell="D18" sqref="D18"/>
      <pageMargins left="0.7" right="0.7" top="0.75" bottom="0.75" header="0.3" footer="0.3"/>
      <pageSetup paperSize="9" orientation="portrait" r:id="rId1"/>
      <autoFilter ref="B13:E152" xr:uid="{6B6224C8-7A74-4E30-A730-E0AEAD1C2B69}"/>
    </customSheetView>
  </customSheetViews>
  <mergeCells count="9">
    <mergeCell ref="B2:C2"/>
    <mergeCell ref="C18:E18"/>
    <mergeCell ref="B18:B19"/>
    <mergeCell ref="B61:C61"/>
    <mergeCell ref="B31:C31"/>
    <mergeCell ref="B30:C30"/>
    <mergeCell ref="B29:C29"/>
    <mergeCell ref="B28:C28"/>
    <mergeCell ref="B27:C27"/>
  </mergeCells>
  <phoneticPr fontId="14" type="noConversion"/>
  <conditionalFormatting sqref="C10:C16">
    <cfRule type="cellIs" dxfId="146" priority="78" operator="equal">
      <formula>"ДА"</formula>
    </cfRule>
    <cfRule type="cellIs" dxfId="145" priority="79" operator="equal">
      <formula>"НЕТ"</formula>
    </cfRule>
  </conditionalFormatting>
  <conditionalFormatting sqref="C73:C90">
    <cfRule type="expression" dxfId="144" priority="23">
      <formula>#REF!=0</formula>
    </cfRule>
  </conditionalFormatting>
  <conditionalFormatting sqref="C20:E21">
    <cfRule type="cellIs" dxfId="143" priority="147" operator="equal">
      <formula>"НЕТ"</formula>
    </cfRule>
    <cfRule type="cellIs" dxfId="142" priority="148" operator="equal">
      <formula>"ДА"</formula>
    </cfRule>
  </conditionalFormatting>
  <conditionalFormatting sqref="C72:F72">
    <cfRule type="expression" dxfId="141" priority="39">
      <formula>#REF!=0</formula>
    </cfRule>
  </conditionalFormatting>
  <conditionalFormatting sqref="D10:D16">
    <cfRule type="cellIs" dxfId="140" priority="77" operator="equal">
      <formula>"КОРП"</formula>
    </cfRule>
    <cfRule type="cellIs" dxfId="139" priority="76" operator="equal">
      <formula>"ПРОФ"</formula>
    </cfRule>
  </conditionalFormatting>
  <conditionalFormatting sqref="D32:D33">
    <cfRule type="cellIs" dxfId="138" priority="87" operator="equal">
      <formula>"Значение введено вручную"</formula>
    </cfRule>
    <cfRule type="cellIs" dxfId="137" priority="88" operator="equal">
      <formula>"Формула"</formula>
    </cfRule>
  </conditionalFormatting>
  <conditionalFormatting sqref="D53:D55">
    <cfRule type="cellIs" dxfId="136" priority="7" operator="equal">
      <formula>"Значение введено вручную"</formula>
    </cfRule>
    <cfRule type="cellIs" dxfId="135" priority="8" operator="equal">
      <formula>"Формула"</formula>
    </cfRule>
  </conditionalFormatting>
  <conditionalFormatting sqref="D63:D68">
    <cfRule type="cellIs" dxfId="134" priority="66" operator="equal">
      <formula>"Значение введено вручную"</formula>
    </cfRule>
    <cfRule type="cellIs" dxfId="133" priority="67" operator="equal">
      <formula>"Формула"</formula>
    </cfRule>
  </conditionalFormatting>
  <conditionalFormatting sqref="D73:D90">
    <cfRule type="cellIs" dxfId="132" priority="33" operator="equal">
      <formula>"НЕТ"</formula>
    </cfRule>
    <cfRule type="cellIs" dxfId="131" priority="34" operator="equal">
      <formula>"ДА"</formula>
    </cfRule>
  </conditionalFormatting>
  <conditionalFormatting sqref="E2">
    <cfRule type="cellIs" dxfId="130" priority="71" operator="equal">
      <formula>"КОРП Заказчик"</formula>
    </cfRule>
    <cfRule type="cellIs" dxfId="129" priority="70" operator="equal">
      <formula>"SMB Заказчик"</formula>
    </cfRule>
  </conditionalFormatting>
  <conditionalFormatting sqref="E10:E16">
    <cfRule type="cellIs" dxfId="128" priority="75" operator="equal">
      <formula>"НЕТ"</formula>
    </cfRule>
    <cfRule type="cellIs" dxfId="127" priority="74" operator="equal">
      <formula>"ДА"</formula>
    </cfRule>
  </conditionalFormatting>
  <conditionalFormatting sqref="E55">
    <cfRule type="cellIs" dxfId="126" priority="1" operator="equal">
      <formula>"Указать"</formula>
    </cfRule>
    <cfRule type="cellIs" dxfId="125" priority="2" operator="equal">
      <formula>"ДА"</formula>
    </cfRule>
    <cfRule type="cellIs" dxfId="124" priority="3" operator="equal">
      <formula>"НЕТ"</formula>
    </cfRule>
  </conditionalFormatting>
  <conditionalFormatting sqref="F10:F16">
    <cfRule type="cellIs" dxfId="123" priority="73" operator="equal">
      <formula>"Формула"</formula>
    </cfRule>
    <cfRule type="cellIs" dxfId="122" priority="72" operator="equal">
      <formula>"Значение введено вручную"</formula>
    </cfRule>
  </conditionalFormatting>
  <conditionalFormatting sqref="I72:J90">
    <cfRule type="expression" dxfId="120" priority="18">
      <formula>#REF!=0</formula>
    </cfRule>
  </conditionalFormatting>
  <conditionalFormatting sqref="M73:N90">
    <cfRule type="expression" dxfId="118" priority="26">
      <formula>#REF!=0</formula>
    </cfRule>
  </conditionalFormatting>
  <conditionalFormatting sqref="M72:P72">
    <cfRule type="expression" dxfId="117" priority="38">
      <formula>#REF!=0</formula>
    </cfRule>
  </conditionalFormatting>
  <conditionalFormatting sqref="N91 W91">
    <cfRule type="cellIs" dxfId="116" priority="80" operator="greaterThan">
      <formula>18</formula>
    </cfRule>
    <cfRule type="cellIs" dxfId="115" priority="81" operator="between">
      <formula>12</formula>
      <formula>18</formula>
    </cfRule>
    <cfRule type="cellIs" dxfId="114" priority="82" operator="lessThanOrEqual">
      <formula>12</formula>
    </cfRule>
  </conditionalFormatting>
  <conditionalFormatting sqref="S72:T90">
    <cfRule type="expression" dxfId="112" priority="9">
      <formula>#REF!=0</formula>
    </cfRule>
  </conditionalFormatting>
  <conditionalFormatting sqref="W72:Y90">
    <cfRule type="expression" dxfId="111" priority="24">
      <formula>#REF!=0</formula>
    </cfRule>
  </conditionalFormatting>
  <conditionalFormatting sqref="Z87:AA87">
    <cfRule type="colorScale" priority="93">
      <colorScale>
        <cfvo type="min"/>
        <cfvo type="max"/>
        <color rgb="FFFFEF9C"/>
        <color rgb="FF63BE7B"/>
      </colorScale>
    </cfRule>
    <cfRule type="colorScale" priority="94">
      <colorScale>
        <cfvo type="min"/>
        <cfvo type="max"/>
        <color rgb="FFFFEF9C"/>
        <color rgb="FF63BE7B"/>
      </colorScale>
    </cfRule>
  </conditionalFormatting>
  <conditionalFormatting sqref="Z88:AE89 Z73:AE86">
    <cfRule type="colorScale" priority="314">
      <colorScale>
        <cfvo type="min"/>
        <cfvo type="max"/>
        <color rgb="FFFFEF9C"/>
        <color rgb="FF63BE7B"/>
      </colorScale>
    </cfRule>
  </conditionalFormatting>
  <conditionalFormatting sqref="Z88:AE89 Z74:AE86">
    <cfRule type="colorScale" priority="315">
      <colorScale>
        <cfvo type="min"/>
        <cfvo type="max"/>
        <color rgb="FFFFEF9C"/>
        <color rgb="FF63BE7B"/>
      </colorScale>
    </cfRule>
  </conditionalFormatting>
  <conditionalFormatting sqref="Z90:AE90">
    <cfRule type="colorScale" priority="36">
      <colorScale>
        <cfvo type="min"/>
        <cfvo type="max"/>
        <color rgb="FFFFEF9C"/>
        <color rgb="FF63BE7B"/>
      </colorScale>
    </cfRule>
    <cfRule type="colorScale" priority="35">
      <colorScale>
        <cfvo type="min"/>
        <cfvo type="max"/>
        <color rgb="FFFFEF9C"/>
        <color rgb="FF63BE7B"/>
      </colorScale>
    </cfRule>
  </conditionalFormatting>
  <conditionalFormatting sqref="AB87:AE87">
    <cfRule type="colorScale" priority="123">
      <colorScale>
        <cfvo type="min"/>
        <cfvo type="max"/>
        <color rgb="FFFFEF9C"/>
        <color rgb="FF63BE7B"/>
      </colorScale>
    </cfRule>
    <cfRule type="colorScale" priority="122">
      <colorScale>
        <cfvo type="min"/>
        <cfvo type="max"/>
        <color rgb="FFFFEF9C"/>
        <color rgb="FF63BE7B"/>
      </colorScale>
    </cfRule>
  </conditionalFormatting>
  <dataValidations count="3">
    <dataValidation type="list" allowBlank="1" showInputMessage="1" showErrorMessage="1" sqref="C10:C16 E10:E16 D73:D74 D88:D90 D76:D85" xr:uid="{00000000-0002-0000-0B00-000000000000}">
      <formula1>"ДА,НЕТ"</formula1>
    </dataValidation>
    <dataValidation type="list" allowBlank="1" showInputMessage="1" showErrorMessage="1" sqref="C62" xr:uid="{00000000-0002-0000-0B00-000001000000}">
      <formula1>"ДО 200,201-500,501-1000,1001+"</formula1>
    </dataValidation>
    <dataValidation type="list" allowBlank="1" showInputMessage="1" showErrorMessage="1" sqref="C59" xr:uid="{00000000-0002-0000-0B00-000002000000}">
      <formula1>"0%,7%,20%"</formula1>
    </dataValidation>
  </dataValidation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27" id="{0A1A523C-B9CE-41E6-93CA-985AC05CC502}">
            <xm:f>'Очередь 1 Кейс-Совм'!#REF!=0</xm:f>
            <x14:dxf>
              <fill>
                <patternFill>
                  <bgColor theme="2"/>
                </patternFill>
              </fill>
            </x14:dxf>
          </x14:cfRule>
          <xm:sqref>G72:H90</xm:sqref>
        </x14:conditionalFormatting>
        <x14:conditionalFormatting xmlns:xm="http://schemas.microsoft.com/office/excel/2006/main">
          <x14:cfRule type="expression" priority="28" id="{212C3011-7000-4A7A-956F-E33A5E52B624}">
            <xm:f>'Очередь 1 Кейс-Совм'!#REF!=0</xm:f>
            <x14:dxf>
              <fill>
                <patternFill>
                  <bgColor theme="2"/>
                </patternFill>
              </fill>
            </x14:dxf>
          </x14:cfRule>
          <xm:sqref>K72:L90</xm:sqref>
        </x14:conditionalFormatting>
        <x14:conditionalFormatting xmlns:xm="http://schemas.microsoft.com/office/excel/2006/main">
          <x14:cfRule type="expression" priority="25" id="{8135BE82-0349-4520-8D0F-B4D0F7DB0333}">
            <xm:f>'Очередь 1 Кейс-Совм'!#REF!=0</xm:f>
            <x14:dxf>
              <fill>
                <patternFill>
                  <bgColor theme="2"/>
                </patternFill>
              </fill>
            </x14:dxf>
          </x14:cfRule>
          <xm:sqref>Q72:R90 U72:V90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3000000}">
          <x14:formula1>
            <xm:f>Списки!$K$2:$K$7</xm:f>
          </x14:formula1>
          <xm:sqref>C33</xm:sqref>
        </x14:dataValidation>
        <x14:dataValidation type="list" allowBlank="1" showInputMessage="1" showErrorMessage="1" xr:uid="{00000000-0002-0000-0B00-000004000000}">
          <x14:formula1>
            <xm:f>Списки!$M$2:$M$5</xm:f>
          </x14:formula1>
          <xm:sqref>C1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E91"/>
  <sheetViews>
    <sheetView topLeftCell="A23" zoomScale="70" zoomScaleNormal="70" workbookViewId="0">
      <selection activeCell="C54" sqref="C54"/>
    </sheetView>
  </sheetViews>
  <sheetFormatPr defaultColWidth="9.28515625" defaultRowHeight="15" outlineLevelRow="3" outlineLevelCol="1" x14ac:dyDescent="0.25"/>
  <cols>
    <col min="1" max="1" width="9.7109375" style="1" customWidth="1"/>
    <col min="2" max="2" width="46.42578125" style="1" customWidth="1"/>
    <col min="3" max="3" width="23" style="1" customWidth="1"/>
    <col min="4" max="4" width="27.7109375" style="1" customWidth="1"/>
    <col min="5" max="5" width="19.7109375" style="1" customWidth="1" collapsed="1"/>
    <col min="6" max="11" width="19.7109375" style="1" hidden="1" customWidth="1" outlineLevel="1"/>
    <col min="12" max="12" width="26.28515625" style="1" customWidth="1"/>
    <col min="13" max="13" width="19.7109375" style="1" customWidth="1"/>
    <col min="14" max="14" width="18.7109375" style="1" customWidth="1"/>
    <col min="15" max="15" width="20" style="1" customWidth="1"/>
    <col min="16" max="20" width="20" style="1" customWidth="1" outlineLevel="1"/>
    <col min="21" max="22" width="18.42578125" style="1" customWidth="1" outlineLevel="1"/>
    <col min="23" max="25" width="9.28515625" style="1"/>
    <col min="26" max="31" width="9.28515625" style="1" outlineLevel="1"/>
    <col min="32" max="16384" width="9.28515625" style="1"/>
  </cols>
  <sheetData>
    <row r="1" spans="2:12" ht="21.75" thickBot="1" x14ac:dyDescent="0.3">
      <c r="B1" s="1006" t="s">
        <v>2230</v>
      </c>
      <c r="C1" s="1007" t="s">
        <v>502</v>
      </c>
    </row>
    <row r="2" spans="2:12" ht="66" customHeight="1" thickBot="1" x14ac:dyDescent="0.3">
      <c r="B2" s="1276" t="s">
        <v>321</v>
      </c>
      <c r="C2" s="1277"/>
      <c r="D2" s="411" t="str">
        <f>'2.ФС для Заполнения'!AF2</f>
        <v>ДО 200</v>
      </c>
      <c r="E2" s="411" t="str">
        <f>IF(D2="1001+","КОРП Заказчик", "SMB Заказчик")</f>
        <v>SMB Заказчик</v>
      </c>
      <c r="L2" s="2"/>
    </row>
    <row r="3" spans="2:12" ht="33.75" customHeight="1" outlineLevel="1" collapsed="1" thickBot="1" x14ac:dyDescent="0.3">
      <c r="B3" s="198" t="s">
        <v>4</v>
      </c>
      <c r="C3" s="40" t="s">
        <v>7</v>
      </c>
      <c r="D3" s="40" t="s">
        <v>258</v>
      </c>
      <c r="E3" s="43" t="s">
        <v>259</v>
      </c>
    </row>
    <row r="4" spans="2:12" ht="33.75" hidden="1" customHeight="1" outlineLevel="2" x14ac:dyDescent="0.25">
      <c r="B4" s="42" t="s">
        <v>319</v>
      </c>
      <c r="C4" s="47">
        <f t="shared" ref="C4:C7" si="0">D4+E4</f>
        <v>95</v>
      </c>
      <c r="D4" s="47">
        <f>SUM(D5:D6)</f>
        <v>95</v>
      </c>
      <c r="E4" s="400">
        <f>SUM(E5:E6)</f>
        <v>0</v>
      </c>
    </row>
    <row r="5" spans="2:12" ht="16.5" hidden="1" customHeight="1" outlineLevel="3" x14ac:dyDescent="0.25">
      <c r="B5" s="41" t="s">
        <v>5</v>
      </c>
      <c r="C5" s="48">
        <f t="shared" si="0"/>
        <v>20</v>
      </c>
      <c r="D5" s="407">
        <f>'2.ФС для Заполнения'!AG5</f>
        <v>20</v>
      </c>
      <c r="E5" s="408">
        <f>'2.ФС для Заполнения'!AH5</f>
        <v>0</v>
      </c>
    </row>
    <row r="6" spans="2:12" ht="33.75" hidden="1" customHeight="1" outlineLevel="3" x14ac:dyDescent="0.25">
      <c r="B6" s="41" t="s">
        <v>6</v>
      </c>
      <c r="C6" s="48">
        <f t="shared" si="0"/>
        <v>75</v>
      </c>
      <c r="D6" s="407">
        <f>'2.ФС для Заполнения'!AG6</f>
        <v>75</v>
      </c>
      <c r="E6" s="408">
        <f>'2.ФС для Заполнения'!AH6</f>
        <v>0</v>
      </c>
    </row>
    <row r="7" spans="2:12" ht="30.75" hidden="1" customHeight="1" outlineLevel="2" thickBot="1" x14ac:dyDescent="0.3">
      <c r="B7" s="402" t="s">
        <v>320</v>
      </c>
      <c r="C7" s="403">
        <f t="shared" si="0"/>
        <v>5</v>
      </c>
      <c r="D7" s="409">
        <f>'2.ФС для Заполнения'!AG7</f>
        <v>5</v>
      </c>
      <c r="E7" s="410">
        <f>'2.ФС для Заполнения'!AH7</f>
        <v>0</v>
      </c>
    </row>
    <row r="8" spans="2:12" ht="30.75" hidden="1" customHeight="1" outlineLevel="2" thickBot="1" x14ac:dyDescent="0.3"/>
    <row r="9" spans="2:12" ht="30.75" hidden="1" customHeight="1" outlineLevel="2" thickBot="1" x14ac:dyDescent="0.3">
      <c r="B9" s="823"/>
      <c r="C9" s="839" t="s">
        <v>1803</v>
      </c>
      <c r="D9" s="840" t="s">
        <v>1804</v>
      </c>
      <c r="E9" s="840" t="s">
        <v>1805</v>
      </c>
    </row>
    <row r="10" spans="2:12" ht="30.75" hidden="1" customHeight="1" outlineLevel="2" thickBot="1" x14ac:dyDescent="0.3">
      <c r="B10" s="396" t="s">
        <v>1765</v>
      </c>
      <c r="C10" s="821" t="str">
        <f>E10</f>
        <v>НЕТ</v>
      </c>
      <c r="D10" s="838" t="s">
        <v>223</v>
      </c>
      <c r="E10" s="821" t="str">
        <f>IF(OR('1.Содержание проекта'!C102="ДА",'1.Содержание проекта'!C107="ДА",'1.Содержание проекта'!C111="ДА",'1.Содержание проекта'!C113="ДА"),"ДА","НЕТ")</f>
        <v>НЕТ</v>
      </c>
      <c r="F10" s="822" t="str">
        <f t="shared" ref="F10:F16" ca="1" si="1">IF(ISERROR(_xlfn.FORMULATEXT(E10)),"Значение введено вручную","Формула")</f>
        <v>Формула</v>
      </c>
    </row>
    <row r="11" spans="2:12" ht="30.75" hidden="1" customHeight="1" outlineLevel="2" thickBot="1" x14ac:dyDescent="0.3">
      <c r="B11" s="396" t="s">
        <v>1839</v>
      </c>
      <c r="C11" s="821" t="str">
        <f t="shared" ref="C11:C16" si="2">E11</f>
        <v>НЕТ</v>
      </c>
      <c r="D11" s="838" t="s">
        <v>1801</v>
      </c>
      <c r="E11" s="821" t="str">
        <f>IF(OR('1.Содержание проекта'!D101="ДА",,SUM('1.Содержание проекта'!G117:G123)&gt;0),"ДА","НЕТ")</f>
        <v>НЕТ</v>
      </c>
      <c r="F11" s="822" t="str">
        <f t="shared" ca="1" si="1"/>
        <v>Формула</v>
      </c>
    </row>
    <row r="12" spans="2:12" ht="30.75" hidden="1" customHeight="1" outlineLevel="2" thickBot="1" x14ac:dyDescent="0.3">
      <c r="B12" s="396" t="s">
        <v>1766</v>
      </c>
      <c r="C12" s="821" t="str">
        <f t="shared" si="2"/>
        <v>НЕТ</v>
      </c>
      <c r="D12" s="838" t="s">
        <v>223</v>
      </c>
      <c r="E12" s="821" t="str">
        <f>IF(OR('1.Содержание проекта'!C103="ДА",'1.Содержание проекта'!C104="ДА"),"ДА","НЕТ")</f>
        <v>НЕТ</v>
      </c>
      <c r="F12" s="822" t="str">
        <f t="shared" ca="1" si="1"/>
        <v>Формула</v>
      </c>
    </row>
    <row r="13" spans="2:12" ht="30.75" hidden="1" customHeight="1" outlineLevel="2" thickBot="1" x14ac:dyDescent="0.3">
      <c r="B13" s="396" t="s">
        <v>1767</v>
      </c>
      <c r="C13" s="821" t="str">
        <f t="shared" si="2"/>
        <v>НЕТ</v>
      </c>
      <c r="D13" s="838" t="s">
        <v>1801</v>
      </c>
      <c r="E13" s="821" t="str">
        <f>'1.Содержание проекта'!C105</f>
        <v>НЕТ</v>
      </c>
      <c r="F13" s="822" t="str">
        <f t="shared" ca="1" si="1"/>
        <v>Формула</v>
      </c>
    </row>
    <row r="14" spans="2:12" ht="30.75" hidden="1" customHeight="1" outlineLevel="2" thickBot="1" x14ac:dyDescent="0.3">
      <c r="B14" s="396" t="s">
        <v>1768</v>
      </c>
      <c r="C14" s="821" t="str">
        <f t="shared" si="2"/>
        <v>НЕТ</v>
      </c>
      <c r="D14" s="838" t="s">
        <v>1801</v>
      </c>
      <c r="E14" s="821" t="str">
        <f>IF(SUM('1.Содержание проекта'!G86:G99)=0,"НЕТ","ДА")</f>
        <v>НЕТ</v>
      </c>
      <c r="F14" s="822" t="str">
        <f t="shared" ca="1" si="1"/>
        <v>Формула</v>
      </c>
    </row>
    <row r="15" spans="2:12" ht="30.75" hidden="1" customHeight="1" outlineLevel="2" thickBot="1" x14ac:dyDescent="0.3">
      <c r="B15" s="396" t="s">
        <v>1771</v>
      </c>
      <c r="C15" s="821" t="str">
        <f t="shared" si="2"/>
        <v>НЕТ</v>
      </c>
      <c r="D15" s="838" t="s">
        <v>223</v>
      </c>
      <c r="E15" s="821" t="str">
        <f>'1.Содержание проекта'!C115</f>
        <v>НЕТ</v>
      </c>
      <c r="F15" s="822" t="str">
        <f t="shared" ca="1" si="1"/>
        <v>Формула</v>
      </c>
    </row>
    <row r="16" spans="2:12" ht="16.5" thickBot="1" x14ac:dyDescent="0.3">
      <c r="B16" s="396" t="s">
        <v>1772</v>
      </c>
      <c r="C16" s="821" t="str">
        <f t="shared" si="2"/>
        <v>НЕТ</v>
      </c>
      <c r="D16" s="838" t="s">
        <v>1801</v>
      </c>
      <c r="E16" s="821" t="str" cm="1">
        <f t="array" ref="E16">IF(OR('1.Содержание проекта'!C116="ДА",'1.Содержание проекта'!B170:C170="ДА"),"ДА","НЕТ")</f>
        <v>НЕТ</v>
      </c>
      <c r="F16" s="822" t="str">
        <f t="shared" ca="1" si="1"/>
        <v>Формула</v>
      </c>
    </row>
    <row r="17" spans="1:6" s="29" customFormat="1" ht="16.5" thickBot="1" x14ac:dyDescent="0.3">
      <c r="A17" s="46"/>
      <c r="B17" s="1"/>
      <c r="C17" s="1"/>
      <c r="D17" s="1"/>
      <c r="E17" s="1"/>
    </row>
    <row r="18" spans="1:6" ht="33" customHeight="1" collapsed="1" thickBot="1" x14ac:dyDescent="0.3">
      <c r="B18" s="1278" t="s">
        <v>8</v>
      </c>
      <c r="C18" s="1280" t="s">
        <v>695</v>
      </c>
      <c r="D18" s="1281"/>
      <c r="E18" s="1282"/>
    </row>
    <row r="19" spans="1:6" ht="51.75" hidden="1" customHeight="1" outlineLevel="3" thickBot="1" x14ac:dyDescent="0.3">
      <c r="B19" s="1279"/>
      <c r="C19" s="198" t="s">
        <v>288</v>
      </c>
      <c r="D19" s="45" t="s">
        <v>285</v>
      </c>
      <c r="E19" s="43" t="s">
        <v>274</v>
      </c>
    </row>
    <row r="20" spans="1:6" ht="20.25" hidden="1" customHeight="1" outlineLevel="3" thickBot="1" x14ac:dyDescent="0.35">
      <c r="B20" s="395" t="s">
        <v>254</v>
      </c>
      <c r="C20" s="397">
        <f>'2.ФС для Заполнения'!R327</f>
        <v>161</v>
      </c>
      <c r="D20" s="50">
        <f>'2.ФС для Заполнения'!S327</f>
        <v>0</v>
      </c>
      <c r="E20" s="51">
        <f>'2.ФС для Заполнения'!T327</f>
        <v>55</v>
      </c>
    </row>
    <row r="21" spans="1:6" s="46" customFormat="1" ht="20.25" hidden="1" customHeight="1" outlineLevel="3" thickBot="1" x14ac:dyDescent="0.3">
      <c r="B21" s="396" t="s">
        <v>252</v>
      </c>
      <c r="C21" s="217">
        <f>'2.ФС для Заполнения'!R328</f>
        <v>0</v>
      </c>
      <c r="D21" s="218">
        <f>'2.ФС для Заполнения'!S328</f>
        <v>0</v>
      </c>
      <c r="E21" s="219">
        <f>'2.ФС для Заполнения'!T328</f>
        <v>0</v>
      </c>
    </row>
    <row r="22" spans="1:6" s="29" customFormat="1" ht="16.5" thickBot="1" x14ac:dyDescent="0.3">
      <c r="A22" s="46"/>
      <c r="B22" s="1"/>
      <c r="C22" s="1"/>
      <c r="D22" s="1"/>
      <c r="E22" s="1"/>
    </row>
    <row r="23" spans="1:6" s="29" customFormat="1" ht="48.75" thickBot="1" x14ac:dyDescent="0.35">
      <c r="A23" s="46"/>
      <c r="B23" s="395" t="s">
        <v>1760</v>
      </c>
      <c r="C23" s="395" t="s">
        <v>1759</v>
      </c>
      <c r="D23" s="395" t="s">
        <v>1757</v>
      </c>
      <c r="E23" s="816" t="s">
        <v>1758</v>
      </c>
      <c r="F23" s="818" t="s">
        <v>1764</v>
      </c>
    </row>
    <row r="24" spans="1:6" s="29" customFormat="1" ht="16.5" thickBot="1" x14ac:dyDescent="0.3">
      <c r="A24" s="46"/>
      <c r="B24" s="396">
        <f>SUMIFS('2.ФС для Заполнения'!R:R,'2.ФС для Заполнения'!G:G,Списки!K4)</f>
        <v>27</v>
      </c>
      <c r="C24" s="396">
        <f>SUMIFS('2.ФС для Заполнения'!R:R,'2.ФС для Заполнения'!G:G,Списки!K5)</f>
        <v>9</v>
      </c>
      <c r="D24" s="396">
        <f>SUMIFS('2.ФС для Заполнения'!R:R,'2.ФС для Заполнения'!G:G,Списки!K6)</f>
        <v>84</v>
      </c>
      <c r="E24" s="817">
        <f>SUMIFS('2.ФС для Заполнения'!R:R,'2.ФС для Заполнения'!G:G,Списки!K7)</f>
        <v>41</v>
      </c>
      <c r="F24" s="819">
        <f>SUM(C20:C21)-SUM(B24:E24)</f>
        <v>0</v>
      </c>
    </row>
    <row r="25" spans="1:6" s="29" customFormat="1" ht="15.75" x14ac:dyDescent="0.25">
      <c r="A25" s="46"/>
      <c r="B25" s="1"/>
      <c r="C25" s="1"/>
      <c r="D25" s="1"/>
      <c r="E25" s="1"/>
    </row>
    <row r="26" spans="1:6" s="29" customFormat="1" ht="16.5" thickBot="1" x14ac:dyDescent="0.3">
      <c r="A26" s="46"/>
      <c r="B26" s="1"/>
      <c r="C26" s="1"/>
      <c r="D26" s="1"/>
      <c r="E26" s="1"/>
    </row>
    <row r="27" spans="1:6" x14ac:dyDescent="0.25">
      <c r="A27" s="46"/>
      <c r="B27" s="1283" t="s">
        <v>308</v>
      </c>
      <c r="C27" s="1284"/>
      <c r="E27" s="1" t="s">
        <v>1743</v>
      </c>
    </row>
    <row r="28" spans="1:6" outlineLevel="1" x14ac:dyDescent="0.25">
      <c r="A28" s="46"/>
      <c r="B28" s="1272" t="s">
        <v>309</v>
      </c>
      <c r="C28" s="1273"/>
      <c r="D28" s="30" t="s">
        <v>1761</v>
      </c>
      <c r="E28" s="30">
        <f>'параметры расчета'!C3</f>
        <v>5000</v>
      </c>
    </row>
    <row r="29" spans="1:6" outlineLevel="1" x14ac:dyDescent="0.25">
      <c r="B29" s="1272" t="s">
        <v>310</v>
      </c>
      <c r="C29" s="1273"/>
      <c r="D29" s="30" t="s">
        <v>1762</v>
      </c>
      <c r="E29" s="30">
        <f>'параметры расчета'!C4</f>
        <v>5500</v>
      </c>
    </row>
    <row r="30" spans="1:6" ht="33" customHeight="1" outlineLevel="1" x14ac:dyDescent="0.25">
      <c r="B30" s="1272" t="s">
        <v>311</v>
      </c>
      <c r="C30" s="1273"/>
      <c r="D30" s="30" t="s">
        <v>1763</v>
      </c>
      <c r="E30" s="30">
        <f>'параметры расчета'!C5</f>
        <v>6500</v>
      </c>
    </row>
    <row r="31" spans="1:6" ht="15.75" outlineLevel="1" thickBot="1" x14ac:dyDescent="0.3">
      <c r="B31" s="1272" t="s">
        <v>312</v>
      </c>
      <c r="C31" s="1273"/>
    </row>
    <row r="32" spans="1:6" ht="25.5" customHeight="1" outlineLevel="1" collapsed="1" thickBot="1" x14ac:dyDescent="0.3">
      <c r="B32" s="512" t="s">
        <v>2161</v>
      </c>
      <c r="C32" s="513">
        <f>IF(C33=Списки!K7,E30,IF(C33=Списки!K6,E29,E28))</f>
        <v>6500</v>
      </c>
      <c r="D32" s="822" t="str">
        <f ca="1">IF(ISERROR(_xlfn.FORMULATEXT(C32)),"Значение введено вручную","Формула")</f>
        <v>Формула</v>
      </c>
    </row>
    <row r="33" spans="2:10" ht="25.5" hidden="1" customHeight="1" outlineLevel="2" thickBot="1" x14ac:dyDescent="0.3">
      <c r="B33" s="813" t="s">
        <v>1749</v>
      </c>
      <c r="C33" s="513" t="str">
        <f>IF(OR(E24&gt;0,E2="КОРП Заказчик",C4&gt;500,C11="ДА",C14="ДА",D20&gt;0,C13="ДА",C16="ДА"),Списки!K7,IF(OR(D24&gt;0,C10="ДА",C12="ДА",C4&gt;200,C5&gt;20,C15="ДА"),Списки!K6,IF(C24&gt;0,Списки!K5,Списки!K4)))</f>
        <v>КОРП-проект</v>
      </c>
      <c r="D33" s="822" t="str">
        <f ca="1">IF(ISERROR(_xlfn.FORMULATEXT(C33)),"Значение введено вручную","Формула")</f>
        <v>Формула</v>
      </c>
    </row>
    <row r="34" spans="2:10" ht="48" customHeight="1" outlineLevel="1" thickBot="1" x14ac:dyDescent="0.3">
      <c r="B34" s="181" t="s">
        <v>287</v>
      </c>
      <c r="C34" s="182">
        <v>16</v>
      </c>
    </row>
    <row r="35" spans="2:10" ht="37.5" customHeight="1" outlineLevel="1" collapsed="1" thickBot="1" x14ac:dyDescent="0.3">
      <c r="B35" s="183" t="s">
        <v>284</v>
      </c>
      <c r="C35" s="184">
        <f>SUM(C36:C38)</f>
        <v>24.5</v>
      </c>
    </row>
    <row r="36" spans="2:10" ht="30" hidden="1" outlineLevel="2" x14ac:dyDescent="0.25">
      <c r="B36" s="164" t="s">
        <v>281</v>
      </c>
      <c r="C36" s="163">
        <f>'параметры расчета'!C241*0.1</f>
        <v>4.5</v>
      </c>
    </row>
    <row r="37" spans="2:10" ht="30" hidden="1" outlineLevel="2" x14ac:dyDescent="0.25">
      <c r="B37" s="164" t="s">
        <v>280</v>
      </c>
      <c r="C37" s="163">
        <v>8</v>
      </c>
    </row>
    <row r="38" spans="2:10" ht="30.75" hidden="1" outlineLevel="2" thickBot="1" x14ac:dyDescent="0.3">
      <c r="B38" s="174" t="s">
        <v>256</v>
      </c>
      <c r="C38" s="175">
        <v>12</v>
      </c>
    </row>
    <row r="39" spans="2:10" ht="15.75" outlineLevel="1" collapsed="1" thickBot="1" x14ac:dyDescent="0.3">
      <c r="B39" s="424" t="s">
        <v>717</v>
      </c>
      <c r="C39" s="427">
        <v>0</v>
      </c>
    </row>
    <row r="40" spans="2:10" ht="15" hidden="1" customHeight="1" outlineLevel="2" x14ac:dyDescent="0.25">
      <c r="B40" s="179" t="s">
        <v>702</v>
      </c>
      <c r="C40" s="428">
        <v>32</v>
      </c>
    </row>
    <row r="41" spans="2:10" ht="15" hidden="1" customHeight="1" outlineLevel="2" x14ac:dyDescent="0.25">
      <c r="B41" s="180" t="s">
        <v>703</v>
      </c>
      <c r="C41" s="429">
        <v>80</v>
      </c>
    </row>
    <row r="42" spans="2:10" ht="15" hidden="1" customHeight="1" outlineLevel="2" x14ac:dyDescent="0.25">
      <c r="B42" s="415" t="s">
        <v>704</v>
      </c>
      <c r="C42" s="423">
        <v>32</v>
      </c>
    </row>
    <row r="43" spans="2:10" ht="15" hidden="1" customHeight="1" outlineLevel="2" x14ac:dyDescent="0.25">
      <c r="B43" s="415" t="s">
        <v>705</v>
      </c>
      <c r="C43" s="423">
        <v>32</v>
      </c>
    </row>
    <row r="44" spans="2:10" ht="15" hidden="1" customHeight="1" outlineLevel="2" thickBot="1" x14ac:dyDescent="0.3">
      <c r="B44" s="425" t="s">
        <v>718</v>
      </c>
      <c r="C44" s="426">
        <v>0</v>
      </c>
    </row>
    <row r="45" spans="2:10" ht="49.5" customHeight="1" outlineLevel="1" collapsed="1" thickBot="1" x14ac:dyDescent="0.3">
      <c r="B45" s="185" t="s">
        <v>700</v>
      </c>
      <c r="C45" s="709">
        <v>40</v>
      </c>
      <c r="D45" s="185" t="s">
        <v>1777</v>
      </c>
      <c r="E45" s="185" t="s">
        <v>1781</v>
      </c>
      <c r="F45" s="185" t="s">
        <v>1782</v>
      </c>
      <c r="G45" s="185" t="s">
        <v>1784</v>
      </c>
      <c r="H45" s="185" t="s">
        <v>1783</v>
      </c>
      <c r="I45" s="25"/>
      <c r="J45" s="25"/>
    </row>
    <row r="46" spans="2:10" ht="30.75" hidden="1" customHeight="1" outlineLevel="2" x14ac:dyDescent="0.25">
      <c r="B46" s="179" t="s">
        <v>1778</v>
      </c>
      <c r="C46" s="710">
        <v>5</v>
      </c>
      <c r="D46" s="710">
        <v>16</v>
      </c>
      <c r="E46" s="713">
        <f>C5</f>
        <v>20</v>
      </c>
      <c r="F46" s="830">
        <f>ROUNDUP(E46/C46,0)</f>
        <v>4</v>
      </c>
      <c r="G46" s="713">
        <f>ROUNDUP(E5/C46,0)</f>
        <v>0</v>
      </c>
      <c r="H46" s="830">
        <f>ROUNDUP(G46*D46/8,1)</f>
        <v>0</v>
      </c>
      <c r="I46" s="1013"/>
      <c r="J46" s="1013"/>
    </row>
    <row r="47" spans="2:10" ht="30.75" hidden="1" customHeight="1" outlineLevel="2" x14ac:dyDescent="0.25">
      <c r="B47" s="180" t="s">
        <v>1779</v>
      </c>
      <c r="C47" s="711">
        <v>10</v>
      </c>
      <c r="D47" s="711">
        <v>4</v>
      </c>
      <c r="E47" s="714">
        <f>C6</f>
        <v>75</v>
      </c>
      <c r="F47" s="831">
        <f t="shared" ref="F47:F48" si="3">ROUNDUP(E47/C47,0)</f>
        <v>8</v>
      </c>
      <c r="G47" s="714">
        <f>ROUNDUP(E6/C47,0)</f>
        <v>0</v>
      </c>
      <c r="H47" s="831">
        <f t="shared" ref="H47:H48" si="4">ROUNDUP(G47*D47/8,1)</f>
        <v>0</v>
      </c>
      <c r="I47" s="1013"/>
      <c r="J47" s="1013"/>
    </row>
    <row r="48" spans="2:10" ht="30.75" hidden="1" outlineLevel="2" thickBot="1" x14ac:dyDescent="0.3">
      <c r="B48" s="166" t="s">
        <v>1780</v>
      </c>
      <c r="C48" s="712">
        <v>5</v>
      </c>
      <c r="D48" s="712">
        <v>24</v>
      </c>
      <c r="E48" s="715">
        <f>C7</f>
        <v>5</v>
      </c>
      <c r="F48" s="832">
        <f t="shared" si="3"/>
        <v>1</v>
      </c>
      <c r="G48" s="715">
        <f>ROUNDUP(E7/C48,0)</f>
        <v>0</v>
      </c>
      <c r="H48" s="832">
        <f t="shared" si="4"/>
        <v>0</v>
      </c>
      <c r="I48" s="1013"/>
      <c r="J48" s="1013"/>
    </row>
    <row r="49" spans="2:5" ht="18" customHeight="1" outlineLevel="1" x14ac:dyDescent="0.25">
      <c r="B49" s="176" t="s">
        <v>250</v>
      </c>
      <c r="C49" s="177">
        <f>(15000+4000*5+6000)/5</f>
        <v>8200</v>
      </c>
    </row>
    <row r="50" spans="2:5" ht="18" customHeight="1" outlineLevel="1" x14ac:dyDescent="0.25">
      <c r="B50" s="162" t="s">
        <v>1458</v>
      </c>
      <c r="C50" s="165">
        <f>SUM(C51:C56)</f>
        <v>0.62000000000000011</v>
      </c>
    </row>
    <row r="51" spans="2:5" ht="18" customHeight="1" outlineLevel="2" thickBot="1" x14ac:dyDescent="0.3">
      <c r="B51" s="655" t="s">
        <v>1456</v>
      </c>
      <c r="C51" s="656">
        <v>0.2</v>
      </c>
    </row>
    <row r="52" spans="2:5" ht="15" customHeight="1" outlineLevel="2" thickBot="1" x14ac:dyDescent="0.3">
      <c r="B52" s="655" t="s">
        <v>2233</v>
      </c>
      <c r="C52" s="656">
        <f>MAX(SUM(C51,C53),SUM(C55,C56))</f>
        <v>0.21000000000000002</v>
      </c>
      <c r="D52" s="822" t="str">
        <f ca="1">IF(ISERROR(_xlfn.FORMULATEXT(C52)),"Значение введено вручную","Формула")</f>
        <v>Формула</v>
      </c>
    </row>
    <row r="53" spans="2:5" ht="15" customHeight="1" outlineLevel="2" thickBot="1" x14ac:dyDescent="0.3">
      <c r="B53" s="655" t="s">
        <v>2240</v>
      </c>
      <c r="C53" s="656">
        <f>IF('1.Содержание проекта'!B$176="НЕТ",10%,0)+IF('1.Содержание проекта'!B$178="НЕТ",5%,0)+IF('1.Содержание проекта'!B$177="НЕТ",20%,0)</f>
        <v>0</v>
      </c>
      <c r="D53" s="822" t="str">
        <f ca="1">IF(ISERROR(_xlfn.FORMULATEXT(C53)),"Значение введено вручную","Формула")</f>
        <v>Формула</v>
      </c>
      <c r="E53" s="1019" t="s">
        <v>2248</v>
      </c>
    </row>
    <row r="54" spans="2:5" ht="15" customHeight="1" outlineLevel="2" thickBot="1" x14ac:dyDescent="0.3">
      <c r="B54" s="655" t="s">
        <v>2241</v>
      </c>
      <c r="C54" s="1020">
        <f>IF('1.Содержание проекта'!B$174="НЕТ",IF('1.Содержание проекта'!B$173="PM5",50%,15%)/L71*SUM(L75:L77),0)+IF('1.Содержание проекта'!B$175="НЕТ",10%,0)+IF(AND('1.Содержание проекта'!B180&gt;=30%,'1.Содержание проекта'!B181&lt;=10),0%,IF(AND(OR(C33="ПРОФ-проект",C33="КОРП-проект"),AND('1.Содержание проекта'!B180&lt;30%,'1.Содержание проекта'!B181&lt;=10)),2%*(E54/20),10%))</f>
        <v>0</v>
      </c>
      <c r="D54" s="822" t="str">
        <f ca="1">IF(ISERROR(_xlfn.FORMULATEXT(C54)),"Значение введено вручную","Формула")</f>
        <v>Формула</v>
      </c>
      <c r="E54" s="1016">
        <f>MAX(X72:X88)*5</f>
        <v>165</v>
      </c>
    </row>
    <row r="55" spans="2:5" ht="75" outlineLevel="2" x14ac:dyDescent="0.25">
      <c r="B55" s="655" t="s">
        <v>1653</v>
      </c>
      <c r="C55" s="656">
        <v>0.01</v>
      </c>
      <c r="D55" s="807" t="s">
        <v>1652</v>
      </c>
    </row>
    <row r="56" spans="2:5" ht="18" customHeight="1" outlineLevel="2" x14ac:dyDescent="0.25">
      <c r="B56" s="655" t="s">
        <v>1457</v>
      </c>
      <c r="C56" s="656">
        <v>0.2</v>
      </c>
    </row>
    <row r="57" spans="2:5" ht="15.75" outlineLevel="2" thickBot="1" x14ac:dyDescent="0.3">
      <c r="B57" s="166" t="s">
        <v>304</v>
      </c>
      <c r="C57" s="167">
        <v>0</v>
      </c>
    </row>
    <row r="58" spans="2:5" ht="15" customHeight="1" outlineLevel="2" thickBot="1" x14ac:dyDescent="0.3">
      <c r="B58" s="166" t="s">
        <v>2151</v>
      </c>
      <c r="C58" s="167">
        <v>7.0000000000000007E-2</v>
      </c>
      <c r="D58" s="945" t="s">
        <v>2155</v>
      </c>
    </row>
    <row r="59" spans="2:5" ht="15.75" outlineLevel="1" thickBot="1" x14ac:dyDescent="0.3"/>
    <row r="60" spans="2:5" ht="15.75" outlineLevel="1" thickBot="1" x14ac:dyDescent="0.3">
      <c r="B60" s="1274" t="s">
        <v>318</v>
      </c>
      <c r="C60" s="1275"/>
    </row>
    <row r="61" spans="2:5" ht="17.25" outlineLevel="1" collapsed="1" x14ac:dyDescent="0.25">
      <c r="B61" s="96" t="s">
        <v>317</v>
      </c>
      <c r="C61" s="97" t="str">
        <f>D2</f>
        <v>ДО 200</v>
      </c>
    </row>
    <row r="62" spans="2:5" ht="15.75" hidden="1" outlineLevel="2" thickBot="1" x14ac:dyDescent="0.3">
      <c r="B62" s="88" t="s">
        <v>219</v>
      </c>
      <c r="C62" s="85">
        <f>SUMIF('параметры расчета'!$C$245:$F$245,'Очередь 1 ПРОФ_КОРП'!$D$2,'параметры расчета'!$C$246:$F$246)</f>
        <v>1</v>
      </c>
      <c r="D62" s="822" t="str">
        <f t="shared" ref="D62:D67" ca="1" si="5">IF(ISERROR(_xlfn.FORMULATEXT(C62)),"Значение введено вручную","Формула")</f>
        <v>Формула</v>
      </c>
    </row>
    <row r="63" spans="2:5" ht="30" hidden="1" customHeight="1" outlineLevel="2" thickBot="1" x14ac:dyDescent="0.3">
      <c r="B63" s="172" t="s">
        <v>257</v>
      </c>
      <c r="C63" s="173">
        <f>SUMIF('параметры расчета'!$C$245:$F$245,'Очередь 1 ПРОФ_КОРП'!$D$2,'параметры расчета'!$C$247:$F$247)</f>
        <v>1</v>
      </c>
      <c r="D63" s="822" t="str">
        <f t="shared" ca="1" si="5"/>
        <v>Формула</v>
      </c>
    </row>
    <row r="64" spans="2:5" ht="15.75" hidden="1" customHeight="1" outlineLevel="2" thickBot="1" x14ac:dyDescent="0.3">
      <c r="B64" s="87" t="s">
        <v>709</v>
      </c>
      <c r="C64" s="178">
        <v>140</v>
      </c>
      <c r="D64" s="822" t="str">
        <f t="shared" ca="1" si="5"/>
        <v>Значение введено вручную</v>
      </c>
    </row>
    <row r="65" spans="2:31" ht="15.75" hidden="1" customHeight="1" outlineLevel="2" thickBot="1" x14ac:dyDescent="0.3">
      <c r="B65" s="90" t="s">
        <v>710</v>
      </c>
      <c r="C65" s="98">
        <v>40</v>
      </c>
      <c r="D65" s="822" t="str">
        <f t="shared" ca="1" si="5"/>
        <v>Значение введено вручную</v>
      </c>
    </row>
    <row r="66" spans="2:31" ht="15.75" hidden="1" customHeight="1" outlineLevel="2" thickBot="1" x14ac:dyDescent="0.3">
      <c r="B66" s="87" t="s">
        <v>527</v>
      </c>
      <c r="C66" s="178">
        <f>SUMIF('параметры расчета'!$C$245:$F$245,'Очередь 1 ПРОФ_КОРП'!$D$2,'параметры расчета'!C248:F248)</f>
        <v>6</v>
      </c>
      <c r="D66" s="822" t="str">
        <f t="shared" ca="1" si="5"/>
        <v>Формула</v>
      </c>
    </row>
    <row r="67" spans="2:31" ht="15.75" hidden="1" customHeight="1" outlineLevel="2" thickBot="1" x14ac:dyDescent="0.3">
      <c r="B67" s="90" t="s">
        <v>528</v>
      </c>
      <c r="C67" s="98">
        <f>SUMIF('параметры расчета'!$C$245:$F$245,'Очередь 1 ПРОФ_КОРП'!$D$2,'параметры расчета'!C249:F249)</f>
        <v>1</v>
      </c>
      <c r="D67" s="822" t="str">
        <f t="shared" ca="1" si="5"/>
        <v>Формула</v>
      </c>
    </row>
    <row r="68" spans="2:31" ht="15.75" customHeight="1" thickBot="1" x14ac:dyDescent="0.3"/>
    <row r="69" spans="2:31" ht="15.75" customHeight="1" thickBot="1" x14ac:dyDescent="0.3">
      <c r="G69" s="909">
        <f>$C55</f>
        <v>0.01</v>
      </c>
      <c r="H69" s="910">
        <f>$C56</f>
        <v>0.2</v>
      </c>
      <c r="I69" s="910">
        <f>$C52</f>
        <v>0.21000000000000002</v>
      </c>
      <c r="J69" s="910">
        <f>SUM($C$53:$C$54)</f>
        <v>0</v>
      </c>
      <c r="K69" s="911">
        <f>$C51</f>
        <v>0.2</v>
      </c>
      <c r="Q69" s="909">
        <f>$C55</f>
        <v>0.01</v>
      </c>
      <c r="R69" s="910">
        <f>$C56</f>
        <v>0.2</v>
      </c>
      <c r="S69" s="910">
        <f>$C52</f>
        <v>0.21000000000000002</v>
      </c>
      <c r="T69" s="910">
        <f>SUM($C$53:$C$54)</f>
        <v>0</v>
      </c>
      <c r="U69" s="911">
        <f>$C51</f>
        <v>0.2</v>
      </c>
    </row>
    <row r="70" spans="2:31" ht="56.25" customHeight="1" thickBot="1" x14ac:dyDescent="0.3">
      <c r="B70" s="59" t="s">
        <v>0</v>
      </c>
      <c r="C70" s="95" t="s">
        <v>323</v>
      </c>
      <c r="D70" s="103" t="s">
        <v>324</v>
      </c>
      <c r="E70" s="169" t="s">
        <v>2163</v>
      </c>
      <c r="F70" s="907" t="s">
        <v>2157</v>
      </c>
      <c r="G70" s="907" t="s">
        <v>1850</v>
      </c>
      <c r="H70" s="905" t="s">
        <v>1851</v>
      </c>
      <c r="I70" s="905" t="s">
        <v>2236</v>
      </c>
      <c r="J70" s="905" t="s">
        <v>2237</v>
      </c>
      <c r="K70" s="905" t="s">
        <v>249</v>
      </c>
      <c r="L70" s="908" t="s">
        <v>1852</v>
      </c>
      <c r="M70" s="904" t="s">
        <v>305</v>
      </c>
      <c r="N70" s="95" t="s">
        <v>1435</v>
      </c>
      <c r="O70" s="169" t="s">
        <v>2164</v>
      </c>
      <c r="P70" s="905" t="s">
        <v>325</v>
      </c>
      <c r="Q70" s="905" t="s">
        <v>1850</v>
      </c>
      <c r="R70" s="905" t="s">
        <v>1851</v>
      </c>
      <c r="S70" s="905" t="s">
        <v>2236</v>
      </c>
      <c r="T70" s="905" t="s">
        <v>2237</v>
      </c>
      <c r="U70" s="905" t="s">
        <v>249</v>
      </c>
      <c r="V70" s="906" t="s">
        <v>1852</v>
      </c>
      <c r="W70" s="39" t="s">
        <v>305</v>
      </c>
      <c r="X70" s="414" t="s">
        <v>1434</v>
      </c>
      <c r="Y70" s="192" t="s">
        <v>298</v>
      </c>
      <c r="Z70" s="101" t="s">
        <v>292</v>
      </c>
      <c r="AA70" s="39" t="s">
        <v>293</v>
      </c>
      <c r="AB70" s="39" t="s">
        <v>294</v>
      </c>
      <c r="AC70" s="39" t="s">
        <v>295</v>
      </c>
      <c r="AD70" s="39" t="s">
        <v>297</v>
      </c>
      <c r="AE70" s="100" t="s">
        <v>296</v>
      </c>
    </row>
    <row r="71" spans="2:31" ht="16.5" thickBot="1" x14ac:dyDescent="0.3">
      <c r="B71" s="60" t="s">
        <v>253</v>
      </c>
      <c r="C71" s="63">
        <f>SUM(C72:C88)</f>
        <v>57381675</v>
      </c>
      <c r="D71" s="104"/>
      <c r="E71" s="170">
        <f>SUM(E72:E88)</f>
        <v>63336139.245000005</v>
      </c>
      <c r="F71" s="170">
        <f>SUM(F72:F88)</f>
        <v>59192653.5</v>
      </c>
      <c r="G71" s="170">
        <f>SUM(G72:G88)</f>
        <v>365386.75</v>
      </c>
      <c r="H71" s="170">
        <f>SUM(H72:H88)</f>
        <v>7307735</v>
      </c>
      <c r="I71" s="170">
        <f>SUM(I72:I89)</f>
        <v>8227771.2300000014</v>
      </c>
      <c r="J71" s="170">
        <f>SUM(J72:J89)</f>
        <v>0</v>
      </c>
      <c r="K71" s="170">
        <f t="shared" ref="K71:R71" si="6">SUM(K72:K88)</f>
        <v>7307735</v>
      </c>
      <c r="L71" s="170">
        <f t="shared" si="6"/>
        <v>36538675</v>
      </c>
      <c r="M71" s="865">
        <f t="shared" si="6"/>
        <v>9106.5620769230791</v>
      </c>
      <c r="N71" s="171">
        <f t="shared" si="6"/>
        <v>126</v>
      </c>
      <c r="O71" s="170">
        <f t="shared" si="6"/>
        <v>63336139.245000005</v>
      </c>
      <c r="P71" s="170">
        <f t="shared" si="6"/>
        <v>59192653.5</v>
      </c>
      <c r="Q71" s="170">
        <f t="shared" si="6"/>
        <v>365386.75</v>
      </c>
      <c r="R71" s="170">
        <f t="shared" si="6"/>
        <v>7307735</v>
      </c>
      <c r="S71" s="170">
        <f>SUM(S72:S89)</f>
        <v>8227771.2300000014</v>
      </c>
      <c r="T71" s="170">
        <f>SUM(T72:T89)</f>
        <v>0</v>
      </c>
      <c r="U71" s="170">
        <f>SUM(U72:U88)</f>
        <v>7307735</v>
      </c>
      <c r="V71" s="170">
        <f>SUM(V72:V88)</f>
        <v>36538675</v>
      </c>
      <c r="W71" s="55">
        <f>SUM(W72:W88)</f>
        <v>9106.5620769230791</v>
      </c>
      <c r="X71" s="171">
        <f>SUM(X72:X88)</f>
        <v>126</v>
      </c>
      <c r="Y71" s="193">
        <f t="shared" ref="Y71:AE71" si="7">AVERAGE(Y73:Y88)</f>
        <v>1.9156249999999999</v>
      </c>
      <c r="Z71" s="56">
        <f t="shared" si="7"/>
        <v>0.28437499999999993</v>
      </c>
      <c r="AA71" s="57">
        <f t="shared" si="7"/>
        <v>0.41538461538461546</v>
      </c>
      <c r="AB71" s="57">
        <f t="shared" si="7"/>
        <v>1</v>
      </c>
      <c r="AC71" s="57">
        <f t="shared" si="7"/>
        <v>0.80666666666666664</v>
      </c>
      <c r="AD71" s="57" t="e">
        <f t="shared" si="7"/>
        <v>#DIV/0!</v>
      </c>
      <c r="AE71" s="58">
        <f t="shared" si="7"/>
        <v>0.62857142857142867</v>
      </c>
    </row>
    <row r="72" spans="2:31" s="31" customFormat="1" outlineLevel="1" x14ac:dyDescent="0.25">
      <c r="B72" s="61" t="s">
        <v>283</v>
      </c>
      <c r="C72" s="64"/>
      <c r="D72" s="168"/>
      <c r="E72" s="878">
        <f t="shared" ref="E72:E73" si="8">F72*(1+$C$58)</f>
        <v>0</v>
      </c>
      <c r="F72" s="878">
        <f>SUM(G72:L72)</f>
        <v>0</v>
      </c>
      <c r="G72" s="879">
        <f>G$69*$L72</f>
        <v>0</v>
      </c>
      <c r="H72" s="880">
        <f t="shared" ref="H72:K89" si="9">H$69*$L72</f>
        <v>0</v>
      </c>
      <c r="I72" s="880">
        <f t="shared" si="9"/>
        <v>0</v>
      </c>
      <c r="J72" s="880">
        <f t="shared" si="9"/>
        <v>0</v>
      </c>
      <c r="K72" s="880">
        <f t="shared" si="9"/>
        <v>0</v>
      </c>
      <c r="L72" s="881"/>
      <c r="M72" s="866"/>
      <c r="N72" s="897"/>
      <c r="O72" s="878">
        <f t="shared" ref="O72:O73" si="10">P72*(1+$C$58)</f>
        <v>0</v>
      </c>
      <c r="P72" s="878">
        <f>SUM(Q72:V72)</f>
        <v>0</v>
      </c>
      <c r="Q72" s="879">
        <f t="shared" ref="Q72:U87" si="11">Q$69*$V72</f>
        <v>0</v>
      </c>
      <c r="R72" s="880">
        <f t="shared" si="11"/>
        <v>0</v>
      </c>
      <c r="S72" s="880">
        <f t="shared" si="11"/>
        <v>0</v>
      </c>
      <c r="T72" s="880">
        <f t="shared" si="11"/>
        <v>0</v>
      </c>
      <c r="U72" s="880">
        <f t="shared" si="11"/>
        <v>0</v>
      </c>
      <c r="V72" s="882"/>
      <c r="W72" s="65"/>
      <c r="X72" s="897"/>
      <c r="Y72" s="194"/>
      <c r="Z72" s="73" t="s">
        <v>299</v>
      </c>
      <c r="AA72" s="74" t="s">
        <v>299</v>
      </c>
      <c r="AB72" s="74" t="s">
        <v>299</v>
      </c>
      <c r="AC72" s="74" t="s">
        <v>299</v>
      </c>
      <c r="AD72" s="74" t="s">
        <v>299</v>
      </c>
      <c r="AE72" s="75" t="s">
        <v>299</v>
      </c>
    </row>
    <row r="73" spans="2:31" s="31" customFormat="1" outlineLevel="1" x14ac:dyDescent="0.25">
      <c r="B73" s="61" t="s">
        <v>282</v>
      </c>
      <c r="C73" s="66">
        <f>($D20*$C34*$C32*C62+IF($E7&gt;0,$C49*$E7,0))</f>
        <v>0</v>
      </c>
      <c r="D73" s="168" t="str">
        <f>C12</f>
        <v>НЕТ</v>
      </c>
      <c r="E73" s="871">
        <f t="shared" si="8"/>
        <v>0</v>
      </c>
      <c r="F73" s="871">
        <f t="shared" ref="F73:F88" si="12">SUM(G73:L73)</f>
        <v>0</v>
      </c>
      <c r="G73" s="873">
        <f t="shared" ref="G73:G89" si="13">G$69*$L73</f>
        <v>0</v>
      </c>
      <c r="H73" s="870">
        <f t="shared" si="9"/>
        <v>0</v>
      </c>
      <c r="I73" s="870">
        <f t="shared" si="9"/>
        <v>0</v>
      </c>
      <c r="J73" s="870">
        <f t="shared" si="9"/>
        <v>0</v>
      </c>
      <c r="K73" s="870">
        <f t="shared" si="9"/>
        <v>0</v>
      </c>
      <c r="L73" s="68">
        <f t="shared" ref="L73:L89" si="14">IF(D73="Да",$C73,0)</f>
        <v>0</v>
      </c>
      <c r="M73" s="867">
        <f t="shared" ref="M73:M89" si="15">F73/$C$32</f>
        <v>0</v>
      </c>
      <c r="N73" s="899">
        <f t="shared" ref="N73:N88" si="16">ROUNDUP(((L73/$C$32)/40)*1.2/$Y73,0)</f>
        <v>0</v>
      </c>
      <c r="O73" s="871">
        <f t="shared" si="10"/>
        <v>0</v>
      </c>
      <c r="P73" s="871">
        <f t="shared" ref="P73:P88" si="17">SUM(Q73:V73)</f>
        <v>0</v>
      </c>
      <c r="Q73" s="873">
        <f t="shared" si="11"/>
        <v>0</v>
      </c>
      <c r="R73" s="870">
        <f t="shared" si="11"/>
        <v>0</v>
      </c>
      <c r="S73" s="870">
        <f t="shared" si="11"/>
        <v>0</v>
      </c>
      <c r="T73" s="870">
        <f t="shared" si="11"/>
        <v>0</v>
      </c>
      <c r="U73" s="870">
        <f t="shared" si="11"/>
        <v>0</v>
      </c>
      <c r="V73" s="884">
        <f>IF($D73="Да",$C73*(1+$C$57),0)</f>
        <v>0</v>
      </c>
      <c r="W73" s="161">
        <f>P73/$C$32</f>
        <v>0</v>
      </c>
      <c r="X73" s="899">
        <f t="shared" ref="X73:X88" si="18">ROUNDUP(((V73/$C$32)/40)*1.2/$Y73,0)</f>
        <v>0</v>
      </c>
      <c r="Y73" s="195">
        <f>SUM(Z73:AE73)</f>
        <v>2</v>
      </c>
      <c r="Z73" s="76">
        <v>0.3</v>
      </c>
      <c r="AA73" s="77">
        <v>0.7</v>
      </c>
      <c r="AB73" s="77"/>
      <c r="AC73" s="77">
        <v>1</v>
      </c>
      <c r="AD73" s="77"/>
      <c r="AE73" s="83"/>
    </row>
    <row r="74" spans="2:31" s="31" customFormat="1" ht="30" outlineLevel="1" x14ac:dyDescent="0.25">
      <c r="B74" s="62" t="s">
        <v>699</v>
      </c>
      <c r="C74" s="86">
        <f>(($C20+$C21)*$C36*$C32*C62+IF($E7&gt;0,$E7*C49))</f>
        <v>4709250</v>
      </c>
      <c r="D74" s="393" t="s">
        <v>246</v>
      </c>
      <c r="E74" s="871">
        <f>F74*(1+$C$58)</f>
        <v>8163013.9500000002</v>
      </c>
      <c r="F74" s="871">
        <f t="shared" si="12"/>
        <v>7628985</v>
      </c>
      <c r="G74" s="873">
        <f t="shared" si="13"/>
        <v>47092.5</v>
      </c>
      <c r="H74" s="870">
        <f t="shared" si="9"/>
        <v>941850</v>
      </c>
      <c r="I74" s="870">
        <f t="shared" si="9"/>
        <v>988942.50000000012</v>
      </c>
      <c r="J74" s="870">
        <f t="shared" si="9"/>
        <v>0</v>
      </c>
      <c r="K74" s="870">
        <f t="shared" si="9"/>
        <v>941850</v>
      </c>
      <c r="L74" s="874">
        <f t="shared" si="14"/>
        <v>4709250</v>
      </c>
      <c r="M74" s="867">
        <f t="shared" si="15"/>
        <v>1173.69</v>
      </c>
      <c r="N74" s="899">
        <f t="shared" si="16"/>
        <v>11</v>
      </c>
      <c r="O74" s="871">
        <f>P74*(1+$C$58)</f>
        <v>8163013.9500000002</v>
      </c>
      <c r="P74" s="871">
        <f t="shared" si="17"/>
        <v>7628985</v>
      </c>
      <c r="Q74" s="873">
        <f t="shared" si="11"/>
        <v>47092.5</v>
      </c>
      <c r="R74" s="870">
        <f t="shared" si="11"/>
        <v>941850</v>
      </c>
      <c r="S74" s="870">
        <f t="shared" si="11"/>
        <v>988942.50000000012</v>
      </c>
      <c r="T74" s="870">
        <f t="shared" si="11"/>
        <v>0</v>
      </c>
      <c r="U74" s="870">
        <f t="shared" si="11"/>
        <v>941850</v>
      </c>
      <c r="V74" s="884">
        <f t="shared" ref="V74:V88" si="19">IF($D74="Да",$C74*(1+$C$57),0)</f>
        <v>4709250</v>
      </c>
      <c r="W74" s="161">
        <f t="shared" ref="W74:W89" si="20">P74/$C$32</f>
        <v>1173.69</v>
      </c>
      <c r="X74" s="899">
        <f t="shared" si="18"/>
        <v>11</v>
      </c>
      <c r="Y74" s="195">
        <f>SUM(Z74:AE74)</f>
        <v>2</v>
      </c>
      <c r="Z74" s="394">
        <v>0.3</v>
      </c>
      <c r="AA74" s="84">
        <v>0.7</v>
      </c>
      <c r="AB74" s="84"/>
      <c r="AC74" s="77">
        <v>1</v>
      </c>
      <c r="AD74" s="84"/>
      <c r="AE74" s="82"/>
    </row>
    <row r="75" spans="2:31" s="31" customFormat="1" outlineLevel="1" x14ac:dyDescent="0.25">
      <c r="B75" s="62" t="s">
        <v>1</v>
      </c>
      <c r="C75" s="86">
        <f>$C20*$C37*$C32*C62</f>
        <v>8372000</v>
      </c>
      <c r="D75" s="168" t="s">
        <v>246</v>
      </c>
      <c r="E75" s="871">
        <f t="shared" ref="E75:E88" si="21">F75*(1+$C$58)</f>
        <v>14512024.800000001</v>
      </c>
      <c r="F75" s="871">
        <f t="shared" si="12"/>
        <v>13562640</v>
      </c>
      <c r="G75" s="873">
        <f t="shared" si="13"/>
        <v>83720</v>
      </c>
      <c r="H75" s="870">
        <f t="shared" si="9"/>
        <v>1674400</v>
      </c>
      <c r="I75" s="870">
        <f t="shared" si="9"/>
        <v>1758120.0000000002</v>
      </c>
      <c r="J75" s="870">
        <f t="shared" si="9"/>
        <v>0</v>
      </c>
      <c r="K75" s="870">
        <f t="shared" si="9"/>
        <v>1674400</v>
      </c>
      <c r="L75" s="874">
        <f t="shared" si="14"/>
        <v>8372000</v>
      </c>
      <c r="M75" s="867">
        <f t="shared" si="15"/>
        <v>2086.56</v>
      </c>
      <c r="N75" s="899">
        <f t="shared" si="16"/>
        <v>33</v>
      </c>
      <c r="O75" s="871">
        <f t="shared" ref="O75:O88" si="22">P75*(1+$C$58)</f>
        <v>14512024.800000001</v>
      </c>
      <c r="P75" s="871">
        <f t="shared" si="17"/>
        <v>13562640</v>
      </c>
      <c r="Q75" s="873">
        <f t="shared" si="11"/>
        <v>83720</v>
      </c>
      <c r="R75" s="870">
        <f t="shared" si="11"/>
        <v>1674400</v>
      </c>
      <c r="S75" s="870">
        <f t="shared" si="11"/>
        <v>1758120.0000000002</v>
      </c>
      <c r="T75" s="870">
        <f t="shared" si="11"/>
        <v>0</v>
      </c>
      <c r="U75" s="870">
        <f t="shared" si="11"/>
        <v>1674400</v>
      </c>
      <c r="V75" s="884">
        <f t="shared" si="19"/>
        <v>8372000</v>
      </c>
      <c r="W75" s="161">
        <f t="shared" si="20"/>
        <v>2086.56</v>
      </c>
      <c r="X75" s="899">
        <f t="shared" si="18"/>
        <v>33</v>
      </c>
      <c r="Y75" s="195">
        <f t="shared" ref="Y75:Y84" si="23">SUM(Z75:AE75)</f>
        <v>1.2</v>
      </c>
      <c r="Z75" s="76">
        <v>0.3</v>
      </c>
      <c r="AA75" s="77">
        <v>0.2</v>
      </c>
      <c r="AB75" s="77"/>
      <c r="AC75" s="77">
        <v>0.5</v>
      </c>
      <c r="AD75" s="77"/>
      <c r="AE75" s="83">
        <v>0.2</v>
      </c>
    </row>
    <row r="76" spans="2:31" s="31" customFormat="1" outlineLevel="1" x14ac:dyDescent="0.25">
      <c r="B76" s="62" t="s">
        <v>277</v>
      </c>
      <c r="C76" s="67">
        <f>$C20*$C38*$C32*C62</f>
        <v>12558000</v>
      </c>
      <c r="D76" s="168" t="s">
        <v>246</v>
      </c>
      <c r="E76" s="871">
        <f t="shared" si="21"/>
        <v>21768037.200000003</v>
      </c>
      <c r="F76" s="871">
        <f t="shared" si="12"/>
        <v>20343960</v>
      </c>
      <c r="G76" s="873">
        <f t="shared" si="13"/>
        <v>125580</v>
      </c>
      <c r="H76" s="870">
        <f t="shared" si="9"/>
        <v>2511600</v>
      </c>
      <c r="I76" s="870">
        <f t="shared" si="9"/>
        <v>2637180.0000000005</v>
      </c>
      <c r="J76" s="870">
        <f t="shared" si="9"/>
        <v>0</v>
      </c>
      <c r="K76" s="870">
        <f t="shared" si="9"/>
        <v>2511600</v>
      </c>
      <c r="L76" s="67">
        <f t="shared" si="14"/>
        <v>12558000</v>
      </c>
      <c r="M76" s="867">
        <f t="shared" si="15"/>
        <v>3129.84</v>
      </c>
      <c r="N76" s="899">
        <f t="shared" si="16"/>
        <v>29</v>
      </c>
      <c r="O76" s="871">
        <f t="shared" si="22"/>
        <v>21768037.200000003</v>
      </c>
      <c r="P76" s="871">
        <f t="shared" si="17"/>
        <v>20343960</v>
      </c>
      <c r="Q76" s="873">
        <f t="shared" si="11"/>
        <v>125580</v>
      </c>
      <c r="R76" s="870">
        <f t="shared" si="11"/>
        <v>2511600</v>
      </c>
      <c r="S76" s="870">
        <f t="shared" si="11"/>
        <v>2637180.0000000005</v>
      </c>
      <c r="T76" s="870">
        <f t="shared" si="11"/>
        <v>0</v>
      </c>
      <c r="U76" s="870">
        <f t="shared" si="11"/>
        <v>2511600</v>
      </c>
      <c r="V76" s="885">
        <f t="shared" si="19"/>
        <v>12558000</v>
      </c>
      <c r="W76" s="161">
        <f t="shared" si="20"/>
        <v>3129.84</v>
      </c>
      <c r="X76" s="899">
        <f t="shared" si="18"/>
        <v>29</v>
      </c>
      <c r="Y76" s="195">
        <f t="shared" si="23"/>
        <v>2</v>
      </c>
      <c r="Z76" s="76">
        <v>0.3</v>
      </c>
      <c r="AA76" s="77">
        <v>0.2</v>
      </c>
      <c r="AB76" s="77"/>
      <c r="AC76" s="77">
        <v>1</v>
      </c>
      <c r="AD76" s="77"/>
      <c r="AE76" s="83">
        <v>0.5</v>
      </c>
    </row>
    <row r="77" spans="2:31" s="31" customFormat="1" outlineLevel="1" x14ac:dyDescent="0.25">
      <c r="B77" s="62" t="s">
        <v>278</v>
      </c>
      <c r="C77" s="68">
        <f>C21*C35*C32*C63</f>
        <v>0</v>
      </c>
      <c r="D77" s="168" t="s">
        <v>246</v>
      </c>
      <c r="E77" s="871">
        <f t="shared" si="21"/>
        <v>0</v>
      </c>
      <c r="F77" s="871">
        <f t="shared" si="12"/>
        <v>0</v>
      </c>
      <c r="G77" s="873">
        <f t="shared" si="13"/>
        <v>0</v>
      </c>
      <c r="H77" s="870">
        <f t="shared" si="9"/>
        <v>0</v>
      </c>
      <c r="I77" s="870">
        <f t="shared" si="9"/>
        <v>0</v>
      </c>
      <c r="J77" s="870">
        <f t="shared" si="9"/>
        <v>0</v>
      </c>
      <c r="K77" s="870">
        <f t="shared" si="9"/>
        <v>0</v>
      </c>
      <c r="L77" s="68">
        <f t="shared" si="14"/>
        <v>0</v>
      </c>
      <c r="M77" s="867">
        <f t="shared" si="15"/>
        <v>0</v>
      </c>
      <c r="N77" s="899">
        <f t="shared" si="16"/>
        <v>0</v>
      </c>
      <c r="O77" s="871">
        <f t="shared" si="22"/>
        <v>0</v>
      </c>
      <c r="P77" s="871">
        <f t="shared" si="17"/>
        <v>0</v>
      </c>
      <c r="Q77" s="873">
        <f t="shared" si="11"/>
        <v>0</v>
      </c>
      <c r="R77" s="870">
        <f t="shared" si="11"/>
        <v>0</v>
      </c>
      <c r="S77" s="870">
        <f t="shared" si="11"/>
        <v>0</v>
      </c>
      <c r="T77" s="870">
        <f t="shared" si="11"/>
        <v>0</v>
      </c>
      <c r="U77" s="870">
        <f t="shared" si="11"/>
        <v>0</v>
      </c>
      <c r="V77" s="883">
        <f t="shared" si="19"/>
        <v>0</v>
      </c>
      <c r="W77" s="161">
        <f t="shared" si="20"/>
        <v>0</v>
      </c>
      <c r="X77" s="899">
        <f t="shared" si="18"/>
        <v>0</v>
      </c>
      <c r="Y77" s="195">
        <f t="shared" si="23"/>
        <v>2</v>
      </c>
      <c r="Z77" s="76">
        <v>0.3</v>
      </c>
      <c r="AA77" s="77">
        <v>0.2</v>
      </c>
      <c r="AB77" s="77"/>
      <c r="AC77" s="77">
        <v>0.5</v>
      </c>
      <c r="AD77" s="77"/>
      <c r="AE77" s="83">
        <v>1</v>
      </c>
    </row>
    <row r="78" spans="2:31" s="31" customFormat="1" outlineLevel="1" x14ac:dyDescent="0.25">
      <c r="B78" s="62" t="s">
        <v>279</v>
      </c>
      <c r="C78" s="69">
        <f>$E20*250000</f>
        <v>13750000</v>
      </c>
      <c r="D78" s="168" t="str">
        <f>C13</f>
        <v>НЕТ</v>
      </c>
      <c r="E78" s="871">
        <f t="shared" si="21"/>
        <v>0</v>
      </c>
      <c r="F78" s="871">
        <f t="shared" si="12"/>
        <v>0</v>
      </c>
      <c r="G78" s="873">
        <f t="shared" si="13"/>
        <v>0</v>
      </c>
      <c r="H78" s="870">
        <f t="shared" si="9"/>
        <v>0</v>
      </c>
      <c r="I78" s="870">
        <f t="shared" si="9"/>
        <v>0</v>
      </c>
      <c r="J78" s="870">
        <f t="shared" si="9"/>
        <v>0</v>
      </c>
      <c r="K78" s="870">
        <f t="shared" si="9"/>
        <v>0</v>
      </c>
      <c r="L78" s="69">
        <f t="shared" si="14"/>
        <v>0</v>
      </c>
      <c r="M78" s="868">
        <f t="shared" si="15"/>
        <v>0</v>
      </c>
      <c r="N78" s="901">
        <f t="shared" si="16"/>
        <v>0</v>
      </c>
      <c r="O78" s="871">
        <f t="shared" si="22"/>
        <v>0</v>
      </c>
      <c r="P78" s="871">
        <f t="shared" si="17"/>
        <v>0</v>
      </c>
      <c r="Q78" s="873">
        <f t="shared" si="11"/>
        <v>0</v>
      </c>
      <c r="R78" s="870">
        <f t="shared" si="11"/>
        <v>0</v>
      </c>
      <c r="S78" s="870">
        <f t="shared" si="11"/>
        <v>0</v>
      </c>
      <c r="T78" s="870">
        <f t="shared" si="11"/>
        <v>0</v>
      </c>
      <c r="U78" s="870">
        <f t="shared" si="11"/>
        <v>0</v>
      </c>
      <c r="V78" s="886">
        <f t="shared" si="19"/>
        <v>0</v>
      </c>
      <c r="W78" s="70">
        <f t="shared" si="20"/>
        <v>0</v>
      </c>
      <c r="X78" s="901">
        <f t="shared" si="18"/>
        <v>0</v>
      </c>
      <c r="Y78" s="196">
        <f t="shared" si="23"/>
        <v>2.8</v>
      </c>
      <c r="Z78" s="76">
        <v>0.3</v>
      </c>
      <c r="AA78" s="77">
        <v>0.5</v>
      </c>
      <c r="AB78" s="77">
        <v>1</v>
      </c>
      <c r="AC78" s="77"/>
      <c r="AD78" s="77"/>
      <c r="AE78" s="83">
        <v>1</v>
      </c>
    </row>
    <row r="79" spans="2:31" s="36" customFormat="1" ht="30" outlineLevel="1" x14ac:dyDescent="0.25">
      <c r="B79" s="62" t="s">
        <v>272</v>
      </c>
      <c r="C79" s="71">
        <f>SUM(C74:C77)*0.1+C39*C32</f>
        <v>2563925</v>
      </c>
      <c r="D79" s="168" t="s">
        <v>246</v>
      </c>
      <c r="E79" s="871">
        <f t="shared" si="21"/>
        <v>4444307.5950000007</v>
      </c>
      <c r="F79" s="871">
        <f t="shared" si="12"/>
        <v>4153558.5</v>
      </c>
      <c r="G79" s="873">
        <f t="shared" si="13"/>
        <v>25639.25</v>
      </c>
      <c r="H79" s="870">
        <f t="shared" si="9"/>
        <v>512785</v>
      </c>
      <c r="I79" s="870">
        <f t="shared" si="9"/>
        <v>538424.25</v>
      </c>
      <c r="J79" s="870">
        <f t="shared" si="9"/>
        <v>0</v>
      </c>
      <c r="K79" s="870">
        <f t="shared" si="9"/>
        <v>512785</v>
      </c>
      <c r="L79" s="71">
        <f t="shared" si="14"/>
        <v>2563925</v>
      </c>
      <c r="M79" s="867">
        <f t="shared" si="15"/>
        <v>639.00900000000001</v>
      </c>
      <c r="N79" s="899">
        <f t="shared" si="16"/>
        <v>12</v>
      </c>
      <c r="O79" s="871">
        <f t="shared" si="22"/>
        <v>4444307.5950000007</v>
      </c>
      <c r="P79" s="871">
        <f t="shared" si="17"/>
        <v>4153558.5</v>
      </c>
      <c r="Q79" s="873">
        <f>Q$69*$V79</f>
        <v>25639.25</v>
      </c>
      <c r="R79" s="873">
        <f t="shared" si="11"/>
        <v>512785</v>
      </c>
      <c r="S79" s="870">
        <f t="shared" si="11"/>
        <v>538424.25</v>
      </c>
      <c r="T79" s="870">
        <f t="shared" si="11"/>
        <v>0</v>
      </c>
      <c r="U79" s="870">
        <f t="shared" si="11"/>
        <v>512785</v>
      </c>
      <c r="V79" s="887">
        <f t="shared" si="19"/>
        <v>2563925</v>
      </c>
      <c r="W79" s="161">
        <f t="shared" si="20"/>
        <v>639.00900000000001</v>
      </c>
      <c r="X79" s="899">
        <f t="shared" si="18"/>
        <v>12</v>
      </c>
      <c r="Y79" s="195">
        <f t="shared" si="23"/>
        <v>1</v>
      </c>
      <c r="Z79" s="76">
        <v>0.3</v>
      </c>
      <c r="AA79" s="77">
        <v>0.2</v>
      </c>
      <c r="AB79" s="77"/>
      <c r="AC79" s="77">
        <v>0.5</v>
      </c>
      <c r="AD79" s="77"/>
      <c r="AE79" s="83"/>
    </row>
    <row r="80" spans="2:31" s="36" customFormat="1" ht="30" outlineLevel="1" x14ac:dyDescent="0.25">
      <c r="B80" s="62" t="s">
        <v>271</v>
      </c>
      <c r="C80" s="71">
        <f>SUM(C75:C76)*0.1+C44*C32</f>
        <v>2093000</v>
      </c>
      <c r="D80" s="168" t="s">
        <v>246</v>
      </c>
      <c r="E80" s="871">
        <f t="shared" si="21"/>
        <v>3628006.2</v>
      </c>
      <c r="F80" s="871">
        <f t="shared" si="12"/>
        <v>3390660</v>
      </c>
      <c r="G80" s="873">
        <f t="shared" si="13"/>
        <v>20930</v>
      </c>
      <c r="H80" s="870">
        <f t="shared" si="9"/>
        <v>418600</v>
      </c>
      <c r="I80" s="870">
        <f t="shared" si="9"/>
        <v>439530.00000000006</v>
      </c>
      <c r="J80" s="870">
        <f t="shared" si="9"/>
        <v>0</v>
      </c>
      <c r="K80" s="870">
        <f t="shared" si="9"/>
        <v>418600</v>
      </c>
      <c r="L80" s="71">
        <f t="shared" si="14"/>
        <v>2093000</v>
      </c>
      <c r="M80" s="867">
        <f t="shared" si="15"/>
        <v>521.64</v>
      </c>
      <c r="N80" s="899">
        <f t="shared" si="16"/>
        <v>7</v>
      </c>
      <c r="O80" s="871">
        <f t="shared" si="22"/>
        <v>3628006.2</v>
      </c>
      <c r="P80" s="871">
        <f t="shared" si="17"/>
        <v>3390660</v>
      </c>
      <c r="Q80" s="873">
        <f t="shared" ref="Q80:U88" si="24">Q$69*$V80</f>
        <v>20930</v>
      </c>
      <c r="R80" s="870">
        <f t="shared" si="11"/>
        <v>418600</v>
      </c>
      <c r="S80" s="870">
        <f t="shared" si="11"/>
        <v>439530.00000000006</v>
      </c>
      <c r="T80" s="870">
        <f t="shared" si="11"/>
        <v>0</v>
      </c>
      <c r="U80" s="870">
        <f t="shared" si="11"/>
        <v>418600</v>
      </c>
      <c r="V80" s="887">
        <f t="shared" si="19"/>
        <v>2093000</v>
      </c>
      <c r="W80" s="161">
        <f t="shared" si="20"/>
        <v>521.64</v>
      </c>
      <c r="X80" s="899">
        <f t="shared" si="18"/>
        <v>7</v>
      </c>
      <c r="Y80" s="195">
        <f t="shared" si="23"/>
        <v>1.5</v>
      </c>
      <c r="Z80" s="76">
        <v>0.3</v>
      </c>
      <c r="AA80" s="77">
        <v>0.2</v>
      </c>
      <c r="AB80" s="77"/>
      <c r="AC80" s="77">
        <v>1</v>
      </c>
      <c r="AD80" s="77"/>
      <c r="AE80" s="83"/>
    </row>
    <row r="81" spans="2:31" s="36" customFormat="1" ht="30" outlineLevel="1" x14ac:dyDescent="0.25">
      <c r="B81" s="62" t="s">
        <v>273</v>
      </c>
      <c r="C81" s="71">
        <f>SUM(C75:C76)*0.1</f>
        <v>2093000</v>
      </c>
      <c r="D81" s="168" t="s">
        <v>246</v>
      </c>
      <c r="E81" s="871">
        <f t="shared" si="21"/>
        <v>3628006.2</v>
      </c>
      <c r="F81" s="871">
        <f t="shared" si="12"/>
        <v>3390660</v>
      </c>
      <c r="G81" s="873">
        <f t="shared" si="13"/>
        <v>20930</v>
      </c>
      <c r="H81" s="870">
        <f t="shared" si="9"/>
        <v>418600</v>
      </c>
      <c r="I81" s="870">
        <f t="shared" si="9"/>
        <v>439530.00000000006</v>
      </c>
      <c r="J81" s="870">
        <f t="shared" si="9"/>
        <v>0</v>
      </c>
      <c r="K81" s="870">
        <f t="shared" si="9"/>
        <v>418600</v>
      </c>
      <c r="L81" s="71">
        <f t="shared" si="14"/>
        <v>2093000</v>
      </c>
      <c r="M81" s="867">
        <f t="shared" si="15"/>
        <v>521.64</v>
      </c>
      <c r="N81" s="899">
        <f t="shared" si="16"/>
        <v>4</v>
      </c>
      <c r="O81" s="871">
        <f t="shared" si="22"/>
        <v>3628006.2</v>
      </c>
      <c r="P81" s="871">
        <f t="shared" si="17"/>
        <v>3390660</v>
      </c>
      <c r="Q81" s="873">
        <f t="shared" si="24"/>
        <v>20930</v>
      </c>
      <c r="R81" s="870">
        <f t="shared" si="11"/>
        <v>418600</v>
      </c>
      <c r="S81" s="870">
        <f t="shared" si="11"/>
        <v>439530.00000000006</v>
      </c>
      <c r="T81" s="870">
        <f t="shared" si="11"/>
        <v>0</v>
      </c>
      <c r="U81" s="870">
        <f t="shared" si="11"/>
        <v>418600</v>
      </c>
      <c r="V81" s="887">
        <f t="shared" si="19"/>
        <v>2093000</v>
      </c>
      <c r="W81" s="161">
        <f t="shared" si="20"/>
        <v>521.64</v>
      </c>
      <c r="X81" s="899">
        <f t="shared" si="18"/>
        <v>4</v>
      </c>
      <c r="Y81" s="195">
        <f t="shared" si="23"/>
        <v>2.5</v>
      </c>
      <c r="Z81" s="76">
        <v>0.3</v>
      </c>
      <c r="AA81" s="77">
        <v>0.2</v>
      </c>
      <c r="AB81" s="77"/>
      <c r="AC81" s="77">
        <v>1</v>
      </c>
      <c r="AD81" s="77"/>
      <c r="AE81" s="83">
        <v>1</v>
      </c>
    </row>
    <row r="82" spans="2:31" s="36" customFormat="1" ht="30" outlineLevel="1" x14ac:dyDescent="0.25">
      <c r="B82" s="62" t="s">
        <v>2304</v>
      </c>
      <c r="C82" s="71">
        <f>192000+96000*5</f>
        <v>672000</v>
      </c>
      <c r="D82" s="168" t="s">
        <v>246</v>
      </c>
      <c r="E82" s="871">
        <f t="shared" ref="E82" si="25">F82*(1+$C$58)</f>
        <v>1164844.8</v>
      </c>
      <c r="F82" s="871">
        <f t="shared" ref="F82" si="26">SUM(G82:L82)</f>
        <v>1088640</v>
      </c>
      <c r="G82" s="873">
        <f t="shared" si="13"/>
        <v>6720</v>
      </c>
      <c r="H82" s="870">
        <f t="shared" si="9"/>
        <v>134400</v>
      </c>
      <c r="I82" s="870">
        <f t="shared" si="9"/>
        <v>141120</v>
      </c>
      <c r="J82" s="870">
        <f t="shared" si="9"/>
        <v>0</v>
      </c>
      <c r="K82" s="870">
        <f t="shared" si="9"/>
        <v>134400</v>
      </c>
      <c r="L82" s="71">
        <f t="shared" ref="L82" si="27">IF(D82="Да",$C82,0)</f>
        <v>672000</v>
      </c>
      <c r="M82" s="867">
        <f t="shared" ref="M82" si="28">F82/$C$32</f>
        <v>167.48307692307694</v>
      </c>
      <c r="N82" s="899">
        <f t="shared" ref="N82" si="29">ROUNDUP(((L82/$C$32)/40)*1.2/$Y82,0)</f>
        <v>21</v>
      </c>
      <c r="O82" s="871">
        <f t="shared" ref="O82" si="30">P82*(1+$C$58)</f>
        <v>1164844.8</v>
      </c>
      <c r="P82" s="871">
        <f t="shared" ref="P82" si="31">SUM(Q82:V82)</f>
        <v>1088640</v>
      </c>
      <c r="Q82" s="873">
        <f t="shared" si="24"/>
        <v>6720</v>
      </c>
      <c r="R82" s="870">
        <f t="shared" si="11"/>
        <v>134400</v>
      </c>
      <c r="S82" s="870">
        <f t="shared" si="11"/>
        <v>141120</v>
      </c>
      <c r="T82" s="870">
        <f t="shared" si="11"/>
        <v>0</v>
      </c>
      <c r="U82" s="870">
        <f t="shared" si="11"/>
        <v>134400</v>
      </c>
      <c r="V82" s="887">
        <f t="shared" si="19"/>
        <v>672000</v>
      </c>
      <c r="W82" s="161">
        <f t="shared" ref="W82" si="32">P82/$C$32</f>
        <v>167.48307692307694</v>
      </c>
      <c r="X82" s="899">
        <f t="shared" ref="X82" si="33">ROUNDUP(((V82/$C$32)/40)*1.2/$Y82,0)</f>
        <v>21</v>
      </c>
      <c r="Y82" s="195">
        <f t="shared" ref="Y82" si="34">SUM(Z82:AE82)</f>
        <v>0.15000000000000002</v>
      </c>
      <c r="Z82" s="76">
        <v>0.05</v>
      </c>
      <c r="AA82" s="77"/>
      <c r="AB82" s="77"/>
      <c r="AC82" s="77">
        <v>0.1</v>
      </c>
      <c r="AD82" s="77"/>
      <c r="AE82" s="83"/>
    </row>
    <row r="83" spans="2:31" s="31" customFormat="1" ht="30" outlineLevel="1" x14ac:dyDescent="0.25">
      <c r="B83" s="62" t="s">
        <v>683</v>
      </c>
      <c r="C83" s="68">
        <f>(((C45+F48*D48)*$C32+H48*$C49))</f>
        <v>416000</v>
      </c>
      <c r="D83" s="168" t="s">
        <v>246</v>
      </c>
      <c r="E83" s="871">
        <f t="shared" si="21"/>
        <v>721094.4</v>
      </c>
      <c r="F83" s="871">
        <f t="shared" si="12"/>
        <v>673920</v>
      </c>
      <c r="G83" s="873">
        <f t="shared" si="13"/>
        <v>4160</v>
      </c>
      <c r="H83" s="870">
        <f t="shared" si="9"/>
        <v>83200</v>
      </c>
      <c r="I83" s="870">
        <f t="shared" si="9"/>
        <v>87360.000000000015</v>
      </c>
      <c r="J83" s="870">
        <f t="shared" si="9"/>
        <v>0</v>
      </c>
      <c r="K83" s="870">
        <f t="shared" si="9"/>
        <v>83200</v>
      </c>
      <c r="L83" s="68">
        <f t="shared" si="14"/>
        <v>416000</v>
      </c>
      <c r="M83" s="867">
        <f t="shared" si="15"/>
        <v>103.68</v>
      </c>
      <c r="N83" s="899">
        <f t="shared" si="16"/>
        <v>2</v>
      </c>
      <c r="O83" s="871">
        <f t="shared" si="22"/>
        <v>721094.4</v>
      </c>
      <c r="P83" s="871">
        <f t="shared" si="17"/>
        <v>673920</v>
      </c>
      <c r="Q83" s="873">
        <f t="shared" si="24"/>
        <v>4160</v>
      </c>
      <c r="R83" s="870">
        <f t="shared" si="11"/>
        <v>83200</v>
      </c>
      <c r="S83" s="870">
        <f t="shared" si="11"/>
        <v>87360.000000000015</v>
      </c>
      <c r="T83" s="870">
        <f t="shared" si="11"/>
        <v>0</v>
      </c>
      <c r="U83" s="870">
        <f t="shared" si="11"/>
        <v>83200</v>
      </c>
      <c r="V83" s="883">
        <f t="shared" si="19"/>
        <v>416000</v>
      </c>
      <c r="W83" s="161">
        <f t="shared" si="20"/>
        <v>103.68</v>
      </c>
      <c r="X83" s="899">
        <f t="shared" si="18"/>
        <v>2</v>
      </c>
      <c r="Y83" s="195">
        <f t="shared" si="23"/>
        <v>1.3</v>
      </c>
      <c r="Z83" s="76">
        <v>0.3</v>
      </c>
      <c r="AA83" s="77"/>
      <c r="AB83" s="77"/>
      <c r="AC83" s="77">
        <v>1</v>
      </c>
      <c r="AD83" s="77"/>
      <c r="AE83" s="83"/>
    </row>
    <row r="84" spans="2:31" s="31" customFormat="1" outlineLevel="1" x14ac:dyDescent="0.25">
      <c r="B84" s="62" t="s">
        <v>588</v>
      </c>
      <c r="C84" s="68">
        <f>((F46*D46+F47*D47)*$C32+SUM(H46:H47)*$C49)</f>
        <v>624000</v>
      </c>
      <c r="D84" s="168" t="s">
        <v>246</v>
      </c>
      <c r="E84" s="871">
        <f t="shared" si="21"/>
        <v>1081641.6000000001</v>
      </c>
      <c r="F84" s="871">
        <f t="shared" si="12"/>
        <v>1010880</v>
      </c>
      <c r="G84" s="873">
        <f t="shared" si="13"/>
        <v>6240</v>
      </c>
      <c r="H84" s="870">
        <f t="shared" si="9"/>
        <v>124800</v>
      </c>
      <c r="I84" s="870">
        <f t="shared" si="9"/>
        <v>131040.00000000001</v>
      </c>
      <c r="J84" s="870">
        <f t="shared" si="9"/>
        <v>0</v>
      </c>
      <c r="K84" s="870">
        <f t="shared" si="9"/>
        <v>124800</v>
      </c>
      <c r="L84" s="68">
        <f t="shared" si="14"/>
        <v>624000</v>
      </c>
      <c r="M84" s="867">
        <f t="shared" si="15"/>
        <v>155.52000000000001</v>
      </c>
      <c r="N84" s="899">
        <f t="shared" si="16"/>
        <v>3</v>
      </c>
      <c r="O84" s="871">
        <f t="shared" si="22"/>
        <v>1081641.6000000001</v>
      </c>
      <c r="P84" s="871">
        <f t="shared" si="17"/>
        <v>1010880</v>
      </c>
      <c r="Q84" s="873">
        <f t="shared" si="24"/>
        <v>6240</v>
      </c>
      <c r="R84" s="870">
        <f t="shared" si="11"/>
        <v>124800</v>
      </c>
      <c r="S84" s="870">
        <f t="shared" si="11"/>
        <v>131040.00000000001</v>
      </c>
      <c r="T84" s="870">
        <f t="shared" si="11"/>
        <v>0</v>
      </c>
      <c r="U84" s="870">
        <f t="shared" si="11"/>
        <v>124800</v>
      </c>
      <c r="V84" s="883">
        <f t="shared" si="19"/>
        <v>624000</v>
      </c>
      <c r="W84" s="161">
        <f t="shared" si="20"/>
        <v>155.52000000000001</v>
      </c>
      <c r="X84" s="899">
        <f t="shared" si="18"/>
        <v>3</v>
      </c>
      <c r="Y84" s="195">
        <f t="shared" si="23"/>
        <v>1.3</v>
      </c>
      <c r="Z84" s="76">
        <v>0.3</v>
      </c>
      <c r="AA84" s="77"/>
      <c r="AB84" s="77"/>
      <c r="AC84" s="77">
        <v>1</v>
      </c>
      <c r="AD84" s="77"/>
      <c r="AE84" s="83"/>
    </row>
    <row r="85" spans="2:31" s="31" customFormat="1" outlineLevel="1" x14ac:dyDescent="0.25">
      <c r="B85" s="62" t="s">
        <v>697</v>
      </c>
      <c r="C85" s="399">
        <f>(((($C5*C66+C6*C67)*0.5+C64)*$C32+$E5*$C49))</f>
        <v>1543750</v>
      </c>
      <c r="D85" s="393" t="s">
        <v>246</v>
      </c>
      <c r="E85" s="871">
        <f t="shared" si="21"/>
        <v>2675936.25</v>
      </c>
      <c r="F85" s="871">
        <f t="shared" si="12"/>
        <v>2500875</v>
      </c>
      <c r="G85" s="873">
        <f t="shared" si="13"/>
        <v>15437.5</v>
      </c>
      <c r="H85" s="870">
        <f t="shared" si="9"/>
        <v>308750</v>
      </c>
      <c r="I85" s="870">
        <f t="shared" si="9"/>
        <v>324187.50000000006</v>
      </c>
      <c r="J85" s="870">
        <f t="shared" si="9"/>
        <v>0</v>
      </c>
      <c r="K85" s="870">
        <f t="shared" si="9"/>
        <v>308750</v>
      </c>
      <c r="L85" s="875">
        <f t="shared" si="14"/>
        <v>1543750</v>
      </c>
      <c r="M85" s="867">
        <f t="shared" si="15"/>
        <v>384.75</v>
      </c>
      <c r="N85" s="899">
        <f t="shared" si="16"/>
        <v>2</v>
      </c>
      <c r="O85" s="871">
        <f t="shared" si="22"/>
        <v>2675936.25</v>
      </c>
      <c r="P85" s="871">
        <f t="shared" si="17"/>
        <v>2500875</v>
      </c>
      <c r="Q85" s="873">
        <f t="shared" si="24"/>
        <v>15437.5</v>
      </c>
      <c r="R85" s="870">
        <f t="shared" si="11"/>
        <v>308750</v>
      </c>
      <c r="S85" s="870">
        <f t="shared" si="11"/>
        <v>324187.50000000006</v>
      </c>
      <c r="T85" s="870">
        <f t="shared" si="11"/>
        <v>0</v>
      </c>
      <c r="U85" s="870">
        <f t="shared" si="11"/>
        <v>308750</v>
      </c>
      <c r="V85" s="888">
        <f t="shared" si="19"/>
        <v>1543750</v>
      </c>
      <c r="W85" s="161">
        <f t="shared" si="20"/>
        <v>384.75</v>
      </c>
      <c r="X85" s="899">
        <f t="shared" si="18"/>
        <v>2</v>
      </c>
      <c r="Y85" s="195">
        <f>SUM(Z85:AE86)</f>
        <v>3.7</v>
      </c>
      <c r="Z85" s="394">
        <v>0.3</v>
      </c>
      <c r="AA85" s="84">
        <v>0.7</v>
      </c>
      <c r="AB85" s="84"/>
      <c r="AC85" s="84">
        <v>1</v>
      </c>
      <c r="AD85" s="84"/>
      <c r="AE85" s="83">
        <v>0.5</v>
      </c>
    </row>
    <row r="86" spans="2:31" s="31" customFormat="1" outlineLevel="1" x14ac:dyDescent="0.25">
      <c r="B86" s="62" t="s">
        <v>698</v>
      </c>
      <c r="C86" s="399">
        <f>(((($C5*C66+C6*C67)*0.5+C65)*$C32+$E5*$C49))</f>
        <v>893750</v>
      </c>
      <c r="D86" s="393" t="s">
        <v>246</v>
      </c>
      <c r="E86" s="871">
        <f t="shared" si="21"/>
        <v>1549226.25</v>
      </c>
      <c r="F86" s="871">
        <f t="shared" si="12"/>
        <v>1447875</v>
      </c>
      <c r="G86" s="873">
        <f t="shared" si="13"/>
        <v>8937.5</v>
      </c>
      <c r="H86" s="870">
        <f t="shared" si="9"/>
        <v>178750</v>
      </c>
      <c r="I86" s="870">
        <f t="shared" si="9"/>
        <v>187687.50000000003</v>
      </c>
      <c r="J86" s="870">
        <f t="shared" si="9"/>
        <v>0</v>
      </c>
      <c r="K86" s="870">
        <f t="shared" si="9"/>
        <v>178750</v>
      </c>
      <c r="L86" s="875">
        <f t="shared" si="14"/>
        <v>893750</v>
      </c>
      <c r="M86" s="867">
        <f t="shared" si="15"/>
        <v>222.75</v>
      </c>
      <c r="N86" s="899">
        <f t="shared" si="16"/>
        <v>2</v>
      </c>
      <c r="O86" s="871">
        <f t="shared" si="22"/>
        <v>1549226.25</v>
      </c>
      <c r="P86" s="871">
        <f t="shared" si="17"/>
        <v>1447875</v>
      </c>
      <c r="Q86" s="873">
        <f t="shared" si="24"/>
        <v>8937.5</v>
      </c>
      <c r="R86" s="870">
        <f t="shared" si="11"/>
        <v>178750</v>
      </c>
      <c r="S86" s="870">
        <f t="shared" si="11"/>
        <v>187687.50000000003</v>
      </c>
      <c r="T86" s="870">
        <f t="shared" si="11"/>
        <v>0</v>
      </c>
      <c r="U86" s="870">
        <f t="shared" si="11"/>
        <v>178750</v>
      </c>
      <c r="V86" s="888">
        <f t="shared" si="19"/>
        <v>893750</v>
      </c>
      <c r="W86" s="161">
        <f t="shared" si="20"/>
        <v>222.75</v>
      </c>
      <c r="X86" s="899">
        <f t="shared" si="18"/>
        <v>2</v>
      </c>
      <c r="Y86" s="195">
        <f>SUM(Z86:AE87)</f>
        <v>3.2</v>
      </c>
      <c r="Z86" s="394">
        <v>0.3</v>
      </c>
      <c r="AA86" s="84">
        <v>0.2</v>
      </c>
      <c r="AB86" s="84"/>
      <c r="AC86" s="84">
        <v>0.5</v>
      </c>
      <c r="AD86" s="84"/>
      <c r="AE86" s="83">
        <v>0.2</v>
      </c>
    </row>
    <row r="87" spans="2:31" s="31" customFormat="1" ht="45" outlineLevel="1" x14ac:dyDescent="0.25">
      <c r="B87" s="62" t="s">
        <v>276</v>
      </c>
      <c r="C87" s="99">
        <f>5000000</f>
        <v>5000000</v>
      </c>
      <c r="D87" s="168" t="str">
        <f>C14</f>
        <v>НЕТ</v>
      </c>
      <c r="E87" s="871">
        <f t="shared" si="21"/>
        <v>0</v>
      </c>
      <c r="F87" s="871">
        <f t="shared" si="12"/>
        <v>0</v>
      </c>
      <c r="G87" s="873">
        <f t="shared" si="13"/>
        <v>0</v>
      </c>
      <c r="H87" s="870">
        <f t="shared" si="9"/>
        <v>0</v>
      </c>
      <c r="I87" s="870">
        <f t="shared" si="9"/>
        <v>0</v>
      </c>
      <c r="J87" s="870">
        <f t="shared" si="9"/>
        <v>0</v>
      </c>
      <c r="K87" s="870">
        <f t="shared" si="9"/>
        <v>0</v>
      </c>
      <c r="L87" s="99">
        <f t="shared" si="14"/>
        <v>0</v>
      </c>
      <c r="M87" s="867">
        <f t="shared" si="15"/>
        <v>0</v>
      </c>
      <c r="N87" s="899">
        <f t="shared" si="16"/>
        <v>0</v>
      </c>
      <c r="O87" s="871">
        <f t="shared" si="22"/>
        <v>0</v>
      </c>
      <c r="P87" s="871">
        <f t="shared" si="17"/>
        <v>0</v>
      </c>
      <c r="Q87" s="873">
        <f t="shared" si="24"/>
        <v>0</v>
      </c>
      <c r="R87" s="870">
        <f t="shared" si="11"/>
        <v>0</v>
      </c>
      <c r="S87" s="870">
        <f t="shared" si="11"/>
        <v>0</v>
      </c>
      <c r="T87" s="870">
        <f t="shared" si="11"/>
        <v>0</v>
      </c>
      <c r="U87" s="870">
        <f t="shared" si="11"/>
        <v>0</v>
      </c>
      <c r="V87" s="889">
        <f t="shared" si="19"/>
        <v>0</v>
      </c>
      <c r="W87" s="161">
        <f t="shared" si="20"/>
        <v>0</v>
      </c>
      <c r="X87" s="899">
        <f t="shared" si="18"/>
        <v>0</v>
      </c>
      <c r="Y87" s="195">
        <f>SUM(Z87:AE87)</f>
        <v>2</v>
      </c>
      <c r="Z87" s="394">
        <v>0.3</v>
      </c>
      <c r="AA87" s="84">
        <v>0.7</v>
      </c>
      <c r="AB87" s="77"/>
      <c r="AC87" s="77">
        <v>1</v>
      </c>
      <c r="AD87" s="77"/>
      <c r="AE87" s="83"/>
    </row>
    <row r="88" spans="2:31" s="31" customFormat="1" ht="30.75" outlineLevel="1" thickBot="1" x14ac:dyDescent="0.3">
      <c r="B88" s="105" t="s">
        <v>275</v>
      </c>
      <c r="C88" s="106">
        <f>C80</f>
        <v>2093000</v>
      </c>
      <c r="D88" s="168" t="s">
        <v>255</v>
      </c>
      <c r="E88" s="872">
        <f t="shared" si="21"/>
        <v>0</v>
      </c>
      <c r="F88" s="872">
        <f t="shared" si="12"/>
        <v>0</v>
      </c>
      <c r="G88" s="876">
        <f t="shared" si="13"/>
        <v>0</v>
      </c>
      <c r="H88" s="877">
        <f t="shared" si="9"/>
        <v>0</v>
      </c>
      <c r="I88" s="986">
        <f t="shared" si="9"/>
        <v>0</v>
      </c>
      <c r="J88" s="986">
        <f t="shared" si="9"/>
        <v>0</v>
      </c>
      <c r="K88" s="877">
        <f t="shared" si="9"/>
        <v>0</v>
      </c>
      <c r="L88" s="106">
        <f t="shared" si="14"/>
        <v>0</v>
      </c>
      <c r="M88" s="869">
        <f t="shared" si="15"/>
        <v>0</v>
      </c>
      <c r="N88" s="902">
        <f t="shared" si="16"/>
        <v>0</v>
      </c>
      <c r="O88" s="872">
        <f t="shared" si="22"/>
        <v>0</v>
      </c>
      <c r="P88" s="872">
        <f t="shared" si="17"/>
        <v>0</v>
      </c>
      <c r="Q88" s="876">
        <f t="shared" si="24"/>
        <v>0</v>
      </c>
      <c r="R88" s="877">
        <f t="shared" si="24"/>
        <v>0</v>
      </c>
      <c r="S88" s="986">
        <f t="shared" si="24"/>
        <v>0</v>
      </c>
      <c r="T88" s="986">
        <f t="shared" si="24"/>
        <v>0</v>
      </c>
      <c r="U88" s="877">
        <f t="shared" si="24"/>
        <v>0</v>
      </c>
      <c r="V88" s="890">
        <f t="shared" si="19"/>
        <v>0</v>
      </c>
      <c r="W88" s="72">
        <f t="shared" si="20"/>
        <v>0</v>
      </c>
      <c r="X88" s="902">
        <f t="shared" si="18"/>
        <v>0</v>
      </c>
      <c r="Y88" s="197">
        <f>SUM(Z88:AE88)</f>
        <v>2</v>
      </c>
      <c r="Z88" s="78">
        <v>0.3</v>
      </c>
      <c r="AA88" s="79">
        <v>0.7</v>
      </c>
      <c r="AB88" s="79"/>
      <c r="AC88" s="79">
        <v>1</v>
      </c>
      <c r="AD88" s="79"/>
      <c r="AE88" s="80"/>
    </row>
    <row r="89" spans="2:31" s="31" customFormat="1" ht="15.75" outlineLevel="1" thickBot="1" x14ac:dyDescent="0.3">
      <c r="B89" s="991" t="s">
        <v>2227</v>
      </c>
      <c r="C89" s="992">
        <v>2641188</v>
      </c>
      <c r="D89" s="168" t="s">
        <v>246</v>
      </c>
      <c r="E89" s="872">
        <f t="shared" ref="E89" si="35">F89*(1+$C$59)</f>
        <v>4278724.5600000005</v>
      </c>
      <c r="F89" s="872">
        <f t="shared" ref="F89" si="36">SUM(G89:L89)</f>
        <v>4278724.5600000005</v>
      </c>
      <c r="G89" s="876">
        <f t="shared" si="13"/>
        <v>26411.88</v>
      </c>
      <c r="H89" s="877">
        <f t="shared" si="9"/>
        <v>528237.6</v>
      </c>
      <c r="I89" s="996">
        <f t="shared" si="9"/>
        <v>554649.4800000001</v>
      </c>
      <c r="J89" s="996">
        <f t="shared" si="9"/>
        <v>0</v>
      </c>
      <c r="K89" s="877">
        <f t="shared" si="9"/>
        <v>528237.6</v>
      </c>
      <c r="L89" s="106">
        <f t="shared" si="14"/>
        <v>2641188</v>
      </c>
      <c r="M89" s="869">
        <f t="shared" si="15"/>
        <v>658.26531692307697</v>
      </c>
      <c r="N89" s="902"/>
      <c r="O89" s="872">
        <f t="shared" ref="O89" si="37">P89*(1+$C$59)</f>
        <v>4463607.7200000007</v>
      </c>
      <c r="P89" s="872">
        <f t="shared" ref="P89" si="38">SUM(Q89:V89)</f>
        <v>4463607.7200000007</v>
      </c>
      <c r="Q89" s="876">
        <f t="shared" ref="Q89" si="39">Q$69*$L89</f>
        <v>26411.88</v>
      </c>
      <c r="R89" s="877">
        <f t="shared" ref="R89:U89" si="40">R$69*$L89</f>
        <v>528237.6</v>
      </c>
      <c r="S89" s="996">
        <f t="shared" si="40"/>
        <v>554649.4800000001</v>
      </c>
      <c r="T89" s="996">
        <f t="shared" si="40"/>
        <v>0</v>
      </c>
      <c r="U89" s="877">
        <f t="shared" si="40"/>
        <v>528237.6</v>
      </c>
      <c r="V89" s="890">
        <f t="shared" ref="V89" si="41">IF($D89="Да",$C89*(1+$C$58),0)</f>
        <v>2826071.16</v>
      </c>
      <c r="W89" s="72">
        <f t="shared" si="20"/>
        <v>686.70888000000014</v>
      </c>
      <c r="X89" s="902"/>
      <c r="Y89" s="195">
        <f>SUM(Z89:AE89)</f>
        <v>0.4</v>
      </c>
      <c r="Z89" s="78"/>
      <c r="AA89" s="79"/>
      <c r="AB89" s="79"/>
      <c r="AC89" s="79">
        <v>0.2</v>
      </c>
      <c r="AD89" s="79"/>
      <c r="AE89" s="80">
        <v>0.2</v>
      </c>
    </row>
    <row r="90" spans="2:31" ht="45" x14ac:dyDescent="0.25">
      <c r="K90" s="2"/>
      <c r="M90" s="2" t="s">
        <v>1788</v>
      </c>
      <c r="N90" s="2">
        <f>N71/4</f>
        <v>31.5</v>
      </c>
      <c r="O90" s="2"/>
      <c r="W90" s="2" t="s">
        <v>1788</v>
      </c>
      <c r="X90" s="2">
        <f>X71/4</f>
        <v>31.5</v>
      </c>
    </row>
    <row r="91" spans="2:31" ht="30" x14ac:dyDescent="0.25">
      <c r="W91" s="833" t="s">
        <v>1792</v>
      </c>
      <c r="X91" s="834" t="s">
        <v>1793</v>
      </c>
      <c r="Y91" s="835" t="s">
        <v>1794</v>
      </c>
    </row>
  </sheetData>
  <autoFilter ref="B19:E45" xr:uid="{00000000-0009-0000-0000-00000C000000}"/>
  <mergeCells count="9">
    <mergeCell ref="B60:C60"/>
    <mergeCell ref="B30:C30"/>
    <mergeCell ref="B31:C31"/>
    <mergeCell ref="B2:C2"/>
    <mergeCell ref="B18:B19"/>
    <mergeCell ref="C18:E18"/>
    <mergeCell ref="B27:C27"/>
    <mergeCell ref="B28:C28"/>
    <mergeCell ref="B29:C29"/>
  </mergeCells>
  <conditionalFormatting sqref="C10:C16">
    <cfRule type="cellIs" dxfId="110" priority="123" operator="equal">
      <formula>"ДА"</formula>
    </cfRule>
    <cfRule type="cellIs" dxfId="109" priority="124" operator="equal">
      <formula>"НЕТ"</formula>
    </cfRule>
  </conditionalFormatting>
  <conditionalFormatting sqref="C72:C89">
    <cfRule type="expression" dxfId="108" priority="1">
      <formula>#REF!=0</formula>
    </cfRule>
  </conditionalFormatting>
  <conditionalFormatting sqref="C20:E21">
    <cfRule type="cellIs" dxfId="107" priority="338" operator="equal">
      <formula>"ДА"</formula>
    </cfRule>
    <cfRule type="cellIs" dxfId="106" priority="337" operator="equal">
      <formula>"НЕТ"</formula>
    </cfRule>
  </conditionalFormatting>
  <conditionalFormatting sqref="C71:F71">
    <cfRule type="expression" dxfId="105" priority="67">
      <formula>#REF!=0</formula>
    </cfRule>
  </conditionalFormatting>
  <conditionalFormatting sqref="D10:D16">
    <cfRule type="cellIs" dxfId="104" priority="122" operator="equal">
      <formula>"КОРП"</formula>
    </cfRule>
    <cfRule type="cellIs" dxfId="103" priority="121" operator="equal">
      <formula>"ПРОФ"</formula>
    </cfRule>
  </conditionalFormatting>
  <conditionalFormatting sqref="D32:D33">
    <cfRule type="cellIs" dxfId="102" priority="138" operator="equal">
      <formula>"Формула"</formula>
    </cfRule>
    <cfRule type="cellIs" dxfId="101" priority="137" operator="equal">
      <formula>"Значение введено вручную"</formula>
    </cfRule>
  </conditionalFormatting>
  <conditionalFormatting sqref="D52:D54">
    <cfRule type="cellIs" dxfId="100" priority="9" operator="equal">
      <formula>"Формула"</formula>
    </cfRule>
    <cfRule type="cellIs" dxfId="99" priority="8" operator="equal">
      <formula>"Значение введено вручную"</formula>
    </cfRule>
  </conditionalFormatting>
  <conditionalFormatting sqref="D62:D67">
    <cfRule type="cellIs" dxfId="98" priority="112" operator="equal">
      <formula>"Формула"</formula>
    </cfRule>
    <cfRule type="cellIs" dxfId="97" priority="111" operator="equal">
      <formula>"Значение введено вручную"</formula>
    </cfRule>
  </conditionalFormatting>
  <conditionalFormatting sqref="D72:D89">
    <cfRule type="cellIs" dxfId="96" priority="47" operator="equal">
      <formula>"НЕТ"</formula>
    </cfRule>
    <cfRule type="cellIs" dxfId="95" priority="48" operator="equal">
      <formula>"ДА"</formula>
    </cfRule>
  </conditionalFormatting>
  <conditionalFormatting sqref="E2">
    <cfRule type="cellIs" dxfId="94" priority="115" operator="equal">
      <formula>"SMB Заказчик"</formula>
    </cfRule>
    <cfRule type="cellIs" dxfId="93" priority="116" operator="equal">
      <formula>"КОРП Заказчик"</formula>
    </cfRule>
  </conditionalFormatting>
  <conditionalFormatting sqref="E10:E16">
    <cfRule type="cellIs" dxfId="92" priority="120" operator="equal">
      <formula>"НЕТ"</formula>
    </cfRule>
    <cfRule type="cellIs" dxfId="91" priority="119" operator="equal">
      <formula>"ДА"</formula>
    </cfRule>
  </conditionalFormatting>
  <conditionalFormatting sqref="E54">
    <cfRule type="cellIs" dxfId="90" priority="3" operator="equal">
      <formula>"ДА"</formula>
    </cfRule>
    <cfRule type="cellIs" dxfId="89" priority="4" operator="equal">
      <formula>"НЕТ"</formula>
    </cfRule>
    <cfRule type="cellIs" dxfId="88" priority="2" operator="equal">
      <formula>"Указать"</formula>
    </cfRule>
  </conditionalFormatting>
  <conditionalFormatting sqref="F10:F16">
    <cfRule type="cellIs" dxfId="87" priority="117" operator="equal">
      <formula>"Значение введено вручную"</formula>
    </cfRule>
    <cfRule type="cellIs" dxfId="86" priority="118" operator="equal">
      <formula>"Формула"</formula>
    </cfRule>
  </conditionalFormatting>
  <conditionalFormatting sqref="I71:J89">
    <cfRule type="expression" dxfId="84" priority="33">
      <formula>#REF!=0</formula>
    </cfRule>
  </conditionalFormatting>
  <conditionalFormatting sqref="M72:N89">
    <cfRule type="expression" dxfId="82" priority="41">
      <formula>#REF!=0</formula>
    </cfRule>
  </conditionalFormatting>
  <conditionalFormatting sqref="M71:P71">
    <cfRule type="expression" dxfId="81" priority="66">
      <formula>#REF!=0</formula>
    </cfRule>
  </conditionalFormatting>
  <conditionalFormatting sqref="N90:O90 X90">
    <cfRule type="cellIs" dxfId="80" priority="130" operator="greaterThan">
      <formula>18</formula>
    </cfRule>
    <cfRule type="cellIs" dxfId="79" priority="132" operator="lessThanOrEqual">
      <formula>12</formula>
    </cfRule>
    <cfRule type="cellIs" dxfId="78" priority="131" operator="between">
      <formula>12</formula>
      <formula>18</formula>
    </cfRule>
  </conditionalFormatting>
  <conditionalFormatting sqref="S71:T89">
    <cfRule type="expression" dxfId="76" priority="15">
      <formula>#REF!=0</formula>
    </cfRule>
  </conditionalFormatting>
  <conditionalFormatting sqref="W71:Y89">
    <cfRule type="expression" dxfId="74" priority="39">
      <formula>#REF!=0</formula>
    </cfRule>
  </conditionalFormatting>
  <conditionalFormatting sqref="Z86:AA86">
    <cfRule type="colorScale" priority="98">
      <colorScale>
        <cfvo type="min"/>
        <cfvo type="max"/>
        <color rgb="FFFFEF9C"/>
        <color rgb="FF63BE7B"/>
      </colorScale>
    </cfRule>
    <cfRule type="colorScale" priority="97">
      <colorScale>
        <cfvo type="min"/>
        <cfvo type="max"/>
        <color rgb="FFFFEF9C"/>
        <color rgb="FF63BE7B"/>
      </colorScale>
    </cfRule>
  </conditionalFormatting>
  <conditionalFormatting sqref="Z87:AE88 Z72:AE85">
    <cfRule type="colorScale" priority="107">
      <colorScale>
        <cfvo type="min"/>
        <cfvo type="max"/>
        <color rgb="FFFFEF9C"/>
        <color rgb="FF63BE7B"/>
      </colorScale>
    </cfRule>
  </conditionalFormatting>
  <conditionalFormatting sqref="Z87:AE88 Z73:AE85">
    <cfRule type="colorScale" priority="108">
      <colorScale>
        <cfvo type="min"/>
        <cfvo type="max"/>
        <color rgb="FFFFEF9C"/>
        <color rgb="FF63BE7B"/>
      </colorScale>
    </cfRule>
  </conditionalFormatting>
  <conditionalFormatting sqref="Z89:AE89">
    <cfRule type="colorScale" priority="50">
      <colorScale>
        <cfvo type="min"/>
        <cfvo type="max"/>
        <color rgb="FFFFEF9C"/>
        <color rgb="FF63BE7B"/>
      </colorScale>
    </cfRule>
    <cfRule type="colorScale" priority="49">
      <colorScale>
        <cfvo type="min"/>
        <cfvo type="max"/>
        <color rgb="FFFFEF9C"/>
        <color rgb="FF63BE7B"/>
      </colorScale>
    </cfRule>
  </conditionalFormatting>
  <conditionalFormatting sqref="AB86:AE86">
    <cfRule type="colorScale" priority="101">
      <colorScale>
        <cfvo type="min"/>
        <cfvo type="max"/>
        <color rgb="FFFFEF9C"/>
        <color rgb="FF63BE7B"/>
      </colorScale>
    </cfRule>
    <cfRule type="colorScale" priority="102">
      <colorScale>
        <cfvo type="min"/>
        <cfvo type="max"/>
        <color rgb="FFFFEF9C"/>
        <color rgb="FF63BE7B"/>
      </colorScale>
    </cfRule>
  </conditionalFormatting>
  <dataValidations disablePrompts="1" count="3">
    <dataValidation type="list" allowBlank="1" showInputMessage="1" showErrorMessage="1" sqref="C61" xr:uid="{00000000-0002-0000-0C00-000000000000}">
      <formula1>"ДО 200,201-500,501-1000,1001+"</formula1>
    </dataValidation>
    <dataValidation type="list" allowBlank="1" showInputMessage="1" showErrorMessage="1" sqref="E10:E16 C10:C16 D72:D73 D87:D89 D75:D84" xr:uid="{00000000-0002-0000-0C00-000001000000}">
      <formula1>"ДА,НЕТ"</formula1>
    </dataValidation>
    <dataValidation type="list" allowBlank="1" showInputMessage="1" showErrorMessage="1" sqref="C58" xr:uid="{00000000-0002-0000-0C00-000002000000}">
      <formula1>"0%,7%,20%"</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2" id="{76C6B3AE-4552-4C8A-BBB6-62878364C48A}">
            <xm:f>'Очередь 1 Кейс-Совм'!#REF!=0</xm:f>
            <x14:dxf>
              <fill>
                <patternFill>
                  <bgColor theme="2"/>
                </patternFill>
              </fill>
            </x14:dxf>
          </x14:cfRule>
          <xm:sqref>G71:H89</xm:sqref>
        </x14:conditionalFormatting>
        <x14:conditionalFormatting xmlns:xm="http://schemas.microsoft.com/office/excel/2006/main">
          <x14:cfRule type="expression" priority="43" id="{74F075CB-1BD0-4EED-AA59-55C16023F1DE}">
            <xm:f>'Очередь 1 Кейс-Совм'!#REF!=0</xm:f>
            <x14:dxf>
              <fill>
                <patternFill>
                  <bgColor theme="2"/>
                </patternFill>
              </fill>
            </x14:dxf>
          </x14:cfRule>
          <xm:sqref>K71:L89</xm:sqref>
        </x14:conditionalFormatting>
        <x14:conditionalFormatting xmlns:xm="http://schemas.microsoft.com/office/excel/2006/main">
          <x14:cfRule type="expression" priority="17" id="{D89F649E-39D8-4B91-900F-970BE37A9540}">
            <xm:f>'Очередь 1 Кейс-Совм'!#REF!=0</xm:f>
            <x14:dxf>
              <fill>
                <patternFill>
                  <bgColor theme="2"/>
                </patternFill>
              </fill>
            </x14:dxf>
          </x14:cfRule>
          <xm:sqref>Q71:R89</xm:sqref>
        </x14:conditionalFormatting>
        <x14:conditionalFormatting xmlns:xm="http://schemas.microsoft.com/office/excel/2006/main">
          <x14:cfRule type="expression" priority="18" id="{0754B1F8-F41A-43FE-94DC-6E1708F0D201}">
            <xm:f>'Очередь 1 Кейс-Совм'!#REF!=0</xm:f>
            <x14:dxf>
              <fill>
                <patternFill>
                  <bgColor theme="2"/>
                </patternFill>
              </fill>
            </x14:dxf>
          </x14:cfRule>
          <xm:sqref>U71:V89</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C00-000003000000}">
          <x14:formula1>
            <xm:f>Списки!$K$2:$K$7</xm:f>
          </x14:formula1>
          <xm:sqref>C33</xm:sqref>
        </x14:dataValidation>
        <x14:dataValidation type="list" allowBlank="1" showInputMessage="1" showErrorMessage="1" xr:uid="{00000000-0002-0000-0C00-000004000000}">
          <x14:formula1>
            <xm:f>Списки!$M$2:$M$5</xm:f>
          </x14:formula1>
          <xm:sqref>C1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E91"/>
  <sheetViews>
    <sheetView topLeftCell="A35" zoomScale="70" zoomScaleNormal="70" workbookViewId="0">
      <selection activeCell="C54" sqref="C54"/>
    </sheetView>
  </sheetViews>
  <sheetFormatPr defaultColWidth="9.28515625" defaultRowHeight="15" outlineLevelRow="3" outlineLevelCol="1" x14ac:dyDescent="0.25"/>
  <cols>
    <col min="1" max="1" width="9.7109375" style="1" customWidth="1"/>
    <col min="2" max="2" width="46.42578125" style="1" customWidth="1"/>
    <col min="3" max="3" width="23" style="1" customWidth="1"/>
    <col min="4" max="4" width="25.7109375" style="1" customWidth="1"/>
    <col min="5" max="5" width="19.7109375" style="1" customWidth="1" collapsed="1"/>
    <col min="6" max="11" width="19.7109375" style="1" hidden="1" customWidth="1" outlineLevel="1"/>
    <col min="12" max="12" width="26.28515625" style="1" hidden="1" customWidth="1" outlineLevel="1"/>
    <col min="13" max="13" width="19.7109375" style="1" customWidth="1"/>
    <col min="14" max="15" width="23" style="1" customWidth="1"/>
    <col min="16" max="20" width="23" style="1" customWidth="1" outlineLevel="1"/>
    <col min="21" max="22" width="18" style="1" customWidth="1" outlineLevel="1"/>
    <col min="23" max="23" width="9.28515625" style="1"/>
    <col min="24" max="24" width="14" style="1" customWidth="1"/>
    <col min="25" max="29" width="11.28515625" style="1" customWidth="1" outlineLevel="1"/>
    <col min="30" max="31" width="9.28515625" style="1" customWidth="1" outlineLevel="1"/>
    <col min="32" max="16384" width="9.28515625" style="1"/>
  </cols>
  <sheetData>
    <row r="1" spans="2:12" ht="21.75" thickBot="1" x14ac:dyDescent="0.3">
      <c r="B1" s="1006" t="s">
        <v>2230</v>
      </c>
      <c r="C1" s="1007" t="s">
        <v>503</v>
      </c>
    </row>
    <row r="2" spans="2:12" ht="66" customHeight="1" thickBot="1" x14ac:dyDescent="0.3">
      <c r="B2" s="1276" t="s">
        <v>321</v>
      </c>
      <c r="C2" s="1277"/>
      <c r="D2" s="411" t="str">
        <f>'2.ФС для Заполнения'!AI2</f>
        <v>ДО 200</v>
      </c>
      <c r="E2" s="411" t="str">
        <f>IF(D2="1001+","КОРП Заказчик", "SMB Заказчик")</f>
        <v>SMB Заказчик</v>
      </c>
      <c r="L2" s="2"/>
    </row>
    <row r="3" spans="2:12" ht="33.75" customHeight="1" outlineLevel="1" collapsed="1" thickBot="1" x14ac:dyDescent="0.3">
      <c r="B3" s="198" t="s">
        <v>4</v>
      </c>
      <c r="C3" s="40" t="s">
        <v>7</v>
      </c>
      <c r="D3" s="40" t="s">
        <v>258</v>
      </c>
      <c r="E3" s="43" t="s">
        <v>259</v>
      </c>
    </row>
    <row r="4" spans="2:12" ht="33.75" hidden="1" customHeight="1" outlineLevel="2" x14ac:dyDescent="0.25">
      <c r="B4" s="42" t="s">
        <v>319</v>
      </c>
      <c r="C4" s="47">
        <f t="shared" ref="C4:C7" si="0">D4+E4</f>
        <v>95</v>
      </c>
      <c r="D4" s="47">
        <f>SUM(D5:D6)</f>
        <v>95</v>
      </c>
      <c r="E4" s="400">
        <f>SUM(E5:E6)</f>
        <v>0</v>
      </c>
    </row>
    <row r="5" spans="2:12" ht="16.5" hidden="1" customHeight="1" outlineLevel="3" x14ac:dyDescent="0.25">
      <c r="B5" s="41" t="s">
        <v>5</v>
      </c>
      <c r="C5" s="48">
        <f t="shared" si="0"/>
        <v>20</v>
      </c>
      <c r="D5" s="407">
        <f>'2.ФС для Заполнения'!AJ5</f>
        <v>20</v>
      </c>
      <c r="E5" s="408">
        <f>'2.ФС для Заполнения'!AK5</f>
        <v>0</v>
      </c>
    </row>
    <row r="6" spans="2:12" ht="33.75" hidden="1" customHeight="1" outlineLevel="3" x14ac:dyDescent="0.25">
      <c r="B6" s="41" t="s">
        <v>6</v>
      </c>
      <c r="C6" s="48">
        <f t="shared" si="0"/>
        <v>75</v>
      </c>
      <c r="D6" s="407">
        <f>'2.ФС для Заполнения'!AJ6</f>
        <v>75</v>
      </c>
      <c r="E6" s="408">
        <f>'2.ФС для Заполнения'!AK6</f>
        <v>0</v>
      </c>
    </row>
    <row r="7" spans="2:12" ht="30.75" hidden="1" customHeight="1" outlineLevel="2" thickBot="1" x14ac:dyDescent="0.3">
      <c r="B7" s="402" t="s">
        <v>320</v>
      </c>
      <c r="C7" s="403">
        <f t="shared" si="0"/>
        <v>5</v>
      </c>
      <c r="D7" s="409">
        <f>'2.ФС для Заполнения'!AJ7</f>
        <v>5</v>
      </c>
      <c r="E7" s="410">
        <f>'2.ФС для Заполнения'!AK7</f>
        <v>0</v>
      </c>
    </row>
    <row r="8" spans="2:12" ht="30.75" hidden="1" customHeight="1" outlineLevel="2" thickBot="1" x14ac:dyDescent="0.3"/>
    <row r="9" spans="2:12" ht="30.75" hidden="1" customHeight="1" outlineLevel="2" thickBot="1" x14ac:dyDescent="0.3">
      <c r="B9" s="823"/>
      <c r="C9" s="839" t="s">
        <v>1803</v>
      </c>
      <c r="D9" s="840" t="s">
        <v>1804</v>
      </c>
      <c r="E9" s="840" t="s">
        <v>1805</v>
      </c>
    </row>
    <row r="10" spans="2:12" ht="30.75" hidden="1" customHeight="1" outlineLevel="2" thickBot="1" x14ac:dyDescent="0.3">
      <c r="B10" s="396" t="s">
        <v>1765</v>
      </c>
      <c r="C10" s="821" t="str">
        <f>E10</f>
        <v>НЕТ</v>
      </c>
      <c r="D10" s="838" t="s">
        <v>223</v>
      </c>
      <c r="E10" s="821" t="str">
        <f>IF(OR('1.Содержание проекта'!C102="ДА",'1.Содержание проекта'!C107="ДА",'1.Содержание проекта'!C111="ДА",'1.Содержание проекта'!C113="ДА"),"ДА","НЕТ")</f>
        <v>НЕТ</v>
      </c>
      <c r="F10" s="822" t="str">
        <f t="shared" ref="F10:F16" ca="1" si="1">IF(ISERROR(_xlfn.FORMULATEXT(E10)),"Значение введено вручную","Формула")</f>
        <v>Формула</v>
      </c>
    </row>
    <row r="11" spans="2:12" ht="30.75" hidden="1" customHeight="1" outlineLevel="2" thickBot="1" x14ac:dyDescent="0.3">
      <c r="B11" s="396" t="s">
        <v>1839</v>
      </c>
      <c r="C11" s="821" t="str">
        <f t="shared" ref="C11:C16" si="2">E11</f>
        <v>НЕТ</v>
      </c>
      <c r="D11" s="838" t="s">
        <v>1801</v>
      </c>
      <c r="E11" s="821" t="str">
        <f>IF(OR('1.Содержание проекта'!D101="ДА",,SUM('1.Содержание проекта'!G117:G123)&gt;0),"ДА","НЕТ")</f>
        <v>НЕТ</v>
      </c>
      <c r="F11" s="822" t="str">
        <f t="shared" ca="1" si="1"/>
        <v>Формула</v>
      </c>
    </row>
    <row r="12" spans="2:12" ht="30.75" hidden="1" customHeight="1" outlineLevel="2" thickBot="1" x14ac:dyDescent="0.3">
      <c r="B12" s="396" t="s">
        <v>1766</v>
      </c>
      <c r="C12" s="821" t="str">
        <f t="shared" si="2"/>
        <v>НЕТ</v>
      </c>
      <c r="D12" s="838" t="s">
        <v>223</v>
      </c>
      <c r="E12" s="821" t="str">
        <f>IF(OR('1.Содержание проекта'!C103="ДА",'1.Содержание проекта'!C104="ДА"),"ДА","НЕТ")</f>
        <v>НЕТ</v>
      </c>
      <c r="F12" s="822" t="str">
        <f t="shared" ca="1" si="1"/>
        <v>Формула</v>
      </c>
    </row>
    <row r="13" spans="2:12" ht="30.75" hidden="1" customHeight="1" outlineLevel="2" thickBot="1" x14ac:dyDescent="0.3">
      <c r="B13" s="396" t="s">
        <v>1767</v>
      </c>
      <c r="C13" s="821" t="str">
        <f t="shared" si="2"/>
        <v>НЕТ</v>
      </c>
      <c r="D13" s="838" t="s">
        <v>1801</v>
      </c>
      <c r="E13" s="821" t="str">
        <f>'1.Содержание проекта'!C105</f>
        <v>НЕТ</v>
      </c>
      <c r="F13" s="822" t="str">
        <f t="shared" ca="1" si="1"/>
        <v>Формула</v>
      </c>
    </row>
    <row r="14" spans="2:12" ht="30.75" hidden="1" customHeight="1" outlineLevel="2" thickBot="1" x14ac:dyDescent="0.3">
      <c r="B14" s="396" t="s">
        <v>1768</v>
      </c>
      <c r="C14" s="821" t="str">
        <f t="shared" si="2"/>
        <v>НЕТ</v>
      </c>
      <c r="D14" s="838" t="s">
        <v>1801</v>
      </c>
      <c r="E14" s="821" t="str">
        <f>IF(SUM('1.Содержание проекта'!G86:G99)=0,"НЕТ","ДА")</f>
        <v>НЕТ</v>
      </c>
      <c r="F14" s="822" t="str">
        <f t="shared" ca="1" si="1"/>
        <v>Формула</v>
      </c>
    </row>
    <row r="15" spans="2:12" ht="30.75" hidden="1" customHeight="1" outlineLevel="2" thickBot="1" x14ac:dyDescent="0.3">
      <c r="B15" s="396" t="s">
        <v>1771</v>
      </c>
      <c r="C15" s="821" t="str">
        <f t="shared" si="2"/>
        <v>НЕТ</v>
      </c>
      <c r="D15" s="838" t="s">
        <v>223</v>
      </c>
      <c r="E15" s="821" t="str">
        <f>'1.Содержание проекта'!C115</f>
        <v>НЕТ</v>
      </c>
      <c r="F15" s="822" t="str">
        <f t="shared" ca="1" si="1"/>
        <v>Формула</v>
      </c>
    </row>
    <row r="16" spans="2:12" ht="16.5" collapsed="1" thickBot="1" x14ac:dyDescent="0.3">
      <c r="B16" s="396" t="s">
        <v>1772</v>
      </c>
      <c r="C16" s="821" t="str">
        <f t="shared" si="2"/>
        <v>НЕТ</v>
      </c>
      <c r="D16" s="838" t="s">
        <v>1801</v>
      </c>
      <c r="E16" s="821" t="str" cm="1">
        <f t="array" ref="E16">IF(OR('1.Содержание проекта'!C116="ДА",'1.Содержание проекта'!B170:C170="ДА"),"ДА","НЕТ")</f>
        <v>НЕТ</v>
      </c>
      <c r="F16" s="822" t="str">
        <f t="shared" ca="1" si="1"/>
        <v>Формула</v>
      </c>
    </row>
    <row r="17" spans="1:6" s="46" customFormat="1" ht="20.25" hidden="1" customHeight="1" outlineLevel="3" thickBot="1" x14ac:dyDescent="0.3">
      <c r="B17" s="1"/>
      <c r="C17" s="1"/>
      <c r="D17" s="1"/>
      <c r="E17" s="1"/>
      <c r="F17" s="29"/>
    </row>
    <row r="18" spans="1:6" ht="33" customHeight="1" collapsed="1" thickBot="1" x14ac:dyDescent="0.3">
      <c r="B18" s="1278" t="s">
        <v>8</v>
      </c>
      <c r="C18" s="1280" t="s">
        <v>696</v>
      </c>
      <c r="D18" s="1281"/>
      <c r="E18" s="1282"/>
    </row>
    <row r="19" spans="1:6" ht="51.75" hidden="1" customHeight="1" outlineLevel="3" thickBot="1" x14ac:dyDescent="0.3">
      <c r="B19" s="1279"/>
      <c r="C19" s="198" t="s">
        <v>288</v>
      </c>
      <c r="D19" s="45" t="s">
        <v>285</v>
      </c>
      <c r="E19" s="43" t="s">
        <v>274</v>
      </c>
    </row>
    <row r="20" spans="1:6" ht="20.25" hidden="1" customHeight="1" outlineLevel="3" thickBot="1" x14ac:dyDescent="0.35">
      <c r="B20" s="395" t="s">
        <v>254</v>
      </c>
      <c r="C20" s="397">
        <f>'2.ФС для Заполнения'!U327</f>
        <v>18</v>
      </c>
      <c r="D20" s="50">
        <f>'2.ФС для Заполнения'!V327</f>
        <v>0</v>
      </c>
      <c r="E20" s="51">
        <f>'2.ФС для Заполнения'!W327</f>
        <v>13</v>
      </c>
    </row>
    <row r="21" spans="1:6" s="46" customFormat="1" ht="20.25" hidden="1" customHeight="1" outlineLevel="3" thickBot="1" x14ac:dyDescent="0.3">
      <c r="B21" s="396" t="s">
        <v>252</v>
      </c>
      <c r="C21" s="217">
        <f>'2.ФС для Заполнения'!U328</f>
        <v>0</v>
      </c>
      <c r="D21" s="218">
        <f>'2.ФС для Заполнения'!V328</f>
        <v>0</v>
      </c>
      <c r="E21" s="219">
        <f>'2.ФС для Заполнения'!W328</f>
        <v>0</v>
      </c>
    </row>
    <row r="22" spans="1:6" s="46" customFormat="1" ht="20.25" hidden="1" customHeight="1" outlineLevel="3" thickBot="1" x14ac:dyDescent="0.3">
      <c r="B22" s="1"/>
      <c r="C22" s="1"/>
      <c r="D22" s="1"/>
      <c r="E22" s="1"/>
      <c r="F22" s="29"/>
    </row>
    <row r="23" spans="1:6" s="46" customFormat="1" ht="57.75" hidden="1" customHeight="1" outlineLevel="3" thickBot="1" x14ac:dyDescent="0.35">
      <c r="B23" s="395" t="s">
        <v>1760</v>
      </c>
      <c r="C23" s="395" t="s">
        <v>1759</v>
      </c>
      <c r="D23" s="395" t="s">
        <v>1757</v>
      </c>
      <c r="E23" s="816" t="s">
        <v>1758</v>
      </c>
      <c r="F23" s="818" t="s">
        <v>1764</v>
      </c>
    </row>
    <row r="24" spans="1:6" s="46" customFormat="1" ht="20.25" hidden="1" customHeight="1" outlineLevel="3" thickBot="1" x14ac:dyDescent="0.3">
      <c r="B24" s="396">
        <f>SUMIFS('2.ФС для Заполнения'!U:U,'2.ФС для Заполнения'!G:G,Списки!K4)</f>
        <v>18</v>
      </c>
      <c r="C24" s="396">
        <f>SUMIFS('2.ФС для Заполнения'!U:U,'2.ФС для Заполнения'!G:G,Списки!K5)</f>
        <v>0</v>
      </c>
      <c r="D24" s="396">
        <f>SUMIFS('2.ФС для Заполнения'!U:U,'2.ФС для Заполнения'!G:G,Списки!K6)</f>
        <v>0</v>
      </c>
      <c r="E24" s="817">
        <f>SUMIFS('2.ФС для Заполнения'!U:U,'2.ФС для Заполнения'!G:G,Списки!K7)</f>
        <v>0</v>
      </c>
      <c r="F24" s="819">
        <f>SUM(C20:C21)-SUM(B24:E24)</f>
        <v>0</v>
      </c>
    </row>
    <row r="25" spans="1:6" s="46" customFormat="1" ht="20.25" hidden="1" customHeight="1" outlineLevel="3" x14ac:dyDescent="0.25">
      <c r="B25" s="1"/>
      <c r="C25" s="1"/>
      <c r="D25" s="1"/>
      <c r="E25" s="1"/>
      <c r="F25" s="29"/>
    </row>
    <row r="26" spans="1:6" s="29" customFormat="1" ht="16.5" thickBot="1" x14ac:dyDescent="0.3">
      <c r="A26" s="46"/>
      <c r="B26" s="1"/>
      <c r="C26" s="1"/>
      <c r="D26" s="1"/>
      <c r="E26" s="1"/>
    </row>
    <row r="27" spans="1:6" x14ac:dyDescent="0.25">
      <c r="A27" s="46"/>
      <c r="B27" s="1283" t="s">
        <v>308</v>
      </c>
      <c r="C27" s="1284"/>
      <c r="E27" s="1" t="s">
        <v>1743</v>
      </c>
    </row>
    <row r="28" spans="1:6" outlineLevel="1" x14ac:dyDescent="0.25">
      <c r="A28" s="46"/>
      <c r="B28" s="1272" t="s">
        <v>309</v>
      </c>
      <c r="C28" s="1273"/>
      <c r="D28" s="30" t="s">
        <v>1761</v>
      </c>
      <c r="E28" s="30">
        <f>'параметры расчета'!C3</f>
        <v>5000</v>
      </c>
    </row>
    <row r="29" spans="1:6" outlineLevel="1" x14ac:dyDescent="0.25">
      <c r="B29" s="1272" t="s">
        <v>310</v>
      </c>
      <c r="C29" s="1273"/>
      <c r="D29" s="30" t="s">
        <v>1762</v>
      </c>
      <c r="E29" s="30">
        <f>'параметры расчета'!C4</f>
        <v>5500</v>
      </c>
    </row>
    <row r="30" spans="1:6" ht="33" customHeight="1" outlineLevel="1" x14ac:dyDescent="0.25">
      <c r="B30" s="1272" t="s">
        <v>311</v>
      </c>
      <c r="C30" s="1273"/>
      <c r="D30" s="30" t="s">
        <v>1763</v>
      </c>
      <c r="E30" s="30">
        <f>'параметры расчета'!C5</f>
        <v>6500</v>
      </c>
    </row>
    <row r="31" spans="1:6" ht="15.75" outlineLevel="1" thickBot="1" x14ac:dyDescent="0.3">
      <c r="B31" s="1272" t="s">
        <v>312</v>
      </c>
      <c r="C31" s="1273"/>
    </row>
    <row r="32" spans="1:6" ht="27.75" customHeight="1" outlineLevel="1" collapsed="1" thickBot="1" x14ac:dyDescent="0.3">
      <c r="B32" s="512" t="s">
        <v>2161</v>
      </c>
      <c r="C32" s="513">
        <f>IF(C33=Списки!K7,E30,IF(C33=Списки!K6,E29,E28))</f>
        <v>5000</v>
      </c>
      <c r="D32" s="822" t="str">
        <f ca="1">IF(ISERROR(_xlfn.FORMULATEXT(C32)),"Значение введено вручную","Формула")</f>
        <v>Формула</v>
      </c>
    </row>
    <row r="33" spans="2:10" ht="27.75" hidden="1" customHeight="1" outlineLevel="2" thickBot="1" x14ac:dyDescent="0.3">
      <c r="B33" s="813" t="s">
        <v>1749</v>
      </c>
      <c r="C33" s="513" t="str">
        <f>IF(OR(E24&gt;0,E2="КОРП Заказчик",C4&gt;500,C11="ДА",C14="ДА",D20&gt;0,C13="ДА",C16="ДА"),Списки!K7,IF(OR(D24&gt;0,C10="ДА",C12="ДА",C4&gt;200,C5&gt;20,C15="ДА"),Списки!K6,IF(C24&gt;0,Списки!K5,Списки!K4)))</f>
        <v>Кейс-проект</v>
      </c>
      <c r="D33" s="822" t="str">
        <f ca="1">IF(ISERROR(_xlfn.FORMULATEXT(C33)),"Значение введено вручную","Формула")</f>
        <v>Формула</v>
      </c>
    </row>
    <row r="34" spans="2:10" ht="48" customHeight="1" outlineLevel="1" thickBot="1" x14ac:dyDescent="0.3">
      <c r="B34" s="181" t="s">
        <v>287</v>
      </c>
      <c r="C34" s="182">
        <v>16</v>
      </c>
    </row>
    <row r="35" spans="2:10" ht="37.5" customHeight="1" outlineLevel="1" collapsed="1" thickBot="1" x14ac:dyDescent="0.3">
      <c r="B35" s="183" t="s">
        <v>284</v>
      </c>
      <c r="C35" s="184">
        <f>SUM(C36:C38)</f>
        <v>24.5</v>
      </c>
    </row>
    <row r="36" spans="2:10" ht="30" hidden="1" outlineLevel="2" x14ac:dyDescent="0.25">
      <c r="B36" s="164" t="s">
        <v>281</v>
      </c>
      <c r="C36" s="163">
        <f>'параметры расчета'!C241*0.1</f>
        <v>4.5</v>
      </c>
    </row>
    <row r="37" spans="2:10" ht="30" hidden="1" outlineLevel="2" x14ac:dyDescent="0.25">
      <c r="B37" s="164" t="s">
        <v>280</v>
      </c>
      <c r="C37" s="163">
        <v>8</v>
      </c>
    </row>
    <row r="38" spans="2:10" ht="30.75" hidden="1" outlineLevel="2" thickBot="1" x14ac:dyDescent="0.3">
      <c r="B38" s="174" t="s">
        <v>256</v>
      </c>
      <c r="C38" s="175">
        <v>12</v>
      </c>
    </row>
    <row r="39" spans="2:10" ht="15.75" outlineLevel="1" collapsed="1" thickBot="1" x14ac:dyDescent="0.3">
      <c r="B39" s="424" t="s">
        <v>717</v>
      </c>
      <c r="C39" s="427">
        <v>0</v>
      </c>
    </row>
    <row r="40" spans="2:10" ht="15" hidden="1" customHeight="1" outlineLevel="2" x14ac:dyDescent="0.25">
      <c r="B40" s="179" t="s">
        <v>702</v>
      </c>
      <c r="C40" s="184">
        <v>32</v>
      </c>
    </row>
    <row r="41" spans="2:10" ht="15" hidden="1" customHeight="1" outlineLevel="2" x14ac:dyDescent="0.25">
      <c r="B41" s="180" t="s">
        <v>703</v>
      </c>
      <c r="C41" s="163">
        <v>80</v>
      </c>
    </row>
    <row r="42" spans="2:10" ht="15" hidden="1" customHeight="1" outlineLevel="2" x14ac:dyDescent="0.25">
      <c r="B42" s="415" t="s">
        <v>704</v>
      </c>
      <c r="C42" s="423">
        <v>32</v>
      </c>
    </row>
    <row r="43" spans="2:10" ht="15" hidden="1" customHeight="1" outlineLevel="2" x14ac:dyDescent="0.25">
      <c r="B43" s="415" t="s">
        <v>705</v>
      </c>
      <c r="C43" s="423">
        <v>32</v>
      </c>
    </row>
    <row r="44" spans="2:10" ht="15" hidden="1" customHeight="1" outlineLevel="2" thickBot="1" x14ac:dyDescent="0.3">
      <c r="B44" s="425" t="s">
        <v>718</v>
      </c>
      <c r="C44" s="426">
        <v>0</v>
      </c>
    </row>
    <row r="45" spans="2:10" ht="49.5" customHeight="1" outlineLevel="1" collapsed="1" thickBot="1" x14ac:dyDescent="0.3">
      <c r="B45" s="185" t="s">
        <v>700</v>
      </c>
      <c r="C45" s="709">
        <v>40</v>
      </c>
      <c r="D45" s="185" t="s">
        <v>1777</v>
      </c>
      <c r="E45" s="185" t="s">
        <v>1781</v>
      </c>
      <c r="F45" s="185" t="s">
        <v>1782</v>
      </c>
      <c r="G45" s="185" t="s">
        <v>1784</v>
      </c>
      <c r="H45" s="823" t="s">
        <v>1783</v>
      </c>
      <c r="I45" s="25"/>
      <c r="J45" s="25"/>
    </row>
    <row r="46" spans="2:10" ht="30.75" hidden="1" customHeight="1" outlineLevel="2" x14ac:dyDescent="0.25">
      <c r="B46" s="179" t="s">
        <v>1778</v>
      </c>
      <c r="C46" s="710">
        <v>5</v>
      </c>
      <c r="D46" s="710">
        <v>16</v>
      </c>
      <c r="E46" s="713">
        <f>C5</f>
        <v>20</v>
      </c>
      <c r="F46" s="830">
        <f>ROUNDUP(E46/C46,0)</f>
        <v>4</v>
      </c>
      <c r="G46" s="713">
        <f>ROUNDUP(E5/C46,0)</f>
        <v>0</v>
      </c>
      <c r="H46" s="830">
        <f>ROUNDUP(G46*D46/8,1)</f>
        <v>0</v>
      </c>
      <c r="I46" s="1013"/>
      <c r="J46" s="1013"/>
    </row>
    <row r="47" spans="2:10" ht="30.75" hidden="1" customHeight="1" outlineLevel="2" x14ac:dyDescent="0.25">
      <c r="B47" s="180" t="s">
        <v>1779</v>
      </c>
      <c r="C47" s="711">
        <v>10</v>
      </c>
      <c r="D47" s="711">
        <v>4</v>
      </c>
      <c r="E47" s="714">
        <f>C6</f>
        <v>75</v>
      </c>
      <c r="F47" s="831">
        <f t="shared" ref="F47:F48" si="3">ROUNDUP(E47/C47,0)</f>
        <v>8</v>
      </c>
      <c r="G47" s="714">
        <f>ROUNDUP(E6/C47,0)</f>
        <v>0</v>
      </c>
      <c r="H47" s="831">
        <f t="shared" ref="H47:H48" si="4">ROUNDUP(G47*D47/8,1)</f>
        <v>0</v>
      </c>
      <c r="I47" s="1013"/>
      <c r="J47" s="1013"/>
    </row>
    <row r="48" spans="2:10" ht="30.75" hidden="1" outlineLevel="2" thickBot="1" x14ac:dyDescent="0.3">
      <c r="B48" s="166" t="s">
        <v>1780</v>
      </c>
      <c r="C48" s="712">
        <v>5</v>
      </c>
      <c r="D48" s="712">
        <v>24</v>
      </c>
      <c r="E48" s="715">
        <f>C7</f>
        <v>5</v>
      </c>
      <c r="F48" s="832">
        <f t="shared" si="3"/>
        <v>1</v>
      </c>
      <c r="G48" s="715">
        <f>ROUNDUP(E7/C48,0)</f>
        <v>0</v>
      </c>
      <c r="H48" s="832">
        <f t="shared" si="4"/>
        <v>0</v>
      </c>
      <c r="I48" s="1013"/>
      <c r="J48" s="1013"/>
    </row>
    <row r="49" spans="2:5" ht="16.5" customHeight="1" outlineLevel="1" x14ac:dyDescent="0.25">
      <c r="B49" s="176" t="s">
        <v>250</v>
      </c>
      <c r="C49" s="177">
        <f>(15000+4000*5+6000)/5</f>
        <v>8200</v>
      </c>
    </row>
    <row r="50" spans="2:5" ht="16.5" customHeight="1" outlineLevel="1" x14ac:dyDescent="0.25">
      <c r="B50" s="162" t="s">
        <v>1458</v>
      </c>
      <c r="C50" s="165">
        <f>SUM(C51:C56)</f>
        <v>0.62000000000000011</v>
      </c>
    </row>
    <row r="51" spans="2:5" ht="16.5" customHeight="1" outlineLevel="2" thickBot="1" x14ac:dyDescent="0.3">
      <c r="B51" s="655" t="s">
        <v>1456</v>
      </c>
      <c r="C51" s="656">
        <v>0.2</v>
      </c>
    </row>
    <row r="52" spans="2:5" ht="15" customHeight="1" outlineLevel="2" thickBot="1" x14ac:dyDescent="0.3">
      <c r="B52" s="655" t="s">
        <v>2233</v>
      </c>
      <c r="C52" s="656">
        <f>MAX(SUM(C51,C53),SUM(C55,C56))</f>
        <v>0.21000000000000002</v>
      </c>
      <c r="D52" s="822" t="str">
        <f ca="1">IF(ISERROR(_xlfn.FORMULATEXT(C52)),"Значение введено вручную","Формула")</f>
        <v>Формула</v>
      </c>
    </row>
    <row r="53" spans="2:5" ht="15" customHeight="1" outlineLevel="2" thickBot="1" x14ac:dyDescent="0.3">
      <c r="B53" s="655" t="s">
        <v>2240</v>
      </c>
      <c r="C53" s="656">
        <f>IF('1.Содержание проекта'!B$176="НЕТ",10%,0)+IF('1.Содержание проекта'!B$178="НЕТ",5%,0)+IF('1.Содержание проекта'!B$177="НЕТ",20%,0)</f>
        <v>0</v>
      </c>
      <c r="D53" s="822" t="str">
        <f ca="1">IF(ISERROR(_xlfn.FORMULATEXT(C53)),"Значение введено вручную","Формула")</f>
        <v>Формула</v>
      </c>
      <c r="E53" s="1019" t="s">
        <v>2245</v>
      </c>
    </row>
    <row r="54" spans="2:5" ht="15" customHeight="1" outlineLevel="2" thickBot="1" x14ac:dyDescent="0.3">
      <c r="B54" s="655" t="s">
        <v>2241</v>
      </c>
      <c r="C54" s="1020">
        <f>IF('1.Содержание проекта'!B$174="НЕТ",IF('1.Содержание проекта'!B$173="PM5",50%,15%)/L71*SUM(L75:L77),0)+IF('1.Содержание проекта'!B$175="НЕТ",10%,0)+IF(AND('1.Содержание проекта'!B180&gt;=30%,'1.Содержание проекта'!B181&lt;=10),0%,IF(AND(OR(C33="ПРОФ-проект",C33="КОРП-проект"),AND('1.Содержание проекта'!B180&lt;30%,'1.Содержание проекта'!B181&lt;=10)),2%*(E54/20),10%))</f>
        <v>0</v>
      </c>
      <c r="D54" s="822" t="str">
        <f ca="1">IF(ISERROR(_xlfn.FORMULATEXT(C54)),"Значение введено вручную","Формула")</f>
        <v>Формула</v>
      </c>
      <c r="E54" s="1016">
        <f>MAX(X72:X88)*5</f>
        <v>135</v>
      </c>
    </row>
    <row r="55" spans="2:5" ht="75" outlineLevel="2" x14ac:dyDescent="0.25">
      <c r="B55" s="655" t="s">
        <v>1653</v>
      </c>
      <c r="C55" s="656">
        <v>0.01</v>
      </c>
      <c r="D55" s="807" t="s">
        <v>1652</v>
      </c>
    </row>
    <row r="56" spans="2:5" ht="16.5" customHeight="1" outlineLevel="2" x14ac:dyDescent="0.25">
      <c r="B56" s="655" t="s">
        <v>1457</v>
      </c>
      <c r="C56" s="656">
        <v>0.2</v>
      </c>
    </row>
    <row r="57" spans="2:5" ht="15.75" outlineLevel="2" thickBot="1" x14ac:dyDescent="0.3">
      <c r="B57" s="166" t="s">
        <v>304</v>
      </c>
      <c r="C57" s="167">
        <v>0</v>
      </c>
    </row>
    <row r="58" spans="2:5" ht="15" customHeight="1" outlineLevel="2" thickBot="1" x14ac:dyDescent="0.3">
      <c r="B58" s="166" t="s">
        <v>2151</v>
      </c>
      <c r="C58" s="167">
        <v>7.0000000000000007E-2</v>
      </c>
      <c r="D58" s="945" t="s">
        <v>2155</v>
      </c>
    </row>
    <row r="59" spans="2:5" ht="15.75" outlineLevel="1" thickBot="1" x14ac:dyDescent="0.3"/>
    <row r="60" spans="2:5" ht="15.75" outlineLevel="1" thickBot="1" x14ac:dyDescent="0.3">
      <c r="B60" s="1274" t="s">
        <v>318</v>
      </c>
      <c r="C60" s="1275"/>
    </row>
    <row r="61" spans="2:5" ht="17.25" outlineLevel="1" collapsed="1" x14ac:dyDescent="0.25">
      <c r="B61" s="96" t="s">
        <v>317</v>
      </c>
      <c r="C61" s="97" t="str">
        <f>D2</f>
        <v>ДО 200</v>
      </c>
    </row>
    <row r="62" spans="2:5" ht="15.75" hidden="1" outlineLevel="2" thickBot="1" x14ac:dyDescent="0.3">
      <c r="B62" s="88" t="s">
        <v>219</v>
      </c>
      <c r="C62" s="85">
        <f>SUMIF('параметры расчета'!$C$245:$F$245,'Очередь 1 ПРОФ_КОРП'!$D$2,'параметры расчета'!$C$246:$F$246)</f>
        <v>1</v>
      </c>
      <c r="D62" s="822" t="str">
        <f t="shared" ref="D62:D67" ca="1" si="5">IF(ISERROR(_xlfn.FORMULATEXT(C62)),"Значение введено вручную","Формула")</f>
        <v>Формула</v>
      </c>
    </row>
    <row r="63" spans="2:5" ht="30" hidden="1" customHeight="1" outlineLevel="2" thickBot="1" x14ac:dyDescent="0.3">
      <c r="B63" s="172" t="s">
        <v>257</v>
      </c>
      <c r="C63" s="173">
        <f>SUMIF('параметры расчета'!$C$245:$F$245,'Очередь 1 ПРОФ_КОРП'!$D$2,'параметры расчета'!$C$247:$F$247)</f>
        <v>1</v>
      </c>
      <c r="D63" s="822" t="str">
        <f t="shared" ca="1" si="5"/>
        <v>Формула</v>
      </c>
    </row>
    <row r="64" spans="2:5" ht="15.75" hidden="1" customHeight="1" outlineLevel="2" thickBot="1" x14ac:dyDescent="0.3">
      <c r="B64" s="87" t="s">
        <v>709</v>
      </c>
      <c r="C64" s="178">
        <v>140</v>
      </c>
      <c r="D64" s="822" t="str">
        <f t="shared" ca="1" si="5"/>
        <v>Значение введено вручную</v>
      </c>
    </row>
    <row r="65" spans="2:31" ht="15.75" hidden="1" customHeight="1" outlineLevel="2" thickBot="1" x14ac:dyDescent="0.3">
      <c r="B65" s="90" t="s">
        <v>710</v>
      </c>
      <c r="C65" s="98">
        <v>40</v>
      </c>
      <c r="D65" s="822" t="str">
        <f t="shared" ca="1" si="5"/>
        <v>Значение введено вручную</v>
      </c>
    </row>
    <row r="66" spans="2:31" ht="15.75" hidden="1" customHeight="1" outlineLevel="2" thickBot="1" x14ac:dyDescent="0.3">
      <c r="B66" s="87" t="s">
        <v>527</v>
      </c>
      <c r="C66" s="178">
        <f>SUMIF('параметры расчета'!$C$245:$F$245,'Очередь 1 ПРОФ_КОРП'!$D$2,'параметры расчета'!C248:F248)</f>
        <v>6</v>
      </c>
      <c r="D66" s="822" t="str">
        <f t="shared" ca="1" si="5"/>
        <v>Формула</v>
      </c>
    </row>
    <row r="67" spans="2:31" ht="15.75" hidden="1" customHeight="1" outlineLevel="2" thickBot="1" x14ac:dyDescent="0.3">
      <c r="B67" s="90" t="s">
        <v>528</v>
      </c>
      <c r="C67" s="98">
        <f>SUMIF('параметры расчета'!$C$245:$F$245,'Очередь 1 ПРОФ_КОРП'!$D$2,'параметры расчета'!C249:F249)</f>
        <v>1</v>
      </c>
      <c r="D67" s="822" t="str">
        <f t="shared" ca="1" si="5"/>
        <v>Формула</v>
      </c>
    </row>
    <row r="68" spans="2:31" ht="15.75" customHeight="1" thickBot="1" x14ac:dyDescent="0.3"/>
    <row r="69" spans="2:31" ht="15.75" customHeight="1" thickBot="1" x14ac:dyDescent="0.3">
      <c r="G69" s="909">
        <f>$C55</f>
        <v>0.01</v>
      </c>
      <c r="H69" s="910">
        <f>$C56</f>
        <v>0.2</v>
      </c>
      <c r="I69" s="910">
        <f>$C52</f>
        <v>0.21000000000000002</v>
      </c>
      <c r="J69" s="910">
        <f>SUM($C$53:$C$54)</f>
        <v>0</v>
      </c>
      <c r="K69" s="911">
        <f>$C51</f>
        <v>0.2</v>
      </c>
      <c r="Q69" s="909">
        <f>$C55</f>
        <v>0.01</v>
      </c>
      <c r="R69" s="910">
        <f>$C56</f>
        <v>0.2</v>
      </c>
      <c r="S69" s="910">
        <f>$C52</f>
        <v>0.21000000000000002</v>
      </c>
      <c r="T69" s="910">
        <f>SUM($C$53:$C$54)</f>
        <v>0</v>
      </c>
      <c r="U69" s="911">
        <f>$C51</f>
        <v>0.2</v>
      </c>
    </row>
    <row r="70" spans="2:31" ht="56.25" customHeight="1" thickBot="1" x14ac:dyDescent="0.3">
      <c r="B70" s="59" t="s">
        <v>0</v>
      </c>
      <c r="C70" s="95" t="s">
        <v>323</v>
      </c>
      <c r="D70" s="103" t="s">
        <v>324</v>
      </c>
      <c r="E70" s="169" t="s">
        <v>2163</v>
      </c>
      <c r="F70" s="907" t="s">
        <v>322</v>
      </c>
      <c r="G70" s="907" t="s">
        <v>1850</v>
      </c>
      <c r="H70" s="905" t="s">
        <v>1851</v>
      </c>
      <c r="I70" s="905" t="s">
        <v>2236</v>
      </c>
      <c r="J70" s="905" t="s">
        <v>2237</v>
      </c>
      <c r="K70" s="905" t="s">
        <v>249</v>
      </c>
      <c r="L70" s="908" t="s">
        <v>1852</v>
      </c>
      <c r="M70" s="904" t="s">
        <v>305</v>
      </c>
      <c r="N70" s="95" t="s">
        <v>1435</v>
      </c>
      <c r="O70" s="169" t="s">
        <v>2164</v>
      </c>
      <c r="P70" s="905" t="s">
        <v>325</v>
      </c>
      <c r="Q70" s="905" t="s">
        <v>1850</v>
      </c>
      <c r="R70" s="905" t="s">
        <v>1851</v>
      </c>
      <c r="S70" s="905" t="s">
        <v>2236</v>
      </c>
      <c r="T70" s="905" t="s">
        <v>2237</v>
      </c>
      <c r="U70" s="905" t="s">
        <v>249</v>
      </c>
      <c r="V70" s="906" t="s">
        <v>1852</v>
      </c>
      <c r="W70" s="39" t="s">
        <v>305</v>
      </c>
      <c r="X70" s="414" t="s">
        <v>1434</v>
      </c>
      <c r="Y70" s="192" t="s">
        <v>298</v>
      </c>
      <c r="Z70" s="101" t="s">
        <v>292</v>
      </c>
      <c r="AA70" s="39" t="s">
        <v>293</v>
      </c>
      <c r="AB70" s="39" t="s">
        <v>294</v>
      </c>
      <c r="AC70" s="39" t="s">
        <v>295</v>
      </c>
      <c r="AD70" s="39" t="s">
        <v>297</v>
      </c>
      <c r="AE70" s="100" t="s">
        <v>296</v>
      </c>
    </row>
    <row r="71" spans="2:31" ht="16.5" thickBot="1" x14ac:dyDescent="0.3">
      <c r="B71" s="60" t="s">
        <v>253</v>
      </c>
      <c r="C71" s="63">
        <f>SUM(C72:C88)</f>
        <v>14562500</v>
      </c>
      <c r="D71" s="104"/>
      <c r="E71" s="170">
        <f>SUM(E72:E88)</f>
        <v>10630075.5</v>
      </c>
      <c r="F71" s="170">
        <f t="shared" ref="F71:P71" si="6">SUM(F72:F88)</f>
        <v>9934650</v>
      </c>
      <c r="G71" s="170">
        <f t="shared" ref="G71:L71" si="7">SUM(G72:G88)</f>
        <v>61325</v>
      </c>
      <c r="H71" s="170">
        <f t="shared" si="7"/>
        <v>1226500</v>
      </c>
      <c r="I71" s="170">
        <f t="shared" ref="I71:J71" si="8">SUM(I72:I89)</f>
        <v>1842474.48</v>
      </c>
      <c r="J71" s="170">
        <f t="shared" si="8"/>
        <v>0</v>
      </c>
      <c r="K71" s="170">
        <f t="shared" si="7"/>
        <v>1226500</v>
      </c>
      <c r="L71" s="170">
        <f t="shared" si="7"/>
        <v>6132500</v>
      </c>
      <c r="M71" s="865">
        <f t="shared" si="6"/>
        <v>1986.9300000000003</v>
      </c>
      <c r="N71" s="171">
        <f t="shared" si="6"/>
        <v>50</v>
      </c>
      <c r="O71" s="170">
        <f>SUM(O72:O88)</f>
        <v>10630075.5</v>
      </c>
      <c r="P71" s="170">
        <f t="shared" si="6"/>
        <v>9934650</v>
      </c>
      <c r="Q71" s="170">
        <f t="shared" ref="Q71:V71" si="9">SUM(Q72:Q88)</f>
        <v>61325</v>
      </c>
      <c r="R71" s="170">
        <f t="shared" si="9"/>
        <v>1226500</v>
      </c>
      <c r="S71" s="170">
        <f t="shared" ref="S71:T71" si="10">SUM(S72:S89)</f>
        <v>1842474.48</v>
      </c>
      <c r="T71" s="170">
        <f t="shared" si="10"/>
        <v>0</v>
      </c>
      <c r="U71" s="170">
        <f t="shared" si="9"/>
        <v>1226500</v>
      </c>
      <c r="V71" s="170">
        <f t="shared" si="9"/>
        <v>6132500</v>
      </c>
      <c r="W71" s="55">
        <f t="shared" ref="W71:X71" si="11">SUM(W72:W88)</f>
        <v>1986.9300000000003</v>
      </c>
      <c r="X71" s="171">
        <f t="shared" si="11"/>
        <v>50</v>
      </c>
      <c r="Y71" s="193">
        <f t="shared" ref="Y71:AE71" si="12">AVERAGE(Y73:Y88)</f>
        <v>1.9156249999999999</v>
      </c>
      <c r="Z71" s="56">
        <f t="shared" si="12"/>
        <v>0.28437499999999993</v>
      </c>
      <c r="AA71" s="57">
        <f t="shared" si="12"/>
        <v>0.41538461538461546</v>
      </c>
      <c r="AB71" s="57">
        <f t="shared" si="12"/>
        <v>1</v>
      </c>
      <c r="AC71" s="57">
        <f t="shared" si="12"/>
        <v>0.80666666666666664</v>
      </c>
      <c r="AD71" s="57" t="e">
        <f t="shared" si="12"/>
        <v>#DIV/0!</v>
      </c>
      <c r="AE71" s="58">
        <f t="shared" si="12"/>
        <v>0.62857142857142867</v>
      </c>
    </row>
    <row r="72" spans="2:31" s="31" customFormat="1" outlineLevel="1" x14ac:dyDescent="0.25">
      <c r="B72" s="61" t="s">
        <v>283</v>
      </c>
      <c r="C72" s="64"/>
      <c r="D72" s="168"/>
      <c r="E72" s="878">
        <f t="shared" ref="E72:E73" si="13">F72*(1+$C$58)</f>
        <v>0</v>
      </c>
      <c r="F72" s="878">
        <f>SUM(G72:L72)</f>
        <v>0</v>
      </c>
      <c r="G72" s="879">
        <f>G$69*$L72</f>
        <v>0</v>
      </c>
      <c r="H72" s="880">
        <f t="shared" ref="H72:K89" si="14">H$69*$L72</f>
        <v>0</v>
      </c>
      <c r="I72" s="880">
        <f t="shared" si="14"/>
        <v>0</v>
      </c>
      <c r="J72" s="880">
        <f t="shared" si="14"/>
        <v>0</v>
      </c>
      <c r="K72" s="880">
        <f t="shared" si="14"/>
        <v>0</v>
      </c>
      <c r="L72" s="881"/>
      <c r="M72" s="866"/>
      <c r="N72" s="897"/>
      <c r="O72" s="878">
        <f t="shared" ref="O72:O73" si="15">P72*(1+$C$58)</f>
        <v>0</v>
      </c>
      <c r="P72" s="878">
        <f>SUM(Q72:V72)</f>
        <v>0</v>
      </c>
      <c r="Q72" s="879">
        <f t="shared" ref="Q72:U87" si="16">Q$69*$V72</f>
        <v>0</v>
      </c>
      <c r="R72" s="880">
        <f t="shared" si="16"/>
        <v>0</v>
      </c>
      <c r="S72" s="880">
        <f t="shared" si="16"/>
        <v>0</v>
      </c>
      <c r="T72" s="880">
        <f t="shared" si="16"/>
        <v>0</v>
      </c>
      <c r="U72" s="880">
        <f t="shared" si="16"/>
        <v>0</v>
      </c>
      <c r="V72" s="882"/>
      <c r="W72" s="65"/>
      <c r="X72" s="897"/>
      <c r="Y72" s="194"/>
      <c r="Z72" s="73" t="s">
        <v>299</v>
      </c>
      <c r="AA72" s="74" t="s">
        <v>299</v>
      </c>
      <c r="AB72" s="74" t="s">
        <v>299</v>
      </c>
      <c r="AC72" s="74" t="s">
        <v>299</v>
      </c>
      <c r="AD72" s="74" t="s">
        <v>299</v>
      </c>
      <c r="AE72" s="75" t="s">
        <v>299</v>
      </c>
    </row>
    <row r="73" spans="2:31" s="31" customFormat="1" outlineLevel="1" x14ac:dyDescent="0.25">
      <c r="B73" s="61" t="s">
        <v>282</v>
      </c>
      <c r="C73" s="66">
        <f>($D20*$C34*$C32*C62+IF($E7&gt;0,$C49*$E7,0))</f>
        <v>0</v>
      </c>
      <c r="D73" s="168" t="str">
        <f>C12</f>
        <v>НЕТ</v>
      </c>
      <c r="E73" s="871">
        <f t="shared" si="13"/>
        <v>0</v>
      </c>
      <c r="F73" s="871">
        <f t="shared" ref="F73:F88" si="17">SUM(G73:L73)</f>
        <v>0</v>
      </c>
      <c r="G73" s="873">
        <f t="shared" ref="G73:G89" si="18">G$69*$L73</f>
        <v>0</v>
      </c>
      <c r="H73" s="870">
        <f t="shared" si="14"/>
        <v>0</v>
      </c>
      <c r="I73" s="870">
        <f t="shared" si="14"/>
        <v>0</v>
      </c>
      <c r="J73" s="870">
        <f t="shared" si="14"/>
        <v>0</v>
      </c>
      <c r="K73" s="870">
        <f t="shared" si="14"/>
        <v>0</v>
      </c>
      <c r="L73" s="68">
        <f t="shared" ref="L73:L89" si="19">IF(D73="Да",$C73,0)</f>
        <v>0</v>
      </c>
      <c r="M73" s="867">
        <f>F73/$C$32</f>
        <v>0</v>
      </c>
      <c r="N73" s="899">
        <f t="shared" ref="N73:N88" si="20">ROUNDUP(((L73/$C$32)/40)*1.2/$Y73,0)</f>
        <v>0</v>
      </c>
      <c r="O73" s="871">
        <f t="shared" si="15"/>
        <v>0</v>
      </c>
      <c r="P73" s="871">
        <f t="shared" ref="P73:P88" si="21">SUM(Q73:V73)</f>
        <v>0</v>
      </c>
      <c r="Q73" s="873">
        <f t="shared" si="16"/>
        <v>0</v>
      </c>
      <c r="R73" s="870">
        <f t="shared" si="16"/>
        <v>0</v>
      </c>
      <c r="S73" s="870">
        <f t="shared" si="16"/>
        <v>0</v>
      </c>
      <c r="T73" s="870">
        <f t="shared" si="16"/>
        <v>0</v>
      </c>
      <c r="U73" s="870">
        <f t="shared" si="16"/>
        <v>0</v>
      </c>
      <c r="V73" s="884">
        <f>IF($D73="Да",$C73*(1+$C$57),0)</f>
        <v>0</v>
      </c>
      <c r="W73" s="161">
        <f>P73/$C$32</f>
        <v>0</v>
      </c>
      <c r="X73" s="899">
        <f t="shared" ref="X73:X88" si="22">ROUNDUP(((V73/$C$32)/40)*1.2/$Y73,0)</f>
        <v>0</v>
      </c>
      <c r="Y73" s="195">
        <f>SUM(Z73:AE73)</f>
        <v>2</v>
      </c>
      <c r="Z73" s="76">
        <v>0.3</v>
      </c>
      <c r="AA73" s="77">
        <v>0.7</v>
      </c>
      <c r="AB73" s="77"/>
      <c r="AC73" s="77">
        <v>1</v>
      </c>
      <c r="AD73" s="77"/>
      <c r="AE73" s="83"/>
    </row>
    <row r="74" spans="2:31" s="31" customFormat="1" ht="30" outlineLevel="1" x14ac:dyDescent="0.25">
      <c r="B74" s="62" t="s">
        <v>699</v>
      </c>
      <c r="C74" s="86">
        <f>(($C20+$C21)*$C36*$C32*C62+IF($E7&gt;0,$E7*C49))</f>
        <v>405000</v>
      </c>
      <c r="D74" s="393" t="s">
        <v>246</v>
      </c>
      <c r="E74" s="871">
        <f>F74*(1+$C$58)</f>
        <v>702027</v>
      </c>
      <c r="F74" s="871">
        <f t="shared" si="17"/>
        <v>656100</v>
      </c>
      <c r="G74" s="873">
        <f t="shared" si="18"/>
        <v>4050</v>
      </c>
      <c r="H74" s="870">
        <f t="shared" si="14"/>
        <v>81000</v>
      </c>
      <c r="I74" s="870">
        <f t="shared" si="14"/>
        <v>85050.000000000015</v>
      </c>
      <c r="J74" s="870">
        <f t="shared" si="14"/>
        <v>0</v>
      </c>
      <c r="K74" s="870">
        <f t="shared" si="14"/>
        <v>81000</v>
      </c>
      <c r="L74" s="874">
        <f t="shared" si="19"/>
        <v>405000</v>
      </c>
      <c r="M74" s="867">
        <f t="shared" ref="M74:M89" si="23">F74/$C$32</f>
        <v>131.22</v>
      </c>
      <c r="N74" s="899">
        <f t="shared" si="20"/>
        <v>2</v>
      </c>
      <c r="O74" s="871">
        <f>P74*(1+$C$58)</f>
        <v>702027</v>
      </c>
      <c r="P74" s="871">
        <f t="shared" si="21"/>
        <v>656100</v>
      </c>
      <c r="Q74" s="873">
        <f t="shared" si="16"/>
        <v>4050</v>
      </c>
      <c r="R74" s="870">
        <f t="shared" si="16"/>
        <v>81000</v>
      </c>
      <c r="S74" s="870">
        <f t="shared" si="16"/>
        <v>85050.000000000015</v>
      </c>
      <c r="T74" s="870">
        <f t="shared" si="16"/>
        <v>0</v>
      </c>
      <c r="U74" s="870">
        <f t="shared" si="16"/>
        <v>81000</v>
      </c>
      <c r="V74" s="884">
        <f t="shared" ref="V74:V88" si="24">IF($D74="Да",$C74*(1+$C$57),0)</f>
        <v>405000</v>
      </c>
      <c r="W74" s="161">
        <f t="shared" ref="W74:W89" si="25">P74/$C$32</f>
        <v>131.22</v>
      </c>
      <c r="X74" s="899">
        <f t="shared" si="22"/>
        <v>2</v>
      </c>
      <c r="Y74" s="195">
        <f>SUM(Z74:AE74)</f>
        <v>2</v>
      </c>
      <c r="Z74" s="394">
        <v>0.3</v>
      </c>
      <c r="AA74" s="84">
        <v>0.7</v>
      </c>
      <c r="AB74" s="84"/>
      <c r="AC74" s="77">
        <v>1</v>
      </c>
      <c r="AD74" s="84"/>
      <c r="AE74" s="82"/>
    </row>
    <row r="75" spans="2:31" s="31" customFormat="1" outlineLevel="1" x14ac:dyDescent="0.25">
      <c r="B75" s="62" t="s">
        <v>1</v>
      </c>
      <c r="C75" s="86">
        <f>$C20*$C37*$C32*C62</f>
        <v>720000</v>
      </c>
      <c r="D75" s="168" t="s">
        <v>246</v>
      </c>
      <c r="E75" s="871">
        <f t="shared" ref="E75:E88" si="26">F75*(1+$C$58)</f>
        <v>1248048</v>
      </c>
      <c r="F75" s="871">
        <f t="shared" si="17"/>
        <v>1166400</v>
      </c>
      <c r="G75" s="873">
        <f t="shared" si="18"/>
        <v>7200</v>
      </c>
      <c r="H75" s="870">
        <f t="shared" si="14"/>
        <v>144000</v>
      </c>
      <c r="I75" s="870">
        <f t="shared" si="14"/>
        <v>151200</v>
      </c>
      <c r="J75" s="870">
        <f t="shared" si="14"/>
        <v>0</v>
      </c>
      <c r="K75" s="870">
        <f t="shared" si="14"/>
        <v>144000</v>
      </c>
      <c r="L75" s="874">
        <f t="shared" si="19"/>
        <v>720000</v>
      </c>
      <c r="M75" s="867">
        <f t="shared" si="23"/>
        <v>233.28</v>
      </c>
      <c r="N75" s="899">
        <f t="shared" si="20"/>
        <v>4</v>
      </c>
      <c r="O75" s="871">
        <f t="shared" ref="O75:O88" si="27">P75*(1+$C$58)</f>
        <v>1248048</v>
      </c>
      <c r="P75" s="871">
        <f t="shared" si="21"/>
        <v>1166400</v>
      </c>
      <c r="Q75" s="873">
        <f t="shared" si="16"/>
        <v>7200</v>
      </c>
      <c r="R75" s="870">
        <f t="shared" si="16"/>
        <v>144000</v>
      </c>
      <c r="S75" s="870">
        <f t="shared" si="16"/>
        <v>151200</v>
      </c>
      <c r="T75" s="870">
        <f t="shared" si="16"/>
        <v>0</v>
      </c>
      <c r="U75" s="870">
        <f t="shared" si="16"/>
        <v>144000</v>
      </c>
      <c r="V75" s="884">
        <f t="shared" si="24"/>
        <v>720000</v>
      </c>
      <c r="W75" s="161">
        <f t="shared" si="25"/>
        <v>233.28</v>
      </c>
      <c r="X75" s="899">
        <f t="shared" si="22"/>
        <v>4</v>
      </c>
      <c r="Y75" s="195">
        <f t="shared" ref="Y75:Y84" si="28">SUM(Z75:AE75)</f>
        <v>1.2</v>
      </c>
      <c r="Z75" s="76">
        <v>0.3</v>
      </c>
      <c r="AA75" s="77">
        <v>0.2</v>
      </c>
      <c r="AB75" s="77"/>
      <c r="AC75" s="77">
        <v>0.5</v>
      </c>
      <c r="AD75" s="77"/>
      <c r="AE75" s="83">
        <v>0.2</v>
      </c>
    </row>
    <row r="76" spans="2:31" s="31" customFormat="1" outlineLevel="1" x14ac:dyDescent="0.25">
      <c r="B76" s="62" t="s">
        <v>277</v>
      </c>
      <c r="C76" s="67">
        <f>$C20*$C38*$C32*C62</f>
        <v>1080000</v>
      </c>
      <c r="D76" s="168" t="s">
        <v>246</v>
      </c>
      <c r="E76" s="871">
        <f t="shared" si="26"/>
        <v>1872072</v>
      </c>
      <c r="F76" s="871">
        <f t="shared" si="17"/>
        <v>1749600</v>
      </c>
      <c r="G76" s="873">
        <f t="shared" si="18"/>
        <v>10800</v>
      </c>
      <c r="H76" s="870">
        <f t="shared" si="14"/>
        <v>216000</v>
      </c>
      <c r="I76" s="870">
        <f t="shared" si="14"/>
        <v>226800.00000000003</v>
      </c>
      <c r="J76" s="870">
        <f t="shared" si="14"/>
        <v>0</v>
      </c>
      <c r="K76" s="870">
        <f t="shared" si="14"/>
        <v>216000</v>
      </c>
      <c r="L76" s="67">
        <f t="shared" si="19"/>
        <v>1080000</v>
      </c>
      <c r="M76" s="867">
        <f t="shared" si="23"/>
        <v>349.92</v>
      </c>
      <c r="N76" s="899">
        <f t="shared" si="20"/>
        <v>4</v>
      </c>
      <c r="O76" s="871">
        <f t="shared" si="27"/>
        <v>1872072</v>
      </c>
      <c r="P76" s="871">
        <f t="shared" si="21"/>
        <v>1749600</v>
      </c>
      <c r="Q76" s="873">
        <f>Q$69*$V76</f>
        <v>10800</v>
      </c>
      <c r="R76" s="870">
        <f t="shared" si="16"/>
        <v>216000</v>
      </c>
      <c r="S76" s="870">
        <f t="shared" si="16"/>
        <v>226800.00000000003</v>
      </c>
      <c r="T76" s="870">
        <f t="shared" si="16"/>
        <v>0</v>
      </c>
      <c r="U76" s="870">
        <f t="shared" si="16"/>
        <v>216000</v>
      </c>
      <c r="V76" s="885">
        <f t="shared" si="24"/>
        <v>1080000</v>
      </c>
      <c r="W76" s="161">
        <f t="shared" si="25"/>
        <v>349.92</v>
      </c>
      <c r="X76" s="899">
        <f t="shared" si="22"/>
        <v>4</v>
      </c>
      <c r="Y76" s="195">
        <f t="shared" si="28"/>
        <v>2</v>
      </c>
      <c r="Z76" s="76">
        <v>0.3</v>
      </c>
      <c r="AA76" s="77">
        <v>0.2</v>
      </c>
      <c r="AB76" s="77"/>
      <c r="AC76" s="77">
        <v>1</v>
      </c>
      <c r="AD76" s="77"/>
      <c r="AE76" s="83">
        <v>0.5</v>
      </c>
    </row>
    <row r="77" spans="2:31" s="31" customFormat="1" outlineLevel="1" x14ac:dyDescent="0.25">
      <c r="B77" s="62" t="s">
        <v>278</v>
      </c>
      <c r="C77" s="68">
        <f>C21*C35*C32*C63</f>
        <v>0</v>
      </c>
      <c r="D77" s="168" t="s">
        <v>246</v>
      </c>
      <c r="E77" s="871">
        <f t="shared" si="26"/>
        <v>0</v>
      </c>
      <c r="F77" s="871">
        <f t="shared" si="17"/>
        <v>0</v>
      </c>
      <c r="G77" s="873">
        <f t="shared" si="18"/>
        <v>0</v>
      </c>
      <c r="H77" s="870">
        <f t="shared" si="14"/>
        <v>0</v>
      </c>
      <c r="I77" s="870">
        <f t="shared" si="14"/>
        <v>0</v>
      </c>
      <c r="J77" s="870">
        <f t="shared" si="14"/>
        <v>0</v>
      </c>
      <c r="K77" s="870">
        <f t="shared" si="14"/>
        <v>0</v>
      </c>
      <c r="L77" s="68">
        <f t="shared" si="19"/>
        <v>0</v>
      </c>
      <c r="M77" s="867">
        <f t="shared" si="23"/>
        <v>0</v>
      </c>
      <c r="N77" s="899">
        <f t="shared" si="20"/>
        <v>0</v>
      </c>
      <c r="O77" s="871">
        <f t="shared" si="27"/>
        <v>0</v>
      </c>
      <c r="P77" s="871">
        <f t="shared" si="21"/>
        <v>0</v>
      </c>
      <c r="Q77" s="873">
        <f t="shared" ref="Q77:U88" si="29">Q$69*$V77</f>
        <v>0</v>
      </c>
      <c r="R77" s="870">
        <f t="shared" si="16"/>
        <v>0</v>
      </c>
      <c r="S77" s="870">
        <f t="shared" si="16"/>
        <v>0</v>
      </c>
      <c r="T77" s="870">
        <f t="shared" si="16"/>
        <v>0</v>
      </c>
      <c r="U77" s="870">
        <f t="shared" si="16"/>
        <v>0</v>
      </c>
      <c r="V77" s="883">
        <f t="shared" si="24"/>
        <v>0</v>
      </c>
      <c r="W77" s="161">
        <f t="shared" si="25"/>
        <v>0</v>
      </c>
      <c r="X77" s="899">
        <f t="shared" si="22"/>
        <v>0</v>
      </c>
      <c r="Y77" s="195">
        <f t="shared" si="28"/>
        <v>2</v>
      </c>
      <c r="Z77" s="76">
        <v>0.3</v>
      </c>
      <c r="AA77" s="77">
        <v>0.2</v>
      </c>
      <c r="AB77" s="77"/>
      <c r="AC77" s="77">
        <v>0.5</v>
      </c>
      <c r="AD77" s="77"/>
      <c r="AE77" s="83">
        <v>1</v>
      </c>
    </row>
    <row r="78" spans="2:31" s="31" customFormat="1" outlineLevel="1" x14ac:dyDescent="0.25">
      <c r="B78" s="62" t="s">
        <v>279</v>
      </c>
      <c r="C78" s="69">
        <f>$E20*250000</f>
        <v>3250000</v>
      </c>
      <c r="D78" s="168" t="str">
        <f>C13</f>
        <v>НЕТ</v>
      </c>
      <c r="E78" s="871">
        <f t="shared" si="26"/>
        <v>0</v>
      </c>
      <c r="F78" s="871">
        <f t="shared" si="17"/>
        <v>0</v>
      </c>
      <c r="G78" s="873">
        <f t="shared" si="18"/>
        <v>0</v>
      </c>
      <c r="H78" s="870">
        <f t="shared" si="14"/>
        <v>0</v>
      </c>
      <c r="I78" s="870">
        <f t="shared" si="14"/>
        <v>0</v>
      </c>
      <c r="J78" s="870">
        <f t="shared" si="14"/>
        <v>0</v>
      </c>
      <c r="K78" s="870">
        <f t="shared" si="14"/>
        <v>0</v>
      </c>
      <c r="L78" s="69">
        <f t="shared" si="19"/>
        <v>0</v>
      </c>
      <c r="M78" s="868">
        <f t="shared" si="23"/>
        <v>0</v>
      </c>
      <c r="N78" s="901">
        <f t="shared" si="20"/>
        <v>0</v>
      </c>
      <c r="O78" s="871">
        <f t="shared" si="27"/>
        <v>0</v>
      </c>
      <c r="P78" s="871">
        <f t="shared" si="21"/>
        <v>0</v>
      </c>
      <c r="Q78" s="873">
        <f t="shared" si="29"/>
        <v>0</v>
      </c>
      <c r="R78" s="870">
        <f t="shared" si="16"/>
        <v>0</v>
      </c>
      <c r="S78" s="870">
        <f t="shared" si="16"/>
        <v>0</v>
      </c>
      <c r="T78" s="870">
        <f t="shared" si="16"/>
        <v>0</v>
      </c>
      <c r="U78" s="870">
        <f t="shared" si="16"/>
        <v>0</v>
      </c>
      <c r="V78" s="886">
        <f t="shared" si="24"/>
        <v>0</v>
      </c>
      <c r="W78" s="70">
        <f t="shared" si="25"/>
        <v>0</v>
      </c>
      <c r="X78" s="901">
        <f t="shared" si="22"/>
        <v>0</v>
      </c>
      <c r="Y78" s="196">
        <f t="shared" si="28"/>
        <v>2.8</v>
      </c>
      <c r="Z78" s="76">
        <v>0.3</v>
      </c>
      <c r="AA78" s="77">
        <v>0.5</v>
      </c>
      <c r="AB78" s="77">
        <v>1</v>
      </c>
      <c r="AC78" s="77"/>
      <c r="AD78" s="77"/>
      <c r="AE78" s="83">
        <v>1</v>
      </c>
    </row>
    <row r="79" spans="2:31" s="36" customFormat="1" ht="30" outlineLevel="1" x14ac:dyDescent="0.25">
      <c r="B79" s="62" t="s">
        <v>272</v>
      </c>
      <c r="C79" s="71">
        <f>SUM(C74:C77)*0.1+C39*C32</f>
        <v>220500</v>
      </c>
      <c r="D79" s="168" t="s">
        <v>246</v>
      </c>
      <c r="E79" s="871">
        <f t="shared" si="26"/>
        <v>382214.7</v>
      </c>
      <c r="F79" s="871">
        <f t="shared" si="17"/>
        <v>357210</v>
      </c>
      <c r="G79" s="873">
        <f t="shared" si="18"/>
        <v>2205</v>
      </c>
      <c r="H79" s="870">
        <f t="shared" si="14"/>
        <v>44100</v>
      </c>
      <c r="I79" s="870">
        <f t="shared" si="14"/>
        <v>46305.000000000007</v>
      </c>
      <c r="J79" s="870">
        <f t="shared" si="14"/>
        <v>0</v>
      </c>
      <c r="K79" s="870">
        <f t="shared" si="14"/>
        <v>44100</v>
      </c>
      <c r="L79" s="71">
        <f t="shared" si="19"/>
        <v>220500</v>
      </c>
      <c r="M79" s="867">
        <f t="shared" si="23"/>
        <v>71.441999999999993</v>
      </c>
      <c r="N79" s="899">
        <f t="shared" si="20"/>
        <v>2</v>
      </c>
      <c r="O79" s="871">
        <f t="shared" si="27"/>
        <v>382214.7</v>
      </c>
      <c r="P79" s="871">
        <f t="shared" si="21"/>
        <v>357210</v>
      </c>
      <c r="Q79" s="873">
        <f t="shared" si="29"/>
        <v>2205</v>
      </c>
      <c r="R79" s="870">
        <f t="shared" si="16"/>
        <v>44100</v>
      </c>
      <c r="S79" s="870">
        <f t="shared" si="16"/>
        <v>46305.000000000007</v>
      </c>
      <c r="T79" s="870">
        <f t="shared" si="16"/>
        <v>0</v>
      </c>
      <c r="U79" s="870">
        <f t="shared" si="16"/>
        <v>44100</v>
      </c>
      <c r="V79" s="887">
        <f t="shared" si="24"/>
        <v>220500</v>
      </c>
      <c r="W79" s="161">
        <f t="shared" si="25"/>
        <v>71.441999999999993</v>
      </c>
      <c r="X79" s="899">
        <f t="shared" si="22"/>
        <v>2</v>
      </c>
      <c r="Y79" s="195">
        <f t="shared" si="28"/>
        <v>1</v>
      </c>
      <c r="Z79" s="76">
        <v>0.3</v>
      </c>
      <c r="AA79" s="77">
        <v>0.2</v>
      </c>
      <c r="AB79" s="77"/>
      <c r="AC79" s="77">
        <v>0.5</v>
      </c>
      <c r="AD79" s="77"/>
      <c r="AE79" s="83"/>
    </row>
    <row r="80" spans="2:31" s="36" customFormat="1" ht="30" outlineLevel="1" x14ac:dyDescent="0.25">
      <c r="B80" s="62" t="s">
        <v>271</v>
      </c>
      <c r="C80" s="71">
        <f>SUM(C75:C76)*0.1+C44*C32</f>
        <v>180000</v>
      </c>
      <c r="D80" s="168" t="s">
        <v>246</v>
      </c>
      <c r="E80" s="871">
        <f t="shared" si="26"/>
        <v>312012</v>
      </c>
      <c r="F80" s="871">
        <f t="shared" si="17"/>
        <v>291600</v>
      </c>
      <c r="G80" s="873">
        <f t="shared" si="18"/>
        <v>1800</v>
      </c>
      <c r="H80" s="870">
        <f t="shared" si="14"/>
        <v>36000</v>
      </c>
      <c r="I80" s="870">
        <f t="shared" si="14"/>
        <v>37800</v>
      </c>
      <c r="J80" s="870">
        <f t="shared" si="14"/>
        <v>0</v>
      </c>
      <c r="K80" s="870">
        <f t="shared" si="14"/>
        <v>36000</v>
      </c>
      <c r="L80" s="71">
        <f t="shared" si="19"/>
        <v>180000</v>
      </c>
      <c r="M80" s="867">
        <f t="shared" si="23"/>
        <v>58.32</v>
      </c>
      <c r="N80" s="899">
        <f t="shared" si="20"/>
        <v>1</v>
      </c>
      <c r="O80" s="871">
        <f t="shared" si="27"/>
        <v>312012</v>
      </c>
      <c r="P80" s="871">
        <f t="shared" si="21"/>
        <v>291600</v>
      </c>
      <c r="Q80" s="873">
        <f t="shared" si="29"/>
        <v>1800</v>
      </c>
      <c r="R80" s="870">
        <f t="shared" si="16"/>
        <v>36000</v>
      </c>
      <c r="S80" s="870">
        <f t="shared" si="16"/>
        <v>37800</v>
      </c>
      <c r="T80" s="870">
        <f t="shared" si="16"/>
        <v>0</v>
      </c>
      <c r="U80" s="870">
        <f t="shared" si="16"/>
        <v>36000</v>
      </c>
      <c r="V80" s="887">
        <f t="shared" si="24"/>
        <v>180000</v>
      </c>
      <c r="W80" s="161">
        <f t="shared" si="25"/>
        <v>58.32</v>
      </c>
      <c r="X80" s="899">
        <f t="shared" si="22"/>
        <v>1</v>
      </c>
      <c r="Y80" s="195">
        <f t="shared" si="28"/>
        <v>1.5</v>
      </c>
      <c r="Z80" s="76">
        <v>0.3</v>
      </c>
      <c r="AA80" s="77">
        <v>0.2</v>
      </c>
      <c r="AB80" s="77"/>
      <c r="AC80" s="77">
        <v>1</v>
      </c>
      <c r="AD80" s="77"/>
      <c r="AE80" s="83"/>
    </row>
    <row r="81" spans="2:31" s="36" customFormat="1" ht="30" outlineLevel="1" x14ac:dyDescent="0.25">
      <c r="B81" s="62" t="s">
        <v>273</v>
      </c>
      <c r="C81" s="71">
        <f>SUM(C75:C76)*0.1</f>
        <v>180000</v>
      </c>
      <c r="D81" s="168" t="s">
        <v>246</v>
      </c>
      <c r="E81" s="871">
        <f t="shared" si="26"/>
        <v>312012</v>
      </c>
      <c r="F81" s="871">
        <f t="shared" si="17"/>
        <v>291600</v>
      </c>
      <c r="G81" s="873">
        <f t="shared" si="18"/>
        <v>1800</v>
      </c>
      <c r="H81" s="870">
        <f t="shared" si="14"/>
        <v>36000</v>
      </c>
      <c r="I81" s="870">
        <f t="shared" si="14"/>
        <v>37800</v>
      </c>
      <c r="J81" s="870">
        <f t="shared" si="14"/>
        <v>0</v>
      </c>
      <c r="K81" s="870">
        <f t="shared" si="14"/>
        <v>36000</v>
      </c>
      <c r="L81" s="71">
        <f t="shared" si="19"/>
        <v>180000</v>
      </c>
      <c r="M81" s="867">
        <f t="shared" si="23"/>
        <v>58.32</v>
      </c>
      <c r="N81" s="899">
        <f t="shared" si="20"/>
        <v>1</v>
      </c>
      <c r="O81" s="871">
        <f t="shared" si="27"/>
        <v>312012</v>
      </c>
      <c r="P81" s="871">
        <f t="shared" si="21"/>
        <v>291600</v>
      </c>
      <c r="Q81" s="873">
        <f t="shared" si="29"/>
        <v>1800</v>
      </c>
      <c r="R81" s="870">
        <f t="shared" si="16"/>
        <v>36000</v>
      </c>
      <c r="S81" s="870">
        <f t="shared" si="16"/>
        <v>37800</v>
      </c>
      <c r="T81" s="870">
        <f t="shared" si="16"/>
        <v>0</v>
      </c>
      <c r="U81" s="870">
        <f t="shared" si="16"/>
        <v>36000</v>
      </c>
      <c r="V81" s="887">
        <f t="shared" si="24"/>
        <v>180000</v>
      </c>
      <c r="W81" s="161">
        <f t="shared" si="25"/>
        <v>58.32</v>
      </c>
      <c r="X81" s="899">
        <f t="shared" si="22"/>
        <v>1</v>
      </c>
      <c r="Y81" s="195">
        <f t="shared" si="28"/>
        <v>2.5</v>
      </c>
      <c r="Z81" s="76">
        <v>0.3</v>
      </c>
      <c r="AA81" s="77">
        <v>0.2</v>
      </c>
      <c r="AB81" s="77"/>
      <c r="AC81" s="77">
        <v>1</v>
      </c>
      <c r="AD81" s="77"/>
      <c r="AE81" s="83">
        <v>1</v>
      </c>
    </row>
    <row r="82" spans="2:31" s="36" customFormat="1" ht="30" outlineLevel="1" x14ac:dyDescent="0.25">
      <c r="B82" s="62" t="s">
        <v>2304</v>
      </c>
      <c r="C82" s="71">
        <f>192000+96000*5</f>
        <v>672000</v>
      </c>
      <c r="D82" s="168" t="s">
        <v>246</v>
      </c>
      <c r="E82" s="871">
        <f t="shared" ref="E82" si="30">F82*(1+$C$58)</f>
        <v>1164844.8</v>
      </c>
      <c r="F82" s="871">
        <f t="shared" ref="F82" si="31">SUM(G82:L82)</f>
        <v>1088640</v>
      </c>
      <c r="G82" s="873">
        <f t="shared" si="18"/>
        <v>6720</v>
      </c>
      <c r="H82" s="870">
        <f t="shared" si="14"/>
        <v>134400</v>
      </c>
      <c r="I82" s="870">
        <f t="shared" si="14"/>
        <v>141120</v>
      </c>
      <c r="J82" s="870">
        <f t="shared" si="14"/>
        <v>0</v>
      </c>
      <c r="K82" s="870">
        <f t="shared" si="14"/>
        <v>134400</v>
      </c>
      <c r="L82" s="71">
        <f t="shared" ref="L82" si="32">IF(D82="Да",$C82,0)</f>
        <v>672000</v>
      </c>
      <c r="M82" s="867">
        <f t="shared" ref="M82" si="33">F82/$C$32</f>
        <v>217.72800000000001</v>
      </c>
      <c r="N82" s="899">
        <f t="shared" ref="N82" si="34">ROUNDUP(((L82/$C$32)/40)*1.2/$Y82,0)</f>
        <v>27</v>
      </c>
      <c r="O82" s="871">
        <f t="shared" ref="O82" si="35">P82*(1+$C$58)</f>
        <v>1164844.8</v>
      </c>
      <c r="P82" s="871">
        <f t="shared" ref="P82" si="36">SUM(Q82:V82)</f>
        <v>1088640</v>
      </c>
      <c r="Q82" s="873">
        <f t="shared" si="29"/>
        <v>6720</v>
      </c>
      <c r="R82" s="870">
        <f t="shared" si="16"/>
        <v>134400</v>
      </c>
      <c r="S82" s="870">
        <f t="shared" si="16"/>
        <v>141120</v>
      </c>
      <c r="T82" s="870">
        <f t="shared" si="16"/>
        <v>0</v>
      </c>
      <c r="U82" s="870">
        <f t="shared" si="16"/>
        <v>134400</v>
      </c>
      <c r="V82" s="887">
        <f t="shared" si="24"/>
        <v>672000</v>
      </c>
      <c r="W82" s="161">
        <f t="shared" ref="W82" si="37">P82/$C$32</f>
        <v>217.72800000000001</v>
      </c>
      <c r="X82" s="899">
        <f t="shared" ref="X82" si="38">ROUNDUP(((V82/$C$32)/40)*1.2/$Y82,0)</f>
        <v>27</v>
      </c>
      <c r="Y82" s="195">
        <f t="shared" ref="Y82" si="39">SUM(Z82:AE82)</f>
        <v>0.15000000000000002</v>
      </c>
      <c r="Z82" s="76">
        <v>0.05</v>
      </c>
      <c r="AA82" s="77"/>
      <c r="AB82" s="77"/>
      <c r="AC82" s="77">
        <v>0.1</v>
      </c>
      <c r="AD82" s="77"/>
      <c r="AE82" s="83"/>
    </row>
    <row r="83" spans="2:31" s="31" customFormat="1" ht="30" outlineLevel="1" x14ac:dyDescent="0.25">
      <c r="B83" s="62" t="s">
        <v>683</v>
      </c>
      <c r="C83" s="68">
        <f>(((C45+F48*D48)*$C32+H48*$C49))</f>
        <v>320000</v>
      </c>
      <c r="D83" s="168" t="s">
        <v>246</v>
      </c>
      <c r="E83" s="871">
        <f t="shared" si="26"/>
        <v>554688</v>
      </c>
      <c r="F83" s="871">
        <f t="shared" si="17"/>
        <v>518400</v>
      </c>
      <c r="G83" s="873">
        <f t="shared" si="18"/>
        <v>3200</v>
      </c>
      <c r="H83" s="870">
        <f t="shared" si="14"/>
        <v>64000</v>
      </c>
      <c r="I83" s="870">
        <f t="shared" si="14"/>
        <v>67200</v>
      </c>
      <c r="J83" s="870">
        <f t="shared" si="14"/>
        <v>0</v>
      </c>
      <c r="K83" s="870">
        <f t="shared" si="14"/>
        <v>64000</v>
      </c>
      <c r="L83" s="68">
        <f t="shared" si="19"/>
        <v>320000</v>
      </c>
      <c r="M83" s="867">
        <f t="shared" si="23"/>
        <v>103.68</v>
      </c>
      <c r="N83" s="899">
        <f t="shared" si="20"/>
        <v>2</v>
      </c>
      <c r="O83" s="871">
        <f t="shared" si="27"/>
        <v>554688</v>
      </c>
      <c r="P83" s="871">
        <f t="shared" si="21"/>
        <v>518400</v>
      </c>
      <c r="Q83" s="873">
        <f t="shared" si="29"/>
        <v>3200</v>
      </c>
      <c r="R83" s="870">
        <f t="shared" si="16"/>
        <v>64000</v>
      </c>
      <c r="S83" s="870">
        <f t="shared" si="16"/>
        <v>67200</v>
      </c>
      <c r="T83" s="870">
        <f t="shared" si="16"/>
        <v>0</v>
      </c>
      <c r="U83" s="870">
        <f t="shared" si="16"/>
        <v>64000</v>
      </c>
      <c r="V83" s="883">
        <f t="shared" si="24"/>
        <v>320000</v>
      </c>
      <c r="W83" s="161">
        <f t="shared" si="25"/>
        <v>103.68</v>
      </c>
      <c r="X83" s="899">
        <f t="shared" si="22"/>
        <v>2</v>
      </c>
      <c r="Y83" s="195">
        <f t="shared" si="28"/>
        <v>1.3</v>
      </c>
      <c r="Z83" s="76">
        <v>0.3</v>
      </c>
      <c r="AA83" s="77"/>
      <c r="AB83" s="77"/>
      <c r="AC83" s="77">
        <v>1</v>
      </c>
      <c r="AD83" s="77"/>
      <c r="AE83" s="83"/>
    </row>
    <row r="84" spans="2:31" s="31" customFormat="1" outlineLevel="1" x14ac:dyDescent="0.25">
      <c r="B84" s="62" t="s">
        <v>588</v>
      </c>
      <c r="C84" s="68">
        <f>((F46*D46+F47*D47)*$C32+SUM(H46:H47)*$C49)</f>
        <v>480000</v>
      </c>
      <c r="D84" s="168" t="s">
        <v>246</v>
      </c>
      <c r="E84" s="871">
        <f t="shared" si="26"/>
        <v>832032</v>
      </c>
      <c r="F84" s="871">
        <f t="shared" si="17"/>
        <v>777600</v>
      </c>
      <c r="G84" s="873">
        <f t="shared" si="18"/>
        <v>4800</v>
      </c>
      <c r="H84" s="870">
        <f t="shared" si="14"/>
        <v>96000</v>
      </c>
      <c r="I84" s="870">
        <f t="shared" si="14"/>
        <v>100800.00000000001</v>
      </c>
      <c r="J84" s="870">
        <f t="shared" si="14"/>
        <v>0</v>
      </c>
      <c r="K84" s="870">
        <f t="shared" si="14"/>
        <v>96000</v>
      </c>
      <c r="L84" s="68">
        <f t="shared" si="19"/>
        <v>480000</v>
      </c>
      <c r="M84" s="867">
        <f t="shared" si="23"/>
        <v>155.52000000000001</v>
      </c>
      <c r="N84" s="899">
        <f t="shared" si="20"/>
        <v>3</v>
      </c>
      <c r="O84" s="871">
        <f t="shared" si="27"/>
        <v>832032</v>
      </c>
      <c r="P84" s="871">
        <f t="shared" si="21"/>
        <v>777600</v>
      </c>
      <c r="Q84" s="873">
        <f t="shared" si="29"/>
        <v>4800</v>
      </c>
      <c r="R84" s="870">
        <f t="shared" si="16"/>
        <v>96000</v>
      </c>
      <c r="S84" s="870">
        <f t="shared" si="16"/>
        <v>100800.00000000001</v>
      </c>
      <c r="T84" s="870">
        <f t="shared" si="16"/>
        <v>0</v>
      </c>
      <c r="U84" s="870">
        <f t="shared" si="16"/>
        <v>96000</v>
      </c>
      <c r="V84" s="883">
        <f t="shared" si="24"/>
        <v>480000</v>
      </c>
      <c r="W84" s="161">
        <f t="shared" si="25"/>
        <v>155.52000000000001</v>
      </c>
      <c r="X84" s="899">
        <f t="shared" si="22"/>
        <v>3</v>
      </c>
      <c r="Y84" s="195">
        <f t="shared" si="28"/>
        <v>1.3</v>
      </c>
      <c r="Z84" s="76">
        <v>0.3</v>
      </c>
      <c r="AA84" s="77"/>
      <c r="AB84" s="77"/>
      <c r="AC84" s="77">
        <v>1</v>
      </c>
      <c r="AD84" s="77"/>
      <c r="AE84" s="83"/>
    </row>
    <row r="85" spans="2:31" s="31" customFormat="1" outlineLevel="1" x14ac:dyDescent="0.25">
      <c r="B85" s="62" t="s">
        <v>697</v>
      </c>
      <c r="C85" s="399">
        <f>(((($C5*C66+C6*C67)*0.5+C64)*$C32+$E5*$C49))</f>
        <v>1187500</v>
      </c>
      <c r="D85" s="393" t="s">
        <v>246</v>
      </c>
      <c r="E85" s="871">
        <f t="shared" si="26"/>
        <v>2058412.5000000002</v>
      </c>
      <c r="F85" s="871">
        <f t="shared" si="17"/>
        <v>1923750</v>
      </c>
      <c r="G85" s="873">
        <f t="shared" si="18"/>
        <v>11875</v>
      </c>
      <c r="H85" s="870">
        <f t="shared" si="14"/>
        <v>237500</v>
      </c>
      <c r="I85" s="870">
        <f t="shared" si="14"/>
        <v>249375.00000000003</v>
      </c>
      <c r="J85" s="870">
        <f t="shared" si="14"/>
        <v>0</v>
      </c>
      <c r="K85" s="870">
        <f t="shared" si="14"/>
        <v>237500</v>
      </c>
      <c r="L85" s="875">
        <f t="shared" si="19"/>
        <v>1187500</v>
      </c>
      <c r="M85" s="867">
        <f t="shared" si="23"/>
        <v>384.75</v>
      </c>
      <c r="N85" s="899">
        <f t="shared" si="20"/>
        <v>2</v>
      </c>
      <c r="O85" s="871">
        <f t="shared" si="27"/>
        <v>2058412.5000000002</v>
      </c>
      <c r="P85" s="871">
        <f t="shared" si="21"/>
        <v>1923750</v>
      </c>
      <c r="Q85" s="873">
        <f t="shared" si="29"/>
        <v>11875</v>
      </c>
      <c r="R85" s="870">
        <f t="shared" si="16"/>
        <v>237500</v>
      </c>
      <c r="S85" s="870">
        <f t="shared" si="16"/>
        <v>249375.00000000003</v>
      </c>
      <c r="T85" s="870">
        <f t="shared" si="16"/>
        <v>0</v>
      </c>
      <c r="U85" s="870">
        <f t="shared" si="16"/>
        <v>237500</v>
      </c>
      <c r="V85" s="888">
        <f t="shared" si="24"/>
        <v>1187500</v>
      </c>
      <c r="W85" s="161">
        <f t="shared" si="25"/>
        <v>384.75</v>
      </c>
      <c r="X85" s="899">
        <f t="shared" si="22"/>
        <v>2</v>
      </c>
      <c r="Y85" s="195">
        <f>SUM(Z85:AE86)</f>
        <v>3.7</v>
      </c>
      <c r="Z85" s="394">
        <v>0.3</v>
      </c>
      <c r="AA85" s="84">
        <v>0.7</v>
      </c>
      <c r="AB85" s="84"/>
      <c r="AC85" s="84">
        <v>1</v>
      </c>
      <c r="AD85" s="84"/>
      <c r="AE85" s="83">
        <v>0.5</v>
      </c>
    </row>
    <row r="86" spans="2:31" s="31" customFormat="1" outlineLevel="1" x14ac:dyDescent="0.25">
      <c r="B86" s="62" t="s">
        <v>698</v>
      </c>
      <c r="C86" s="399">
        <f>(((($C5*C66+C6*C67)*0.5+C65)*$C32+$E5*$C49))</f>
        <v>687500</v>
      </c>
      <c r="D86" s="393" t="s">
        <v>246</v>
      </c>
      <c r="E86" s="871">
        <f t="shared" si="26"/>
        <v>1191712.5</v>
      </c>
      <c r="F86" s="871">
        <f t="shared" si="17"/>
        <v>1113750</v>
      </c>
      <c r="G86" s="873">
        <f t="shared" si="18"/>
        <v>6875</v>
      </c>
      <c r="H86" s="870">
        <f t="shared" si="14"/>
        <v>137500</v>
      </c>
      <c r="I86" s="870">
        <f t="shared" si="14"/>
        <v>144375</v>
      </c>
      <c r="J86" s="870">
        <f t="shared" si="14"/>
        <v>0</v>
      </c>
      <c r="K86" s="870">
        <f t="shared" si="14"/>
        <v>137500</v>
      </c>
      <c r="L86" s="875">
        <f t="shared" si="19"/>
        <v>687500</v>
      </c>
      <c r="M86" s="867">
        <f t="shared" si="23"/>
        <v>222.75</v>
      </c>
      <c r="N86" s="899">
        <f t="shared" si="20"/>
        <v>2</v>
      </c>
      <c r="O86" s="871">
        <f t="shared" si="27"/>
        <v>1191712.5</v>
      </c>
      <c r="P86" s="871">
        <f t="shared" si="21"/>
        <v>1113750</v>
      </c>
      <c r="Q86" s="873">
        <f t="shared" si="29"/>
        <v>6875</v>
      </c>
      <c r="R86" s="870">
        <f t="shared" si="16"/>
        <v>137500</v>
      </c>
      <c r="S86" s="870">
        <f t="shared" si="16"/>
        <v>144375</v>
      </c>
      <c r="T86" s="870">
        <f t="shared" si="16"/>
        <v>0</v>
      </c>
      <c r="U86" s="870">
        <f t="shared" si="16"/>
        <v>137500</v>
      </c>
      <c r="V86" s="888">
        <f t="shared" si="24"/>
        <v>687500</v>
      </c>
      <c r="W86" s="161">
        <f t="shared" si="25"/>
        <v>222.75</v>
      </c>
      <c r="X86" s="899">
        <f t="shared" si="22"/>
        <v>2</v>
      </c>
      <c r="Y86" s="195">
        <f>SUM(Z86:AE87)</f>
        <v>3.2</v>
      </c>
      <c r="Z86" s="394">
        <v>0.3</v>
      </c>
      <c r="AA86" s="84">
        <v>0.2</v>
      </c>
      <c r="AB86" s="84"/>
      <c r="AC86" s="84">
        <v>0.5</v>
      </c>
      <c r="AD86" s="84"/>
      <c r="AE86" s="83">
        <v>0.2</v>
      </c>
    </row>
    <row r="87" spans="2:31" s="31" customFormat="1" ht="45" outlineLevel="1" x14ac:dyDescent="0.25">
      <c r="B87" s="62" t="s">
        <v>276</v>
      </c>
      <c r="C87" s="99">
        <f>5000000</f>
        <v>5000000</v>
      </c>
      <c r="D87" s="168" t="str">
        <f>C14</f>
        <v>НЕТ</v>
      </c>
      <c r="E87" s="871">
        <f t="shared" si="26"/>
        <v>0</v>
      </c>
      <c r="F87" s="871">
        <f t="shared" si="17"/>
        <v>0</v>
      </c>
      <c r="G87" s="873">
        <f t="shared" si="18"/>
        <v>0</v>
      </c>
      <c r="H87" s="870">
        <f t="shared" si="14"/>
        <v>0</v>
      </c>
      <c r="I87" s="870">
        <f t="shared" si="14"/>
        <v>0</v>
      </c>
      <c r="J87" s="870">
        <f t="shared" si="14"/>
        <v>0</v>
      </c>
      <c r="K87" s="870">
        <f t="shared" si="14"/>
        <v>0</v>
      </c>
      <c r="L87" s="99">
        <f t="shared" si="19"/>
        <v>0</v>
      </c>
      <c r="M87" s="867">
        <f t="shared" si="23"/>
        <v>0</v>
      </c>
      <c r="N87" s="899">
        <f t="shared" si="20"/>
        <v>0</v>
      </c>
      <c r="O87" s="871">
        <f t="shared" si="27"/>
        <v>0</v>
      </c>
      <c r="P87" s="871">
        <f t="shared" si="21"/>
        <v>0</v>
      </c>
      <c r="Q87" s="873">
        <f t="shared" si="29"/>
        <v>0</v>
      </c>
      <c r="R87" s="870">
        <f t="shared" si="16"/>
        <v>0</v>
      </c>
      <c r="S87" s="870">
        <f t="shared" si="16"/>
        <v>0</v>
      </c>
      <c r="T87" s="870">
        <f t="shared" si="16"/>
        <v>0</v>
      </c>
      <c r="U87" s="870">
        <f t="shared" si="16"/>
        <v>0</v>
      </c>
      <c r="V87" s="889">
        <f t="shared" si="24"/>
        <v>0</v>
      </c>
      <c r="W87" s="161">
        <f t="shared" si="25"/>
        <v>0</v>
      </c>
      <c r="X87" s="899">
        <f t="shared" si="22"/>
        <v>0</v>
      </c>
      <c r="Y87" s="195">
        <f>SUM(Z87:AE87)</f>
        <v>2</v>
      </c>
      <c r="Z87" s="394">
        <v>0.3</v>
      </c>
      <c r="AA87" s="84">
        <v>0.7</v>
      </c>
      <c r="AB87" s="77"/>
      <c r="AC87" s="77">
        <v>1</v>
      </c>
      <c r="AD87" s="77"/>
      <c r="AE87" s="83"/>
    </row>
    <row r="88" spans="2:31" s="31" customFormat="1" ht="30.75" outlineLevel="1" thickBot="1" x14ac:dyDescent="0.3">
      <c r="B88" s="105" t="s">
        <v>275</v>
      </c>
      <c r="C88" s="106">
        <f>C80</f>
        <v>180000</v>
      </c>
      <c r="D88" s="168" t="s">
        <v>255</v>
      </c>
      <c r="E88" s="872">
        <f t="shared" si="26"/>
        <v>0</v>
      </c>
      <c r="F88" s="872">
        <f t="shared" si="17"/>
        <v>0</v>
      </c>
      <c r="G88" s="876">
        <f t="shared" si="18"/>
        <v>0</v>
      </c>
      <c r="H88" s="877">
        <f t="shared" si="14"/>
        <v>0</v>
      </c>
      <c r="I88" s="986">
        <f t="shared" si="14"/>
        <v>0</v>
      </c>
      <c r="J88" s="986">
        <f t="shared" si="14"/>
        <v>0</v>
      </c>
      <c r="K88" s="877">
        <f t="shared" si="14"/>
        <v>0</v>
      </c>
      <c r="L88" s="106">
        <f t="shared" si="19"/>
        <v>0</v>
      </c>
      <c r="M88" s="869">
        <f t="shared" si="23"/>
        <v>0</v>
      </c>
      <c r="N88" s="902">
        <f t="shared" si="20"/>
        <v>0</v>
      </c>
      <c r="O88" s="872">
        <f t="shared" si="27"/>
        <v>0</v>
      </c>
      <c r="P88" s="872">
        <f t="shared" si="21"/>
        <v>0</v>
      </c>
      <c r="Q88" s="876">
        <f t="shared" si="29"/>
        <v>0</v>
      </c>
      <c r="R88" s="877">
        <f t="shared" si="29"/>
        <v>0</v>
      </c>
      <c r="S88" s="986">
        <f t="shared" si="29"/>
        <v>0</v>
      </c>
      <c r="T88" s="986">
        <f t="shared" si="29"/>
        <v>0</v>
      </c>
      <c r="U88" s="877">
        <f t="shared" si="29"/>
        <v>0</v>
      </c>
      <c r="V88" s="890">
        <f t="shared" si="24"/>
        <v>0</v>
      </c>
      <c r="W88" s="72">
        <f t="shared" si="25"/>
        <v>0</v>
      </c>
      <c r="X88" s="902">
        <f t="shared" si="22"/>
        <v>0</v>
      </c>
      <c r="Y88" s="197">
        <f>SUM(Z88:AE88)</f>
        <v>2</v>
      </c>
      <c r="Z88" s="78">
        <v>0.3</v>
      </c>
      <c r="AA88" s="79">
        <v>0.7</v>
      </c>
      <c r="AB88" s="79"/>
      <c r="AC88" s="79">
        <v>1</v>
      </c>
      <c r="AD88" s="79"/>
      <c r="AE88" s="80"/>
    </row>
    <row r="89" spans="2:31" s="31" customFormat="1" ht="15.75" outlineLevel="1" thickBot="1" x14ac:dyDescent="0.3">
      <c r="B89" s="991" t="s">
        <v>2227</v>
      </c>
      <c r="C89" s="992">
        <v>2641188</v>
      </c>
      <c r="D89" s="168" t="s">
        <v>246</v>
      </c>
      <c r="E89" s="872">
        <f t="shared" ref="E89" si="40">F89*(1+$C$59)</f>
        <v>4278724.5600000005</v>
      </c>
      <c r="F89" s="872">
        <f t="shared" ref="F89" si="41">SUM(G89:L89)</f>
        <v>4278724.5600000005</v>
      </c>
      <c r="G89" s="876">
        <f t="shared" si="18"/>
        <v>26411.88</v>
      </c>
      <c r="H89" s="877">
        <f t="shared" si="14"/>
        <v>528237.6</v>
      </c>
      <c r="I89" s="996">
        <f t="shared" si="14"/>
        <v>554649.4800000001</v>
      </c>
      <c r="J89" s="996">
        <f t="shared" si="14"/>
        <v>0</v>
      </c>
      <c r="K89" s="877">
        <f t="shared" si="14"/>
        <v>528237.6</v>
      </c>
      <c r="L89" s="106">
        <f t="shared" si="19"/>
        <v>2641188</v>
      </c>
      <c r="M89" s="869">
        <f t="shared" si="23"/>
        <v>855.74491200000011</v>
      </c>
      <c r="N89" s="902"/>
      <c r="O89" s="872">
        <f t="shared" ref="O89" si="42">P89*(1+$C$59)</f>
        <v>4463607.7200000007</v>
      </c>
      <c r="P89" s="872">
        <f t="shared" ref="P89" si="43">SUM(Q89:V89)</f>
        <v>4463607.7200000007</v>
      </c>
      <c r="Q89" s="876">
        <f t="shared" ref="Q89" si="44">Q$69*$L89</f>
        <v>26411.88</v>
      </c>
      <c r="R89" s="877">
        <f t="shared" ref="R89:U89" si="45">R$69*$L89</f>
        <v>528237.6</v>
      </c>
      <c r="S89" s="996">
        <f t="shared" si="45"/>
        <v>554649.4800000001</v>
      </c>
      <c r="T89" s="996">
        <f t="shared" si="45"/>
        <v>0</v>
      </c>
      <c r="U89" s="877">
        <f t="shared" si="45"/>
        <v>528237.6</v>
      </c>
      <c r="V89" s="890">
        <f t="shared" ref="V89" si="46">IF($D89="Да",$C89*(1+$C$58),0)</f>
        <v>2826071.16</v>
      </c>
      <c r="W89" s="72">
        <f t="shared" si="25"/>
        <v>892.72154400000011</v>
      </c>
      <c r="X89" s="902"/>
      <c r="Y89" s="195">
        <f>SUM(Z89:AE89)</f>
        <v>0.4</v>
      </c>
      <c r="Z89" s="78"/>
      <c r="AA89" s="79"/>
      <c r="AB89" s="79"/>
      <c r="AC89" s="79">
        <v>0.2</v>
      </c>
      <c r="AD89" s="79"/>
      <c r="AE89" s="80">
        <v>0.2</v>
      </c>
    </row>
    <row r="90" spans="2:31" ht="45" x14ac:dyDescent="0.25">
      <c r="K90" s="2"/>
      <c r="M90" s="2" t="s">
        <v>1788</v>
      </c>
      <c r="N90" s="2">
        <f>N71/4</f>
        <v>12.5</v>
      </c>
      <c r="O90" s="2"/>
      <c r="W90" s="2" t="s">
        <v>1788</v>
      </c>
      <c r="X90" s="2">
        <f>X71/4</f>
        <v>12.5</v>
      </c>
    </row>
    <row r="91" spans="2:31" ht="30" x14ac:dyDescent="0.25">
      <c r="W91" s="833" t="s">
        <v>1792</v>
      </c>
      <c r="X91" s="834" t="s">
        <v>1793</v>
      </c>
      <c r="Y91" s="835" t="s">
        <v>1794</v>
      </c>
    </row>
  </sheetData>
  <autoFilter ref="B19:E45" xr:uid="{00000000-0009-0000-0000-00000D000000}"/>
  <mergeCells count="9">
    <mergeCell ref="B60:C60"/>
    <mergeCell ref="B30:C30"/>
    <mergeCell ref="B31:C31"/>
    <mergeCell ref="B2:C2"/>
    <mergeCell ref="B18:B19"/>
    <mergeCell ref="C18:E18"/>
    <mergeCell ref="B27:C27"/>
    <mergeCell ref="B28:C28"/>
    <mergeCell ref="B29:C29"/>
  </mergeCells>
  <conditionalFormatting sqref="C10:C16">
    <cfRule type="cellIs" dxfId="73" priority="108" operator="equal">
      <formula>"ДА"</formula>
    </cfRule>
    <cfRule type="cellIs" dxfId="72" priority="109" operator="equal">
      <formula>"НЕТ"</formula>
    </cfRule>
  </conditionalFormatting>
  <conditionalFormatting sqref="C72:C89">
    <cfRule type="expression" dxfId="71" priority="1">
      <formula>#REF!=0</formula>
    </cfRule>
  </conditionalFormatting>
  <conditionalFormatting sqref="C20:E21">
    <cfRule type="cellIs" dxfId="70" priority="324" operator="equal">
      <formula>"ДА"</formula>
    </cfRule>
    <cfRule type="cellIs" dxfId="69" priority="323" operator="equal">
      <formula>"НЕТ"</formula>
    </cfRule>
  </conditionalFormatting>
  <conditionalFormatting sqref="C71:F71">
    <cfRule type="expression" dxfId="68" priority="53">
      <formula>#REF!=0</formula>
    </cfRule>
  </conditionalFormatting>
  <conditionalFormatting sqref="D10:D16">
    <cfRule type="cellIs" dxfId="67" priority="107" operator="equal">
      <formula>"КОРП"</formula>
    </cfRule>
    <cfRule type="cellIs" dxfId="66" priority="106" operator="equal">
      <formula>"ПРОФ"</formula>
    </cfRule>
  </conditionalFormatting>
  <conditionalFormatting sqref="D32:D33">
    <cfRule type="cellIs" dxfId="65" priority="124" operator="equal">
      <formula>"Формула"</formula>
    </cfRule>
    <cfRule type="cellIs" dxfId="64" priority="123" operator="equal">
      <formula>"Значение введено вручную"</formula>
    </cfRule>
  </conditionalFormatting>
  <conditionalFormatting sqref="D52:D54">
    <cfRule type="cellIs" dxfId="63" priority="9" operator="equal">
      <formula>"Формула"</formula>
    </cfRule>
    <cfRule type="cellIs" dxfId="62" priority="8" operator="equal">
      <formula>"Значение введено вручную"</formula>
    </cfRule>
  </conditionalFormatting>
  <conditionalFormatting sqref="D62:D67">
    <cfRule type="cellIs" dxfId="61" priority="97" operator="equal">
      <formula>"Формула"</formula>
    </cfRule>
    <cfRule type="cellIs" dxfId="60" priority="96" operator="equal">
      <formula>"Значение введено вручную"</formula>
    </cfRule>
  </conditionalFormatting>
  <conditionalFormatting sqref="D72:D89">
    <cfRule type="cellIs" dxfId="59" priority="47" operator="equal">
      <formula>"НЕТ"</formula>
    </cfRule>
    <cfRule type="cellIs" dxfId="58" priority="48" operator="equal">
      <formula>"ДА"</formula>
    </cfRule>
  </conditionalFormatting>
  <conditionalFormatting sqref="E2">
    <cfRule type="cellIs" dxfId="57" priority="101" operator="equal">
      <formula>"КОРП Заказчик"</formula>
    </cfRule>
    <cfRule type="cellIs" dxfId="56" priority="100" operator="equal">
      <formula>"SMB Заказчик"</formula>
    </cfRule>
  </conditionalFormatting>
  <conditionalFormatting sqref="E10:E16">
    <cfRule type="cellIs" dxfId="55" priority="104" operator="equal">
      <formula>"ДА"</formula>
    </cfRule>
    <cfRule type="cellIs" dxfId="54" priority="105" operator="equal">
      <formula>"НЕТ"</formula>
    </cfRule>
  </conditionalFormatting>
  <conditionalFormatting sqref="E54">
    <cfRule type="cellIs" dxfId="53" priority="2" operator="equal">
      <formula>"Указать"</formula>
    </cfRule>
    <cfRule type="cellIs" dxfId="52" priority="3" operator="equal">
      <formula>"ДА"</formula>
    </cfRule>
    <cfRule type="cellIs" dxfId="51" priority="4" operator="equal">
      <formula>"НЕТ"</formula>
    </cfRule>
  </conditionalFormatting>
  <conditionalFormatting sqref="F10:F16">
    <cfRule type="cellIs" dxfId="50" priority="102" operator="equal">
      <formula>"Значение введено вручную"</formula>
    </cfRule>
    <cfRule type="cellIs" dxfId="49" priority="103" operator="equal">
      <formula>"Формула"</formula>
    </cfRule>
  </conditionalFormatting>
  <conditionalFormatting sqref="I71:J89">
    <cfRule type="expression" dxfId="47" priority="18">
      <formula>#REF!=0</formula>
    </cfRule>
  </conditionalFormatting>
  <conditionalFormatting sqref="M71:N89">
    <cfRule type="expression" dxfId="45" priority="41">
      <formula>#REF!=0</formula>
    </cfRule>
  </conditionalFormatting>
  <conditionalFormatting sqref="N90:O90 X90">
    <cfRule type="cellIs" dxfId="44" priority="55" operator="between">
      <formula>12</formula>
      <formula>18</formula>
    </cfRule>
    <cfRule type="cellIs" dxfId="43" priority="54" operator="greaterThan">
      <formula>18</formula>
    </cfRule>
    <cfRule type="cellIs" dxfId="42" priority="56" operator="lessThanOrEqual">
      <formula>12</formula>
    </cfRule>
  </conditionalFormatting>
  <conditionalFormatting sqref="O71:P71">
    <cfRule type="expression" dxfId="41" priority="52">
      <formula>#REF!=0</formula>
    </cfRule>
  </conditionalFormatting>
  <conditionalFormatting sqref="S71:T89">
    <cfRule type="expression" dxfId="39" priority="10">
      <formula>#REF!=0</formula>
    </cfRule>
  </conditionalFormatting>
  <conditionalFormatting sqref="W71:Y89">
    <cfRule type="expression" dxfId="37" priority="39">
      <formula>#REF!=0</formula>
    </cfRule>
  </conditionalFormatting>
  <conditionalFormatting sqref="Z86:AA86">
    <cfRule type="colorScale" priority="85">
      <colorScale>
        <cfvo type="min"/>
        <cfvo type="max"/>
        <color rgb="FFFFEF9C"/>
        <color rgb="FF63BE7B"/>
      </colorScale>
    </cfRule>
    <cfRule type="colorScale" priority="84">
      <colorScale>
        <cfvo type="min"/>
        <cfvo type="max"/>
        <color rgb="FFFFEF9C"/>
        <color rgb="FF63BE7B"/>
      </colorScale>
    </cfRule>
  </conditionalFormatting>
  <conditionalFormatting sqref="Z87:AE88 Z72:AE85">
    <cfRule type="colorScale" priority="93">
      <colorScale>
        <cfvo type="min"/>
        <cfvo type="max"/>
        <color rgb="FFFFEF9C"/>
        <color rgb="FF63BE7B"/>
      </colorScale>
    </cfRule>
  </conditionalFormatting>
  <conditionalFormatting sqref="Z87:AE88 Z73:AE85">
    <cfRule type="colorScale" priority="94">
      <colorScale>
        <cfvo type="min"/>
        <cfvo type="max"/>
        <color rgb="FFFFEF9C"/>
        <color rgb="FF63BE7B"/>
      </colorScale>
    </cfRule>
  </conditionalFormatting>
  <conditionalFormatting sqref="Z89:AE89">
    <cfRule type="colorScale" priority="50">
      <colorScale>
        <cfvo type="min"/>
        <cfvo type="max"/>
        <color rgb="FFFFEF9C"/>
        <color rgb="FF63BE7B"/>
      </colorScale>
    </cfRule>
    <cfRule type="colorScale" priority="49">
      <colorScale>
        <cfvo type="min"/>
        <cfvo type="max"/>
        <color rgb="FFFFEF9C"/>
        <color rgb="FF63BE7B"/>
      </colorScale>
    </cfRule>
  </conditionalFormatting>
  <conditionalFormatting sqref="AB86:AE86">
    <cfRule type="colorScale" priority="89">
      <colorScale>
        <cfvo type="min"/>
        <cfvo type="max"/>
        <color rgb="FFFFEF9C"/>
        <color rgb="FF63BE7B"/>
      </colorScale>
    </cfRule>
    <cfRule type="colorScale" priority="88">
      <colorScale>
        <cfvo type="min"/>
        <cfvo type="max"/>
        <color rgb="FFFFEF9C"/>
        <color rgb="FF63BE7B"/>
      </colorScale>
    </cfRule>
  </conditionalFormatting>
  <dataValidations count="3">
    <dataValidation type="list" allowBlank="1" showInputMessage="1" showErrorMessage="1" sqref="E10:E16 C10:C16 D72:D73 D87:D89 D75:D84" xr:uid="{00000000-0002-0000-0D00-000000000000}">
      <formula1>"ДА,НЕТ"</formula1>
    </dataValidation>
    <dataValidation type="list" allowBlank="1" showInputMessage="1" showErrorMessage="1" sqref="C61" xr:uid="{00000000-0002-0000-0D00-000001000000}">
      <formula1>"ДО 200,201-500,501-1000,1001+"</formula1>
    </dataValidation>
    <dataValidation type="list" allowBlank="1" showInputMessage="1" showErrorMessage="1" sqref="C58" xr:uid="{00000000-0002-0000-0D00-000002000000}">
      <formula1>"0%,7%,20%"</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0" id="{11CDBCE1-9728-4A26-A3DF-9F7167CBD75D}">
            <xm:f>'Очередь 1 Кейс-Совм'!#REF!=0</xm:f>
            <x14:dxf>
              <fill>
                <patternFill>
                  <bgColor theme="2"/>
                </patternFill>
              </fill>
            </x14:dxf>
          </x14:cfRule>
          <xm:sqref>G71:H89</xm:sqref>
        </x14:conditionalFormatting>
        <x14:conditionalFormatting xmlns:xm="http://schemas.microsoft.com/office/excel/2006/main">
          <x14:cfRule type="expression" priority="21" id="{B30A59DD-6216-4D2B-BAA3-48063A84B296}">
            <xm:f>'Очередь 1 Кейс-Совм'!#REF!=0</xm:f>
            <x14:dxf>
              <fill>
                <patternFill>
                  <bgColor theme="2"/>
                </patternFill>
              </fill>
            </x14:dxf>
          </x14:cfRule>
          <xm:sqref>K71:L89</xm:sqref>
        </x14:conditionalFormatting>
        <x14:conditionalFormatting xmlns:xm="http://schemas.microsoft.com/office/excel/2006/main">
          <x14:cfRule type="expression" priority="12" id="{84849E3E-12A6-4BB5-8708-F9DFB49097A3}">
            <xm:f>'Очередь 1 Кейс-Совм'!#REF!=0</xm:f>
            <x14:dxf>
              <fill>
                <patternFill>
                  <bgColor theme="2"/>
                </patternFill>
              </fill>
            </x14:dxf>
          </x14:cfRule>
          <xm:sqref>Q71:R89</xm:sqref>
        </x14:conditionalFormatting>
        <x14:conditionalFormatting xmlns:xm="http://schemas.microsoft.com/office/excel/2006/main">
          <x14:cfRule type="expression" priority="13" id="{3D627C67-8656-4404-BA02-67AA6349C6FC}">
            <xm:f>'Очередь 1 Кейс-Совм'!#REF!=0</xm:f>
            <x14:dxf>
              <fill>
                <patternFill>
                  <bgColor theme="2"/>
                </patternFill>
              </fill>
            </x14:dxf>
          </x14:cfRule>
          <xm:sqref>U71:V89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3000000}">
          <x14:formula1>
            <xm:f>Списки!$K$2:$K$7</xm:f>
          </x14:formula1>
          <xm:sqref>C33</xm:sqref>
        </x14:dataValidation>
        <x14:dataValidation type="list" allowBlank="1" showInputMessage="1" showErrorMessage="1" xr:uid="{00000000-0002-0000-0D00-000004000000}">
          <x14:formula1>
            <xm:f>Списки!$M$2:$M$5</xm:f>
          </x14:formula1>
          <xm:sqref>C1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E91"/>
  <sheetViews>
    <sheetView zoomScale="70" zoomScaleNormal="70" workbookViewId="0">
      <selection activeCell="R81" sqref="R81"/>
    </sheetView>
  </sheetViews>
  <sheetFormatPr defaultColWidth="9.28515625" defaultRowHeight="15" outlineLevelRow="3" outlineLevelCol="1" x14ac:dyDescent="0.25"/>
  <cols>
    <col min="1" max="1" width="9.7109375" style="1" customWidth="1"/>
    <col min="2" max="2" width="46.42578125" style="1" customWidth="1"/>
    <col min="3" max="3" width="23" style="1" customWidth="1"/>
    <col min="4" max="4" width="31" style="1" customWidth="1"/>
    <col min="5" max="5" width="19.7109375" style="1" customWidth="1" collapsed="1"/>
    <col min="6" max="11" width="19.7109375" style="1" hidden="1" customWidth="1" outlineLevel="1"/>
    <col min="12" max="12" width="26.28515625" style="1" hidden="1" customWidth="1" outlineLevel="1"/>
    <col min="13" max="13" width="19.7109375" style="1" customWidth="1"/>
    <col min="14" max="15" width="22.7109375" style="1" customWidth="1"/>
    <col min="16" max="21" width="22.7109375" style="1" customWidth="1" outlineLevel="1"/>
    <col min="22" max="22" width="15.7109375" style="1" customWidth="1" outlineLevel="1"/>
    <col min="23" max="23" width="9.28515625" style="1"/>
    <col min="24" max="25" width="9.28515625" style="1" customWidth="1"/>
    <col min="26" max="29" width="9.28515625" style="1" customWidth="1" outlineLevel="1"/>
    <col min="30" max="30" width="11.7109375" style="1" customWidth="1" outlineLevel="1"/>
    <col min="31" max="31" width="9.28515625" style="1" customWidth="1" outlineLevel="1"/>
    <col min="32" max="16384" width="9.28515625" style="1"/>
  </cols>
  <sheetData>
    <row r="1" spans="2:12" ht="23.25" customHeight="1" thickBot="1" x14ac:dyDescent="0.3">
      <c r="B1" s="1006" t="s">
        <v>2230</v>
      </c>
      <c r="C1" s="1007" t="s">
        <v>504</v>
      </c>
    </row>
    <row r="2" spans="2:12" ht="66" customHeight="1" thickBot="1" x14ac:dyDescent="0.3">
      <c r="B2" s="1276" t="s">
        <v>321</v>
      </c>
      <c r="C2" s="1277"/>
      <c r="D2" s="411" t="str">
        <f>'2.ФС для Заполнения'!AL2</f>
        <v>ДО 200</v>
      </c>
      <c r="E2" s="411" t="str">
        <f>IF(D2="1001+","КОРП Заказчик", "SMB Заказчик")</f>
        <v>SMB Заказчик</v>
      </c>
      <c r="L2" s="2"/>
    </row>
    <row r="3" spans="2:12" ht="33.75" customHeight="1" outlineLevel="1" collapsed="1" thickBot="1" x14ac:dyDescent="0.3">
      <c r="B3" s="198" t="s">
        <v>4</v>
      </c>
      <c r="C3" s="40" t="s">
        <v>7</v>
      </c>
      <c r="D3" s="40" t="s">
        <v>258</v>
      </c>
      <c r="E3" s="43" t="s">
        <v>259</v>
      </c>
    </row>
    <row r="4" spans="2:12" ht="33.75" hidden="1" customHeight="1" outlineLevel="2" x14ac:dyDescent="0.25">
      <c r="B4" s="42" t="s">
        <v>319</v>
      </c>
      <c r="C4" s="47">
        <f t="shared" ref="C4:C7" si="0">D4+E4</f>
        <v>0</v>
      </c>
      <c r="D4" s="47">
        <f>SUM(D5:D6)</f>
        <v>0</v>
      </c>
      <c r="E4" s="400">
        <f>SUM(E5:E6)</f>
        <v>0</v>
      </c>
    </row>
    <row r="5" spans="2:12" ht="16.5" hidden="1" customHeight="1" outlineLevel="3" x14ac:dyDescent="0.25">
      <c r="B5" s="41" t="s">
        <v>5</v>
      </c>
      <c r="C5" s="48">
        <f t="shared" si="0"/>
        <v>0</v>
      </c>
      <c r="D5" s="407">
        <f>'2.ФС для Заполнения'!AM5</f>
        <v>0</v>
      </c>
      <c r="E5" s="408">
        <f>'2.ФС для Заполнения'!AN5</f>
        <v>0</v>
      </c>
    </row>
    <row r="6" spans="2:12" ht="33.75" hidden="1" customHeight="1" outlineLevel="3" x14ac:dyDescent="0.25">
      <c r="B6" s="41" t="s">
        <v>6</v>
      </c>
      <c r="C6" s="48">
        <f t="shared" si="0"/>
        <v>0</v>
      </c>
      <c r="D6" s="407">
        <f>'2.ФС для Заполнения'!AM6</f>
        <v>0</v>
      </c>
      <c r="E6" s="408">
        <f>'2.ФС для Заполнения'!AN6</f>
        <v>0</v>
      </c>
    </row>
    <row r="7" spans="2:12" ht="30.75" hidden="1" customHeight="1" outlineLevel="2" thickBot="1" x14ac:dyDescent="0.3">
      <c r="B7" s="402" t="s">
        <v>320</v>
      </c>
      <c r="C7" s="403">
        <f t="shared" si="0"/>
        <v>0</v>
      </c>
      <c r="D7" s="409">
        <f>'2.ФС для Заполнения'!AM7</f>
        <v>0</v>
      </c>
      <c r="E7" s="410">
        <f>'2.ФС для Заполнения'!AN7</f>
        <v>0</v>
      </c>
    </row>
    <row r="8" spans="2:12" ht="30.75" hidden="1" customHeight="1" outlineLevel="2" thickBot="1" x14ac:dyDescent="0.3"/>
    <row r="9" spans="2:12" ht="53.25" hidden="1" customHeight="1" outlineLevel="2" thickBot="1" x14ac:dyDescent="0.3">
      <c r="B9" s="823"/>
      <c r="C9" s="839" t="s">
        <v>1803</v>
      </c>
      <c r="D9" s="840" t="s">
        <v>1804</v>
      </c>
      <c r="E9" s="840" t="s">
        <v>1805</v>
      </c>
    </row>
    <row r="10" spans="2:12" ht="60" hidden="1" customHeight="1" outlineLevel="2" thickBot="1" x14ac:dyDescent="0.3">
      <c r="B10" s="396" t="s">
        <v>1765</v>
      </c>
      <c r="C10" s="821" t="str">
        <f>E10</f>
        <v>НЕТ</v>
      </c>
      <c r="D10" s="838" t="s">
        <v>223</v>
      </c>
      <c r="E10" s="821" t="str">
        <f>IF(OR('1.Содержание проекта'!C102="ДА",'1.Содержание проекта'!C107="ДА",'1.Содержание проекта'!C111="ДА",'1.Содержание проекта'!C113="ДА"),"ДА","НЕТ")</f>
        <v>НЕТ</v>
      </c>
      <c r="F10" s="822" t="str">
        <f t="shared" ref="F10:F16" ca="1" si="1">IF(ISERROR(_xlfn.FORMULATEXT(E10)),"Значение введено вручную","Формула")</f>
        <v>Формула</v>
      </c>
    </row>
    <row r="11" spans="2:12" ht="30.75" hidden="1" customHeight="1" outlineLevel="2" thickBot="1" x14ac:dyDescent="0.3">
      <c r="B11" s="396" t="s">
        <v>1839</v>
      </c>
      <c r="C11" s="821" t="str">
        <f t="shared" ref="C11:C16" si="2">E11</f>
        <v>НЕТ</v>
      </c>
      <c r="D11" s="838" t="s">
        <v>1801</v>
      </c>
      <c r="E11" s="821" t="str">
        <f>IF(OR('1.Содержание проекта'!D101="ДА",,SUM('1.Содержание проекта'!G117:G123)&gt;0),"ДА","НЕТ")</f>
        <v>НЕТ</v>
      </c>
      <c r="F11" s="822" t="str">
        <f t="shared" ca="1" si="1"/>
        <v>Формула</v>
      </c>
    </row>
    <row r="12" spans="2:12" ht="30.75" hidden="1" customHeight="1" outlineLevel="2" thickBot="1" x14ac:dyDescent="0.3">
      <c r="B12" s="396" t="s">
        <v>1766</v>
      </c>
      <c r="C12" s="821" t="str">
        <f t="shared" si="2"/>
        <v>НЕТ</v>
      </c>
      <c r="D12" s="838" t="s">
        <v>223</v>
      </c>
      <c r="E12" s="821" t="str">
        <f>IF(OR('1.Содержание проекта'!C103="ДА",'1.Содержание проекта'!C104="ДА"),"ДА","НЕТ")</f>
        <v>НЕТ</v>
      </c>
      <c r="F12" s="822" t="str">
        <f t="shared" ca="1" si="1"/>
        <v>Формула</v>
      </c>
    </row>
    <row r="13" spans="2:12" ht="30.75" hidden="1" customHeight="1" outlineLevel="2" thickBot="1" x14ac:dyDescent="0.3">
      <c r="B13" s="396" t="s">
        <v>1767</v>
      </c>
      <c r="C13" s="821" t="str">
        <f t="shared" si="2"/>
        <v>НЕТ</v>
      </c>
      <c r="D13" s="838" t="s">
        <v>1801</v>
      </c>
      <c r="E13" s="821" t="str">
        <f>'1.Содержание проекта'!C105</f>
        <v>НЕТ</v>
      </c>
      <c r="F13" s="822" t="str">
        <f t="shared" ca="1" si="1"/>
        <v>Формула</v>
      </c>
    </row>
    <row r="14" spans="2:12" ht="30.75" hidden="1" customHeight="1" outlineLevel="2" thickBot="1" x14ac:dyDescent="0.3">
      <c r="B14" s="396" t="s">
        <v>1768</v>
      </c>
      <c r="C14" s="821" t="str">
        <f t="shared" si="2"/>
        <v>НЕТ</v>
      </c>
      <c r="D14" s="838" t="s">
        <v>1801</v>
      </c>
      <c r="E14" s="821" t="str">
        <f>IF(SUM('1.Содержание проекта'!G86:G99)=0,"НЕТ","ДА")</f>
        <v>НЕТ</v>
      </c>
      <c r="F14" s="822" t="str">
        <f t="shared" ca="1" si="1"/>
        <v>Формула</v>
      </c>
    </row>
    <row r="15" spans="2:12" ht="30.75" hidden="1" customHeight="1" outlineLevel="2" thickBot="1" x14ac:dyDescent="0.3">
      <c r="B15" s="396" t="s">
        <v>1771</v>
      </c>
      <c r="C15" s="821" t="str">
        <f t="shared" si="2"/>
        <v>НЕТ</v>
      </c>
      <c r="D15" s="838" t="s">
        <v>223</v>
      </c>
      <c r="E15" s="821" t="str">
        <f>'1.Содержание проекта'!C115</f>
        <v>НЕТ</v>
      </c>
      <c r="F15" s="822" t="str">
        <f t="shared" ca="1" si="1"/>
        <v>Формула</v>
      </c>
    </row>
    <row r="16" spans="2:12" ht="30.75" hidden="1" customHeight="1" outlineLevel="2" thickBot="1" x14ac:dyDescent="0.3">
      <c r="B16" s="396" t="s">
        <v>1772</v>
      </c>
      <c r="C16" s="821" t="str">
        <f t="shared" si="2"/>
        <v>НЕТ</v>
      </c>
      <c r="D16" s="838" t="s">
        <v>1801</v>
      </c>
      <c r="E16" s="821" t="str" cm="1">
        <f t="array" ref="E16">IF(OR('1.Содержание проекта'!C116="ДА",'1.Содержание проекта'!B170:C170="ДА"),"ДА","НЕТ")</f>
        <v>НЕТ</v>
      </c>
      <c r="F16" s="822" t="str">
        <f t="shared" ca="1" si="1"/>
        <v>Формула</v>
      </c>
    </row>
    <row r="17" spans="1:6" ht="16.5" thickBot="1" x14ac:dyDescent="0.3">
      <c r="F17" s="29"/>
    </row>
    <row r="18" spans="1:6" ht="33" customHeight="1" collapsed="1" thickBot="1" x14ac:dyDescent="0.3">
      <c r="B18" s="1278" t="s">
        <v>8</v>
      </c>
      <c r="C18" s="1280" t="s">
        <v>504</v>
      </c>
      <c r="D18" s="1281"/>
      <c r="E18" s="1282"/>
    </row>
    <row r="19" spans="1:6" ht="51.75" hidden="1" customHeight="1" outlineLevel="3" thickBot="1" x14ac:dyDescent="0.3">
      <c r="B19" s="1279"/>
      <c r="C19" s="198" t="s">
        <v>288</v>
      </c>
      <c r="D19" s="45" t="s">
        <v>285</v>
      </c>
      <c r="E19" s="43" t="s">
        <v>274</v>
      </c>
    </row>
    <row r="20" spans="1:6" ht="20.25" hidden="1" customHeight="1" outlineLevel="3" thickBot="1" x14ac:dyDescent="0.35">
      <c r="B20" s="395" t="s">
        <v>254</v>
      </c>
      <c r="C20" s="397">
        <f>'2.ФС для Заполнения'!X327</f>
        <v>0</v>
      </c>
      <c r="D20" s="50">
        <f>'2.ФС для Заполнения'!Y327</f>
        <v>0</v>
      </c>
      <c r="E20" s="51">
        <f>'2.ФС для Заполнения'!Z327</f>
        <v>0</v>
      </c>
    </row>
    <row r="21" spans="1:6" s="46" customFormat="1" ht="20.25" hidden="1" customHeight="1" outlineLevel="3" thickBot="1" x14ac:dyDescent="0.3">
      <c r="B21" s="396" t="s">
        <v>252</v>
      </c>
      <c r="C21" s="217">
        <f>'2.ФС для Заполнения'!X328</f>
        <v>0</v>
      </c>
      <c r="D21" s="218">
        <f>'2.ФС для Заполнения'!Y328</f>
        <v>0</v>
      </c>
      <c r="E21" s="219">
        <f>'2.ФС для Заполнения'!Z328</f>
        <v>0</v>
      </c>
    </row>
    <row r="22" spans="1:6" s="46" customFormat="1" ht="20.25" hidden="1" customHeight="1" outlineLevel="3" thickBot="1" x14ac:dyDescent="0.3">
      <c r="B22" s="1"/>
      <c r="C22" s="1"/>
      <c r="D22" s="1"/>
      <c r="E22" s="1"/>
      <c r="F22" s="29"/>
    </row>
    <row r="23" spans="1:6" s="46" customFormat="1" ht="57.75" hidden="1" customHeight="1" outlineLevel="3" thickBot="1" x14ac:dyDescent="0.35">
      <c r="B23" s="395" t="s">
        <v>1760</v>
      </c>
      <c r="C23" s="395" t="s">
        <v>1759</v>
      </c>
      <c r="D23" s="395" t="s">
        <v>1757</v>
      </c>
      <c r="E23" s="816" t="s">
        <v>1758</v>
      </c>
      <c r="F23" s="818" t="s">
        <v>1764</v>
      </c>
    </row>
    <row r="24" spans="1:6" s="46" customFormat="1" ht="20.25" hidden="1" customHeight="1" outlineLevel="3" thickBot="1" x14ac:dyDescent="0.3">
      <c r="B24" s="396">
        <f>SUMIFS('2.ФС для Заполнения'!X:X,'2.ФС для Заполнения'!G:G,Списки!K4)</f>
        <v>0</v>
      </c>
      <c r="C24" s="396">
        <f>SUMIFS('2.ФС для Заполнения'!X:X,'2.ФС для Заполнения'!G:G,Списки!K5)</f>
        <v>0</v>
      </c>
      <c r="D24" s="396">
        <f>SUMIFS('2.ФС для Заполнения'!X:X,'2.ФС для Заполнения'!G:G,Списки!K6)</f>
        <v>0</v>
      </c>
      <c r="E24" s="817">
        <f>SUMIFS('2.ФС для Заполнения'!X:X,'2.ФС для Заполнения'!G:G,Списки!K7)</f>
        <v>0</v>
      </c>
      <c r="F24" s="819">
        <f>SUM(C20:C21)-SUM(B24:E24)</f>
        <v>0</v>
      </c>
    </row>
    <row r="25" spans="1:6" s="46" customFormat="1" ht="20.25" hidden="1" customHeight="1" outlineLevel="3" x14ac:dyDescent="0.25">
      <c r="B25" s="1"/>
      <c r="C25" s="1"/>
      <c r="D25" s="1"/>
      <c r="E25" s="1"/>
      <c r="F25" s="29"/>
    </row>
    <row r="26" spans="1:6" s="29" customFormat="1" ht="16.5" thickBot="1" x14ac:dyDescent="0.3">
      <c r="A26" s="46"/>
      <c r="B26" s="1"/>
      <c r="C26" s="1"/>
      <c r="D26" s="1"/>
      <c r="E26" s="1"/>
    </row>
    <row r="27" spans="1:6" x14ac:dyDescent="0.25">
      <c r="A27" s="46"/>
      <c r="B27" s="1283" t="s">
        <v>308</v>
      </c>
      <c r="C27" s="1284"/>
      <c r="E27" s="1" t="s">
        <v>1743</v>
      </c>
    </row>
    <row r="28" spans="1:6" outlineLevel="1" x14ac:dyDescent="0.25">
      <c r="A28" s="46"/>
      <c r="B28" s="1272" t="s">
        <v>309</v>
      </c>
      <c r="C28" s="1273"/>
      <c r="D28" s="30" t="s">
        <v>1761</v>
      </c>
      <c r="E28" s="30">
        <f>'параметры расчета'!C3</f>
        <v>5000</v>
      </c>
    </row>
    <row r="29" spans="1:6" outlineLevel="1" x14ac:dyDescent="0.25">
      <c r="B29" s="1272" t="s">
        <v>310</v>
      </c>
      <c r="C29" s="1273"/>
      <c r="D29" s="30" t="s">
        <v>1762</v>
      </c>
      <c r="E29" s="30">
        <f>'параметры расчета'!C4</f>
        <v>5500</v>
      </c>
    </row>
    <row r="30" spans="1:6" ht="33" customHeight="1" outlineLevel="1" x14ac:dyDescent="0.25">
      <c r="B30" s="1272" t="s">
        <v>311</v>
      </c>
      <c r="C30" s="1273"/>
      <c r="D30" s="30" t="s">
        <v>1763</v>
      </c>
      <c r="E30" s="30">
        <f>'параметры расчета'!C5</f>
        <v>6500</v>
      </c>
    </row>
    <row r="31" spans="1:6" ht="15.75" outlineLevel="1" thickBot="1" x14ac:dyDescent="0.3">
      <c r="B31" s="1272" t="s">
        <v>312</v>
      </c>
      <c r="C31" s="1273"/>
    </row>
    <row r="32" spans="1:6" ht="19.5" customHeight="1" outlineLevel="1" collapsed="1" thickBot="1" x14ac:dyDescent="0.3">
      <c r="B32" s="512" t="s">
        <v>2161</v>
      </c>
      <c r="C32" s="513">
        <f>IF(C33=Списки!K7,E30,IF(C33=Списки!K6,E29,E28))</f>
        <v>5000</v>
      </c>
      <c r="D32" s="822" t="str">
        <f ca="1">IF(ISERROR(_xlfn.FORMULATEXT(C32)),"Значение введено вручную","Формула")</f>
        <v>Формула</v>
      </c>
    </row>
    <row r="33" spans="2:10" ht="19.5" hidden="1" customHeight="1" outlineLevel="2" thickBot="1" x14ac:dyDescent="0.3">
      <c r="B33" s="813" t="s">
        <v>1749</v>
      </c>
      <c r="C33" s="513" t="str">
        <f>IF(OR(E24&gt;0,E2="КОРП Заказчик",C4&gt;500,C11="ДА",C14="ДА",D20&gt;0,C13="ДА",C16="ДА"),Списки!K7,IF(OR(D24&gt;0,C10="ДА",C12="ДА",C4&gt;200,C5&gt;20,C15="ДА"),Списки!K6,IF(C24&gt;0,Списки!K5,Списки!K4)))</f>
        <v>Кейс-проект</v>
      </c>
      <c r="D33" s="822" t="str">
        <f ca="1">IF(ISERROR(_xlfn.FORMULATEXT(C33)),"Значение введено вручную","Формула")</f>
        <v>Формула</v>
      </c>
    </row>
    <row r="34" spans="2:10" ht="48" customHeight="1" outlineLevel="1" thickBot="1" x14ac:dyDescent="0.3">
      <c r="B34" s="181" t="s">
        <v>287</v>
      </c>
      <c r="C34" s="182">
        <v>16</v>
      </c>
    </row>
    <row r="35" spans="2:10" ht="37.5" customHeight="1" outlineLevel="1" collapsed="1" thickBot="1" x14ac:dyDescent="0.3">
      <c r="B35" s="183" t="s">
        <v>284</v>
      </c>
      <c r="C35" s="184">
        <f>SUM(C36:C38)</f>
        <v>24.5</v>
      </c>
    </row>
    <row r="36" spans="2:10" ht="30" hidden="1" outlineLevel="2" x14ac:dyDescent="0.25">
      <c r="B36" s="164" t="s">
        <v>281</v>
      </c>
      <c r="C36" s="163">
        <f>'параметры расчета'!C241*0.1</f>
        <v>4.5</v>
      </c>
    </row>
    <row r="37" spans="2:10" ht="30" hidden="1" outlineLevel="2" x14ac:dyDescent="0.25">
      <c r="B37" s="164" t="s">
        <v>280</v>
      </c>
      <c r="C37" s="163">
        <v>8</v>
      </c>
    </row>
    <row r="38" spans="2:10" ht="30.75" hidden="1" outlineLevel="2" thickBot="1" x14ac:dyDescent="0.3">
      <c r="B38" s="174" t="s">
        <v>256</v>
      </c>
      <c r="C38" s="175">
        <v>12</v>
      </c>
    </row>
    <row r="39" spans="2:10" ht="15.75" outlineLevel="1" collapsed="1" thickBot="1" x14ac:dyDescent="0.3">
      <c r="B39" s="424" t="s">
        <v>717</v>
      </c>
      <c r="C39" s="427">
        <v>0</v>
      </c>
    </row>
    <row r="40" spans="2:10" ht="15" hidden="1" customHeight="1" outlineLevel="2" x14ac:dyDescent="0.25">
      <c r="B40" s="179" t="s">
        <v>702</v>
      </c>
      <c r="C40" s="428">
        <v>32</v>
      </c>
    </row>
    <row r="41" spans="2:10" ht="15" hidden="1" customHeight="1" outlineLevel="2" thickBot="1" x14ac:dyDescent="0.3">
      <c r="B41" s="180" t="s">
        <v>703</v>
      </c>
      <c r="C41" s="429">
        <v>80</v>
      </c>
    </row>
    <row r="42" spans="2:10" ht="15" hidden="1" customHeight="1" outlineLevel="2" thickBot="1" x14ac:dyDescent="0.3">
      <c r="B42" s="415" t="s">
        <v>704</v>
      </c>
      <c r="C42" s="423">
        <v>32</v>
      </c>
    </row>
    <row r="43" spans="2:10" ht="15" hidden="1" customHeight="1" outlineLevel="2" x14ac:dyDescent="0.25">
      <c r="B43" s="415" t="s">
        <v>705</v>
      </c>
      <c r="C43" s="423">
        <v>32</v>
      </c>
    </row>
    <row r="44" spans="2:10" ht="15" hidden="1" customHeight="1" outlineLevel="2" thickBot="1" x14ac:dyDescent="0.3">
      <c r="B44" s="425" t="s">
        <v>718</v>
      </c>
      <c r="C44" s="426">
        <v>0</v>
      </c>
    </row>
    <row r="45" spans="2:10" ht="49.5" customHeight="1" outlineLevel="1" collapsed="1" thickBot="1" x14ac:dyDescent="0.3">
      <c r="B45" s="185" t="s">
        <v>700</v>
      </c>
      <c r="C45" s="709">
        <v>40</v>
      </c>
      <c r="D45" s="185" t="s">
        <v>1777</v>
      </c>
      <c r="E45" s="185" t="s">
        <v>1781</v>
      </c>
      <c r="F45" s="185" t="s">
        <v>1782</v>
      </c>
      <c r="G45" s="185" t="s">
        <v>1784</v>
      </c>
      <c r="H45" s="185" t="s">
        <v>1783</v>
      </c>
      <c r="I45" s="25"/>
      <c r="J45" s="25"/>
    </row>
    <row r="46" spans="2:10" ht="30.75" hidden="1" customHeight="1" outlineLevel="2" x14ac:dyDescent="0.25">
      <c r="B46" s="179" t="s">
        <v>1778</v>
      </c>
      <c r="C46" s="710">
        <v>5</v>
      </c>
      <c r="D46" s="710">
        <v>16</v>
      </c>
      <c r="E46" s="713">
        <f>C5</f>
        <v>0</v>
      </c>
      <c r="F46" s="830">
        <f>ROUNDUP(E46/C46,0)</f>
        <v>0</v>
      </c>
      <c r="G46" s="713">
        <f>ROUNDUP(E5/C46,0)</f>
        <v>0</v>
      </c>
      <c r="H46" s="830">
        <f>ROUNDUP(G46*D46/8,1)</f>
        <v>0</v>
      </c>
      <c r="I46" s="1013"/>
      <c r="J46" s="1013"/>
    </row>
    <row r="47" spans="2:10" ht="30.75" hidden="1" customHeight="1" outlineLevel="2" x14ac:dyDescent="0.25">
      <c r="B47" s="180" t="s">
        <v>1779</v>
      </c>
      <c r="C47" s="711">
        <v>10</v>
      </c>
      <c r="D47" s="711">
        <v>4</v>
      </c>
      <c r="E47" s="714">
        <f>C6</f>
        <v>0</v>
      </c>
      <c r="F47" s="831">
        <f t="shared" ref="F47:F48" si="3">ROUNDUP(E47/C47,0)</f>
        <v>0</v>
      </c>
      <c r="G47" s="714">
        <f>ROUNDUP(E6/C47,0)</f>
        <v>0</v>
      </c>
      <c r="H47" s="831">
        <f t="shared" ref="H47:H48" si="4">ROUNDUP(G47*D47/8,1)</f>
        <v>0</v>
      </c>
      <c r="I47" s="1013"/>
      <c r="J47" s="1013"/>
    </row>
    <row r="48" spans="2:10" ht="30.75" hidden="1" outlineLevel="2" thickBot="1" x14ac:dyDescent="0.3">
      <c r="B48" s="166" t="s">
        <v>1780</v>
      </c>
      <c r="C48" s="712">
        <v>5</v>
      </c>
      <c r="D48" s="712">
        <v>24</v>
      </c>
      <c r="E48" s="715">
        <f>C7</f>
        <v>0</v>
      </c>
      <c r="F48" s="832">
        <f t="shared" si="3"/>
        <v>0</v>
      </c>
      <c r="G48" s="715">
        <f>ROUNDUP(E7/C48,0)</f>
        <v>0</v>
      </c>
      <c r="H48" s="832">
        <f t="shared" si="4"/>
        <v>0</v>
      </c>
      <c r="I48" s="1013"/>
      <c r="J48" s="1013"/>
    </row>
    <row r="49" spans="2:5" ht="18" customHeight="1" outlineLevel="1" x14ac:dyDescent="0.25">
      <c r="B49" s="176" t="s">
        <v>250</v>
      </c>
      <c r="C49" s="177">
        <f>(15000+4000*5+6000)/5</f>
        <v>8200</v>
      </c>
    </row>
    <row r="50" spans="2:5" ht="18" customHeight="1" outlineLevel="1" collapsed="1" x14ac:dyDescent="0.25">
      <c r="B50" s="162" t="s">
        <v>1458</v>
      </c>
      <c r="C50" s="165">
        <f>SUM(C51:C56)</f>
        <v>0.62000000000000011</v>
      </c>
    </row>
    <row r="51" spans="2:5" ht="18" hidden="1" customHeight="1" outlineLevel="2" thickBot="1" x14ac:dyDescent="0.3">
      <c r="B51" s="655" t="s">
        <v>1456</v>
      </c>
      <c r="C51" s="656">
        <v>0.2</v>
      </c>
    </row>
    <row r="52" spans="2:5" ht="15" hidden="1" customHeight="1" outlineLevel="2" thickBot="1" x14ac:dyDescent="0.3">
      <c r="B52" s="655" t="s">
        <v>2233</v>
      </c>
      <c r="C52" s="656">
        <f>MAX(SUM(C51,C53),SUM(C55,C56))</f>
        <v>0.21000000000000002</v>
      </c>
      <c r="D52" s="822" t="str">
        <f ca="1">IF(ISERROR(_xlfn.FORMULATEXT(C52)),"Значение введено вручную","Формула")</f>
        <v>Формула</v>
      </c>
    </row>
    <row r="53" spans="2:5" ht="15" hidden="1" customHeight="1" outlineLevel="2" thickBot="1" x14ac:dyDescent="0.3">
      <c r="B53" s="655" t="s">
        <v>2240</v>
      </c>
      <c r="C53" s="656">
        <f>IF('1.Содержание проекта'!B$176="НЕТ",10%,0)+IF('1.Содержание проекта'!B$178="НЕТ",5%,0)*IF('1.Содержание проекта'!B$177="НЕТ",20%,0)</f>
        <v>0</v>
      </c>
      <c r="D53" s="822" t="str">
        <f ca="1">IF(ISERROR(_xlfn.FORMULATEXT(C53)),"Значение введено вручную","Формула")</f>
        <v>Формула</v>
      </c>
      <c r="E53" s="1019" t="s">
        <v>2248</v>
      </c>
    </row>
    <row r="54" spans="2:5" ht="15" hidden="1" customHeight="1" outlineLevel="2" thickBot="1" x14ac:dyDescent="0.3">
      <c r="B54" s="655" t="s">
        <v>2241</v>
      </c>
      <c r="C54" s="1020">
        <f>IF('1.Содержание проекта'!B$174="НЕТ",IF('1.Содержание проекта'!B$173="PM5",50%,15%)/L71*SUM(L75:L77),0)+IF('1.Содержание проекта'!B$175="НЕТ",10%,0)+IF(AND('1.Содержание проекта'!B180&gt;=30%,'1.Содержание проекта'!B181&lt;=10),0%,IF(AND(OR(C33="ПРОФ-проект",C33="КОРП-проект"),AND('1.Содержание проекта'!B180&lt;30%,'1.Содержание проекта'!B181&lt;=10)),2%*(E54/20),10%))</f>
        <v>0</v>
      </c>
      <c r="D54" s="822" t="str">
        <f ca="1">IF(ISERROR(_xlfn.FORMULATEXT(C54)),"Значение введено вручную","Формула")</f>
        <v>Формула</v>
      </c>
      <c r="E54" s="1016">
        <f>MAX(X72:X88)*5</f>
        <v>135</v>
      </c>
    </row>
    <row r="55" spans="2:5" ht="75" hidden="1" outlineLevel="2" x14ac:dyDescent="0.25">
      <c r="B55" s="655" t="s">
        <v>1653</v>
      </c>
      <c r="C55" s="656">
        <v>0.01</v>
      </c>
      <c r="D55" s="807" t="s">
        <v>1652</v>
      </c>
    </row>
    <row r="56" spans="2:5" ht="18" hidden="1" customHeight="1" outlineLevel="2" x14ac:dyDescent="0.25">
      <c r="B56" s="655" t="s">
        <v>1457</v>
      </c>
      <c r="C56" s="656">
        <v>0.2</v>
      </c>
    </row>
    <row r="57" spans="2:5" ht="15.75" outlineLevel="1" collapsed="1" thickBot="1" x14ac:dyDescent="0.3">
      <c r="B57" s="166" t="s">
        <v>304</v>
      </c>
      <c r="C57" s="167">
        <v>0</v>
      </c>
    </row>
    <row r="58" spans="2:5" ht="15" hidden="1" customHeight="1" outlineLevel="2" thickBot="1" x14ac:dyDescent="0.3">
      <c r="B58" s="166" t="s">
        <v>2151</v>
      </c>
      <c r="C58" s="167">
        <v>7.0000000000000007E-2</v>
      </c>
      <c r="D58" s="945" t="s">
        <v>2155</v>
      </c>
    </row>
    <row r="59" spans="2:5" ht="15.75" outlineLevel="1" thickBot="1" x14ac:dyDescent="0.3"/>
    <row r="60" spans="2:5" ht="15.75" outlineLevel="1" thickBot="1" x14ac:dyDescent="0.3">
      <c r="B60" s="1274" t="s">
        <v>318</v>
      </c>
      <c r="C60" s="1275"/>
    </row>
    <row r="61" spans="2:5" ht="17.25" outlineLevel="1" collapsed="1" x14ac:dyDescent="0.25">
      <c r="B61" s="96" t="s">
        <v>317</v>
      </c>
      <c r="C61" s="97" t="str">
        <f>D2</f>
        <v>ДО 200</v>
      </c>
    </row>
    <row r="62" spans="2:5" ht="15.75" hidden="1" outlineLevel="2" thickBot="1" x14ac:dyDescent="0.3">
      <c r="B62" s="88" t="s">
        <v>219</v>
      </c>
      <c r="C62" s="85">
        <f>SUMIF('параметры расчета'!$C$245:$F$245,'Очередь 1 ПРОФ_КОРП'!$D$2,'параметры расчета'!$C$246:$F$246)</f>
        <v>1</v>
      </c>
      <c r="D62" s="822" t="str">
        <f t="shared" ref="D62:D67" ca="1" si="5">IF(ISERROR(_xlfn.FORMULATEXT(C62)),"Значение введено вручную","Формула")</f>
        <v>Формула</v>
      </c>
    </row>
    <row r="63" spans="2:5" ht="30" hidden="1" customHeight="1" outlineLevel="2" thickBot="1" x14ac:dyDescent="0.3">
      <c r="B63" s="172" t="s">
        <v>257</v>
      </c>
      <c r="C63" s="173">
        <f>SUMIF('параметры расчета'!$C$245:$F$245,'Очередь 1 ПРОФ_КОРП'!$D$2,'параметры расчета'!$C$247:$F$247)</f>
        <v>1</v>
      </c>
      <c r="D63" s="822" t="str">
        <f t="shared" ca="1" si="5"/>
        <v>Формула</v>
      </c>
    </row>
    <row r="64" spans="2:5" ht="15.75" hidden="1" customHeight="1" outlineLevel="2" thickBot="1" x14ac:dyDescent="0.3">
      <c r="B64" s="87" t="s">
        <v>709</v>
      </c>
      <c r="C64" s="178">
        <v>140</v>
      </c>
      <c r="D64" s="822" t="str">
        <f t="shared" ca="1" si="5"/>
        <v>Значение введено вручную</v>
      </c>
    </row>
    <row r="65" spans="2:31" ht="15.75" hidden="1" customHeight="1" outlineLevel="2" thickBot="1" x14ac:dyDescent="0.3">
      <c r="B65" s="90" t="s">
        <v>710</v>
      </c>
      <c r="C65" s="98">
        <v>40</v>
      </c>
      <c r="D65" s="822" t="str">
        <f t="shared" ca="1" si="5"/>
        <v>Значение введено вручную</v>
      </c>
    </row>
    <row r="66" spans="2:31" ht="15.75" hidden="1" customHeight="1" outlineLevel="2" thickBot="1" x14ac:dyDescent="0.3">
      <c r="B66" s="87" t="s">
        <v>527</v>
      </c>
      <c r="C66" s="178">
        <f>SUMIF('параметры расчета'!$C$245:$F$245,'Очередь 1 ПРОФ_КОРП'!$D$2,'параметры расчета'!C248:F248)</f>
        <v>6</v>
      </c>
      <c r="D66" s="822" t="str">
        <f t="shared" ca="1" si="5"/>
        <v>Формула</v>
      </c>
    </row>
    <row r="67" spans="2:31" ht="15.75" hidden="1" customHeight="1" outlineLevel="2" thickBot="1" x14ac:dyDescent="0.3">
      <c r="B67" s="90" t="s">
        <v>528</v>
      </c>
      <c r="C67" s="98">
        <f>SUMIF('параметры расчета'!$C$245:$F$245,'Очередь 1 ПРОФ_КОРП'!$D$2,'параметры расчета'!C249:F249)</f>
        <v>1</v>
      </c>
      <c r="D67" s="822" t="str">
        <f t="shared" ca="1" si="5"/>
        <v>Формула</v>
      </c>
    </row>
    <row r="68" spans="2:31" ht="15.75" customHeight="1" thickBot="1" x14ac:dyDescent="0.3"/>
    <row r="69" spans="2:31" ht="15.75" customHeight="1" thickBot="1" x14ac:dyDescent="0.3">
      <c r="G69" s="909">
        <f>$C55</f>
        <v>0.01</v>
      </c>
      <c r="H69" s="910">
        <f>$C56</f>
        <v>0.2</v>
      </c>
      <c r="I69" s="910">
        <f>$C52</f>
        <v>0.21000000000000002</v>
      </c>
      <c r="J69" s="910">
        <f>SUM($C$53:$C$54)</f>
        <v>0</v>
      </c>
      <c r="K69" s="911">
        <f>$C51</f>
        <v>0.2</v>
      </c>
      <c r="Q69" s="909">
        <f>$C55</f>
        <v>0.01</v>
      </c>
      <c r="R69" s="910">
        <f>$C56</f>
        <v>0.2</v>
      </c>
      <c r="S69" s="910">
        <f>$C52</f>
        <v>0.21000000000000002</v>
      </c>
      <c r="T69" s="910">
        <f>SUM($C$53:$C$54)</f>
        <v>0</v>
      </c>
      <c r="U69" s="911">
        <f>$C51</f>
        <v>0.2</v>
      </c>
    </row>
    <row r="70" spans="2:31" ht="56.25" customHeight="1" thickBot="1" x14ac:dyDescent="0.3">
      <c r="B70" s="59" t="s">
        <v>0</v>
      </c>
      <c r="C70" s="95" t="s">
        <v>323</v>
      </c>
      <c r="D70" s="103" t="s">
        <v>324</v>
      </c>
      <c r="E70" s="169" t="s">
        <v>2163</v>
      </c>
      <c r="F70" s="907" t="s">
        <v>322</v>
      </c>
      <c r="G70" s="907" t="s">
        <v>1850</v>
      </c>
      <c r="H70" s="905" t="s">
        <v>1851</v>
      </c>
      <c r="I70" s="905" t="s">
        <v>2236</v>
      </c>
      <c r="J70" s="905" t="s">
        <v>2237</v>
      </c>
      <c r="K70" s="905" t="s">
        <v>249</v>
      </c>
      <c r="L70" s="908" t="s">
        <v>1852</v>
      </c>
      <c r="M70" s="904" t="s">
        <v>305</v>
      </c>
      <c r="N70" s="95" t="s">
        <v>1435</v>
      </c>
      <c r="O70" s="169" t="s">
        <v>2164</v>
      </c>
      <c r="P70" s="905" t="s">
        <v>325</v>
      </c>
      <c r="Q70" s="905" t="s">
        <v>1850</v>
      </c>
      <c r="R70" s="905" t="s">
        <v>1851</v>
      </c>
      <c r="S70" s="905" t="s">
        <v>2236</v>
      </c>
      <c r="T70" s="905" t="s">
        <v>2237</v>
      </c>
      <c r="U70" s="905" t="s">
        <v>249</v>
      </c>
      <c r="V70" s="906" t="s">
        <v>1852</v>
      </c>
      <c r="W70" s="39" t="s">
        <v>305</v>
      </c>
      <c r="X70" s="414" t="s">
        <v>1434</v>
      </c>
      <c r="Y70" s="192" t="s">
        <v>298</v>
      </c>
      <c r="Z70" s="101" t="s">
        <v>292</v>
      </c>
      <c r="AA70" s="39" t="s">
        <v>293</v>
      </c>
      <c r="AB70" s="39" t="s">
        <v>294</v>
      </c>
      <c r="AC70" s="39" t="s">
        <v>295</v>
      </c>
      <c r="AD70" s="39" t="s">
        <v>297</v>
      </c>
      <c r="AE70" s="100" t="s">
        <v>296</v>
      </c>
    </row>
    <row r="71" spans="2:31" ht="16.5" thickBot="1" x14ac:dyDescent="0.3">
      <c r="B71" s="60" t="s">
        <v>253</v>
      </c>
      <c r="C71" s="63">
        <f>SUM(C72:C88)</f>
        <v>6772000</v>
      </c>
      <c r="D71" s="104"/>
      <c r="E71" s="170">
        <f>SUM(E72:E88)</f>
        <v>3071584.8</v>
      </c>
      <c r="F71" s="170">
        <f>SUM(F72:F88)</f>
        <v>2870640</v>
      </c>
      <c r="G71" s="170">
        <f>SUM(G72:G88)</f>
        <v>17720</v>
      </c>
      <c r="H71" s="170">
        <f>SUM(H72:H88)</f>
        <v>354400</v>
      </c>
      <c r="I71" s="170">
        <f>SUM(I72:I89)</f>
        <v>926769.4800000001</v>
      </c>
      <c r="J71" s="170">
        <f>SUM(J72:J89)</f>
        <v>0</v>
      </c>
      <c r="K71" s="170">
        <f t="shared" ref="K71:R71" si="6">SUM(K72:K88)</f>
        <v>354400</v>
      </c>
      <c r="L71" s="170">
        <f t="shared" si="6"/>
        <v>1772000</v>
      </c>
      <c r="M71" s="865">
        <f t="shared" si="6"/>
        <v>574.12800000000004</v>
      </c>
      <c r="N71" s="171">
        <f t="shared" si="6"/>
        <v>31</v>
      </c>
      <c r="O71" s="170">
        <f t="shared" si="6"/>
        <v>3071584.8</v>
      </c>
      <c r="P71" s="170">
        <f t="shared" si="6"/>
        <v>2870640</v>
      </c>
      <c r="Q71" s="170">
        <f t="shared" si="6"/>
        <v>17720</v>
      </c>
      <c r="R71" s="170">
        <f t="shared" si="6"/>
        <v>354400</v>
      </c>
      <c r="S71" s="170">
        <f>SUM(S72:S89)</f>
        <v>926769.4800000001</v>
      </c>
      <c r="T71" s="170">
        <f>SUM(T72:T89)</f>
        <v>0</v>
      </c>
      <c r="U71" s="170">
        <f>SUM(U72:U88)</f>
        <v>354400</v>
      </c>
      <c r="V71" s="170">
        <f>SUM(V72:V88)</f>
        <v>1772000</v>
      </c>
      <c r="W71" s="55">
        <f>SUM(W72:W88)</f>
        <v>574.12800000000004</v>
      </c>
      <c r="X71" s="171">
        <f>SUM(X72:X88)</f>
        <v>31</v>
      </c>
      <c r="Y71" s="193">
        <f t="shared" ref="Y71:AE71" si="7">AVERAGE(Y73:Y88)</f>
        <v>1.9156249999999999</v>
      </c>
      <c r="Z71" s="56">
        <f t="shared" si="7"/>
        <v>0.28437499999999993</v>
      </c>
      <c r="AA71" s="57">
        <f t="shared" si="7"/>
        <v>0.41538461538461546</v>
      </c>
      <c r="AB71" s="57">
        <f t="shared" si="7"/>
        <v>1</v>
      </c>
      <c r="AC71" s="57">
        <f t="shared" si="7"/>
        <v>0.80666666666666664</v>
      </c>
      <c r="AD71" s="57" t="e">
        <f t="shared" si="7"/>
        <v>#DIV/0!</v>
      </c>
      <c r="AE71" s="58">
        <f t="shared" si="7"/>
        <v>0.62857142857142867</v>
      </c>
    </row>
    <row r="72" spans="2:31" s="31" customFormat="1" outlineLevel="1" x14ac:dyDescent="0.25">
      <c r="B72" s="61" t="s">
        <v>283</v>
      </c>
      <c r="C72" s="64"/>
      <c r="D72" s="168"/>
      <c r="E72" s="878">
        <f t="shared" ref="E72:E73" si="8">F72*(1+$C$58)</f>
        <v>0</v>
      </c>
      <c r="F72" s="878">
        <f>SUM(G72:L72)</f>
        <v>0</v>
      </c>
      <c r="G72" s="879">
        <f>G$69*$L72</f>
        <v>0</v>
      </c>
      <c r="H72" s="880">
        <f t="shared" ref="H72:K89" si="9">H$69*$L72</f>
        <v>0</v>
      </c>
      <c r="I72" s="880">
        <f t="shared" si="9"/>
        <v>0</v>
      </c>
      <c r="J72" s="880">
        <f t="shared" si="9"/>
        <v>0</v>
      </c>
      <c r="K72" s="880">
        <f t="shared" si="9"/>
        <v>0</v>
      </c>
      <c r="L72" s="881"/>
      <c r="M72" s="866"/>
      <c r="N72" s="897"/>
      <c r="O72" s="878">
        <f t="shared" ref="O72:O73" si="10">P72*(1+$C$58)</f>
        <v>0</v>
      </c>
      <c r="P72" s="878">
        <f>SUM(Q72:V72)</f>
        <v>0</v>
      </c>
      <c r="Q72" s="879">
        <f>Q$69*$V72</f>
        <v>0</v>
      </c>
      <c r="R72" s="880">
        <f t="shared" ref="R72:U88" si="11">R$69*$V72</f>
        <v>0</v>
      </c>
      <c r="S72" s="880">
        <f t="shared" si="11"/>
        <v>0</v>
      </c>
      <c r="T72" s="880">
        <f t="shared" si="11"/>
        <v>0</v>
      </c>
      <c r="U72" s="880">
        <f t="shared" si="11"/>
        <v>0</v>
      </c>
      <c r="V72" s="882"/>
      <c r="W72" s="65"/>
      <c r="X72" s="897"/>
      <c r="Y72" s="194"/>
      <c r="Z72" s="73" t="s">
        <v>299</v>
      </c>
      <c r="AA72" s="74" t="s">
        <v>299</v>
      </c>
      <c r="AB72" s="74" t="s">
        <v>299</v>
      </c>
      <c r="AC72" s="74" t="s">
        <v>299</v>
      </c>
      <c r="AD72" s="74" t="s">
        <v>299</v>
      </c>
      <c r="AE72" s="75" t="s">
        <v>299</v>
      </c>
    </row>
    <row r="73" spans="2:31" s="31" customFormat="1" outlineLevel="1" x14ac:dyDescent="0.25">
      <c r="B73" s="61" t="s">
        <v>282</v>
      </c>
      <c r="C73" s="66">
        <f>($D20*$C34*$C32*C62+IF($E7&gt;0,$C49*$E7,0))</f>
        <v>0</v>
      </c>
      <c r="D73" s="168" t="str">
        <f>C12</f>
        <v>НЕТ</v>
      </c>
      <c r="E73" s="871">
        <f t="shared" si="8"/>
        <v>0</v>
      </c>
      <c r="F73" s="871">
        <f t="shared" ref="F73:F88" si="12">SUM(G73:L73)</f>
        <v>0</v>
      </c>
      <c r="G73" s="873">
        <f t="shared" ref="G73:G89" si="13">G$69*$L73</f>
        <v>0</v>
      </c>
      <c r="H73" s="870">
        <f t="shared" si="9"/>
        <v>0</v>
      </c>
      <c r="I73" s="870">
        <f t="shared" si="9"/>
        <v>0</v>
      </c>
      <c r="J73" s="870">
        <f t="shared" si="9"/>
        <v>0</v>
      </c>
      <c r="K73" s="870">
        <f t="shared" si="9"/>
        <v>0</v>
      </c>
      <c r="L73" s="68">
        <f t="shared" ref="L73:L89" si="14">IF(D73="Да",$C73,0)</f>
        <v>0</v>
      </c>
      <c r="M73" s="867">
        <f>F73/$C$32</f>
        <v>0</v>
      </c>
      <c r="N73" s="899">
        <f t="shared" ref="N73:N88" si="15">ROUNDUP(((L73/$C$32)/40)*1.2/$Y73,0)</f>
        <v>0</v>
      </c>
      <c r="O73" s="871">
        <f t="shared" si="10"/>
        <v>0</v>
      </c>
      <c r="P73" s="871">
        <f t="shared" ref="P73:P88" si="16">SUM(Q73:V73)</f>
        <v>0</v>
      </c>
      <c r="Q73" s="873">
        <f t="shared" ref="Q73:Q88" si="17">Q$69*$V73</f>
        <v>0</v>
      </c>
      <c r="R73" s="870">
        <f t="shared" si="11"/>
        <v>0</v>
      </c>
      <c r="S73" s="870">
        <f t="shared" si="11"/>
        <v>0</v>
      </c>
      <c r="T73" s="870">
        <f t="shared" si="11"/>
        <v>0</v>
      </c>
      <c r="U73" s="870">
        <f t="shared" si="11"/>
        <v>0</v>
      </c>
      <c r="V73" s="884">
        <f>IF($D73="Да",$C73*(1+$C$57),0)</f>
        <v>0</v>
      </c>
      <c r="W73" s="161">
        <f>P73/$C$32</f>
        <v>0</v>
      </c>
      <c r="X73" s="899">
        <f t="shared" ref="X73:X88" si="18">ROUNDUP(((V73/$C$32)/40)*1.2/$Y73,0)</f>
        <v>0</v>
      </c>
      <c r="Y73" s="195">
        <f>SUM(Z73:AE73)</f>
        <v>2</v>
      </c>
      <c r="Z73" s="76">
        <v>0.3</v>
      </c>
      <c r="AA73" s="77">
        <v>0.7</v>
      </c>
      <c r="AB73" s="77"/>
      <c r="AC73" s="77">
        <v>1</v>
      </c>
      <c r="AD73" s="77"/>
      <c r="AE73" s="83"/>
    </row>
    <row r="74" spans="2:31" s="31" customFormat="1" ht="30" outlineLevel="1" x14ac:dyDescent="0.25">
      <c r="B74" s="62" t="s">
        <v>699</v>
      </c>
      <c r="C74" s="86">
        <f>(($C20+$C21)*$C36*$C32*C62+IF($E7&gt;0,$E7*C49))</f>
        <v>0</v>
      </c>
      <c r="D74" s="393" t="s">
        <v>246</v>
      </c>
      <c r="E74" s="871">
        <f>F74*(1+$C$58)</f>
        <v>0</v>
      </c>
      <c r="F74" s="871">
        <f t="shared" si="12"/>
        <v>0</v>
      </c>
      <c r="G74" s="873">
        <f t="shared" si="13"/>
        <v>0</v>
      </c>
      <c r="H74" s="870">
        <f t="shared" si="9"/>
        <v>0</v>
      </c>
      <c r="I74" s="870">
        <f t="shared" si="9"/>
        <v>0</v>
      </c>
      <c r="J74" s="870">
        <f t="shared" si="9"/>
        <v>0</v>
      </c>
      <c r="K74" s="870">
        <f t="shared" si="9"/>
        <v>0</v>
      </c>
      <c r="L74" s="874">
        <f t="shared" si="14"/>
        <v>0</v>
      </c>
      <c r="M74" s="867">
        <f t="shared" ref="M74:M89" si="19">F74/$C$32</f>
        <v>0</v>
      </c>
      <c r="N74" s="899">
        <f t="shared" si="15"/>
        <v>0</v>
      </c>
      <c r="O74" s="871">
        <f>P74*(1+$C$58)</f>
        <v>0</v>
      </c>
      <c r="P74" s="871">
        <f t="shared" si="16"/>
        <v>0</v>
      </c>
      <c r="Q74" s="873">
        <f t="shared" si="17"/>
        <v>0</v>
      </c>
      <c r="R74" s="870">
        <f t="shared" si="11"/>
        <v>0</v>
      </c>
      <c r="S74" s="870">
        <f t="shared" si="11"/>
        <v>0</v>
      </c>
      <c r="T74" s="870">
        <f t="shared" si="11"/>
        <v>0</v>
      </c>
      <c r="U74" s="870">
        <f t="shared" si="11"/>
        <v>0</v>
      </c>
      <c r="V74" s="884">
        <f t="shared" ref="V74:V88" si="20">IF($D74="Да",$C74*(1+$C$57),0)</f>
        <v>0</v>
      </c>
      <c r="W74" s="161">
        <f t="shared" ref="W74:W89" si="21">P74/$C$32</f>
        <v>0</v>
      </c>
      <c r="X74" s="899">
        <f t="shared" si="18"/>
        <v>0</v>
      </c>
      <c r="Y74" s="195">
        <f>SUM(Z74:AE74)</f>
        <v>2</v>
      </c>
      <c r="Z74" s="394">
        <v>0.3</v>
      </c>
      <c r="AA74" s="84">
        <v>0.7</v>
      </c>
      <c r="AB74" s="84"/>
      <c r="AC74" s="77">
        <v>1</v>
      </c>
      <c r="AD74" s="84"/>
      <c r="AE74" s="82"/>
    </row>
    <row r="75" spans="2:31" s="31" customFormat="1" outlineLevel="1" x14ac:dyDescent="0.25">
      <c r="B75" s="62" t="s">
        <v>1</v>
      </c>
      <c r="C75" s="86">
        <f>$C20*$C37*$C32*C62</f>
        <v>0</v>
      </c>
      <c r="D75" s="168" t="s">
        <v>246</v>
      </c>
      <c r="E75" s="871">
        <f t="shared" ref="E75:E88" si="22">F75*(1+$C$58)</f>
        <v>0</v>
      </c>
      <c r="F75" s="871">
        <f t="shared" si="12"/>
        <v>0</v>
      </c>
      <c r="G75" s="873">
        <f t="shared" si="13"/>
        <v>0</v>
      </c>
      <c r="H75" s="870">
        <f t="shared" si="9"/>
        <v>0</v>
      </c>
      <c r="I75" s="870">
        <f t="shared" si="9"/>
        <v>0</v>
      </c>
      <c r="J75" s="870">
        <f t="shared" si="9"/>
        <v>0</v>
      </c>
      <c r="K75" s="870">
        <f t="shared" si="9"/>
        <v>0</v>
      </c>
      <c r="L75" s="874">
        <f t="shared" si="14"/>
        <v>0</v>
      </c>
      <c r="M75" s="867">
        <f t="shared" si="19"/>
        <v>0</v>
      </c>
      <c r="N75" s="899">
        <f t="shared" si="15"/>
        <v>0</v>
      </c>
      <c r="O75" s="871">
        <f t="shared" ref="O75:O88" si="23">P75*(1+$C$58)</f>
        <v>0</v>
      </c>
      <c r="P75" s="871">
        <f t="shared" si="16"/>
        <v>0</v>
      </c>
      <c r="Q75" s="873">
        <f t="shared" si="17"/>
        <v>0</v>
      </c>
      <c r="R75" s="870">
        <f t="shared" si="11"/>
        <v>0</v>
      </c>
      <c r="S75" s="870">
        <f t="shared" si="11"/>
        <v>0</v>
      </c>
      <c r="T75" s="870">
        <f t="shared" si="11"/>
        <v>0</v>
      </c>
      <c r="U75" s="870">
        <f t="shared" si="11"/>
        <v>0</v>
      </c>
      <c r="V75" s="884">
        <f t="shared" si="20"/>
        <v>0</v>
      </c>
      <c r="W75" s="161">
        <f t="shared" si="21"/>
        <v>0</v>
      </c>
      <c r="X75" s="899">
        <f t="shared" si="18"/>
        <v>0</v>
      </c>
      <c r="Y75" s="195">
        <f t="shared" ref="Y75:Y84" si="24">SUM(Z75:AE75)</f>
        <v>1.2</v>
      </c>
      <c r="Z75" s="76">
        <v>0.3</v>
      </c>
      <c r="AA75" s="77">
        <v>0.2</v>
      </c>
      <c r="AB75" s="77"/>
      <c r="AC75" s="77">
        <v>0.5</v>
      </c>
      <c r="AD75" s="77"/>
      <c r="AE75" s="83">
        <v>0.2</v>
      </c>
    </row>
    <row r="76" spans="2:31" s="31" customFormat="1" outlineLevel="1" x14ac:dyDescent="0.25">
      <c r="B76" s="62" t="s">
        <v>277</v>
      </c>
      <c r="C76" s="67">
        <f>$C20*$C38*$C32*C62</f>
        <v>0</v>
      </c>
      <c r="D76" s="168" t="s">
        <v>246</v>
      </c>
      <c r="E76" s="871">
        <f t="shared" si="22"/>
        <v>0</v>
      </c>
      <c r="F76" s="871">
        <f t="shared" si="12"/>
        <v>0</v>
      </c>
      <c r="G76" s="873">
        <f t="shared" si="13"/>
        <v>0</v>
      </c>
      <c r="H76" s="870">
        <f t="shared" si="9"/>
        <v>0</v>
      </c>
      <c r="I76" s="870">
        <f t="shared" si="9"/>
        <v>0</v>
      </c>
      <c r="J76" s="870">
        <f t="shared" si="9"/>
        <v>0</v>
      </c>
      <c r="K76" s="870">
        <f t="shared" si="9"/>
        <v>0</v>
      </c>
      <c r="L76" s="67">
        <f t="shared" si="14"/>
        <v>0</v>
      </c>
      <c r="M76" s="867">
        <f t="shared" si="19"/>
        <v>0</v>
      </c>
      <c r="N76" s="899">
        <f t="shared" si="15"/>
        <v>0</v>
      </c>
      <c r="O76" s="871">
        <f t="shared" si="23"/>
        <v>0</v>
      </c>
      <c r="P76" s="871">
        <f t="shared" si="16"/>
        <v>0</v>
      </c>
      <c r="Q76" s="873">
        <f t="shared" si="17"/>
        <v>0</v>
      </c>
      <c r="R76" s="870">
        <f t="shared" si="11"/>
        <v>0</v>
      </c>
      <c r="S76" s="870">
        <f t="shared" si="11"/>
        <v>0</v>
      </c>
      <c r="T76" s="870">
        <f t="shared" si="11"/>
        <v>0</v>
      </c>
      <c r="U76" s="870">
        <f t="shared" si="11"/>
        <v>0</v>
      </c>
      <c r="V76" s="885">
        <f t="shared" si="20"/>
        <v>0</v>
      </c>
      <c r="W76" s="161">
        <f t="shared" si="21"/>
        <v>0</v>
      </c>
      <c r="X76" s="899">
        <f t="shared" si="18"/>
        <v>0</v>
      </c>
      <c r="Y76" s="195">
        <f t="shared" si="24"/>
        <v>2</v>
      </c>
      <c r="Z76" s="76">
        <v>0.3</v>
      </c>
      <c r="AA76" s="77">
        <v>0.2</v>
      </c>
      <c r="AB76" s="77"/>
      <c r="AC76" s="77">
        <v>1</v>
      </c>
      <c r="AD76" s="77"/>
      <c r="AE76" s="83">
        <v>0.5</v>
      </c>
    </row>
    <row r="77" spans="2:31" s="31" customFormat="1" outlineLevel="1" x14ac:dyDescent="0.25">
      <c r="B77" s="62" t="s">
        <v>278</v>
      </c>
      <c r="C77" s="68">
        <f>C21*C35*C32*C63</f>
        <v>0</v>
      </c>
      <c r="D77" s="168" t="s">
        <v>246</v>
      </c>
      <c r="E77" s="871">
        <f t="shared" si="22"/>
        <v>0</v>
      </c>
      <c r="F77" s="871">
        <f t="shared" si="12"/>
        <v>0</v>
      </c>
      <c r="G77" s="873">
        <f t="shared" si="13"/>
        <v>0</v>
      </c>
      <c r="H77" s="870">
        <f t="shared" si="9"/>
        <v>0</v>
      </c>
      <c r="I77" s="870">
        <f t="shared" si="9"/>
        <v>0</v>
      </c>
      <c r="J77" s="870">
        <f t="shared" si="9"/>
        <v>0</v>
      </c>
      <c r="K77" s="870">
        <f t="shared" si="9"/>
        <v>0</v>
      </c>
      <c r="L77" s="68">
        <f t="shared" si="14"/>
        <v>0</v>
      </c>
      <c r="M77" s="867">
        <f t="shared" si="19"/>
        <v>0</v>
      </c>
      <c r="N77" s="899">
        <f t="shared" si="15"/>
        <v>0</v>
      </c>
      <c r="O77" s="871">
        <f t="shared" si="23"/>
        <v>0</v>
      </c>
      <c r="P77" s="871">
        <f t="shared" si="16"/>
        <v>0</v>
      </c>
      <c r="Q77" s="873">
        <f t="shared" si="17"/>
        <v>0</v>
      </c>
      <c r="R77" s="870">
        <f t="shared" si="11"/>
        <v>0</v>
      </c>
      <c r="S77" s="870">
        <f t="shared" si="11"/>
        <v>0</v>
      </c>
      <c r="T77" s="870">
        <f t="shared" si="11"/>
        <v>0</v>
      </c>
      <c r="U77" s="870">
        <f t="shared" si="11"/>
        <v>0</v>
      </c>
      <c r="V77" s="883">
        <f t="shared" si="20"/>
        <v>0</v>
      </c>
      <c r="W77" s="161">
        <f t="shared" si="21"/>
        <v>0</v>
      </c>
      <c r="X77" s="899">
        <f t="shared" si="18"/>
        <v>0</v>
      </c>
      <c r="Y77" s="195">
        <f t="shared" si="24"/>
        <v>2</v>
      </c>
      <c r="Z77" s="76">
        <v>0.3</v>
      </c>
      <c r="AA77" s="77">
        <v>0.2</v>
      </c>
      <c r="AB77" s="77"/>
      <c r="AC77" s="77">
        <v>0.5</v>
      </c>
      <c r="AD77" s="77"/>
      <c r="AE77" s="83">
        <v>1</v>
      </c>
    </row>
    <row r="78" spans="2:31" s="31" customFormat="1" outlineLevel="1" x14ac:dyDescent="0.25">
      <c r="B78" s="62" t="s">
        <v>279</v>
      </c>
      <c r="C78" s="69">
        <f>$E20*250000</f>
        <v>0</v>
      </c>
      <c r="D78" s="168" t="str">
        <f>C13</f>
        <v>НЕТ</v>
      </c>
      <c r="E78" s="871">
        <f t="shared" si="22"/>
        <v>0</v>
      </c>
      <c r="F78" s="871">
        <f t="shared" si="12"/>
        <v>0</v>
      </c>
      <c r="G78" s="873">
        <f t="shared" si="13"/>
        <v>0</v>
      </c>
      <c r="H78" s="870">
        <f t="shared" si="9"/>
        <v>0</v>
      </c>
      <c r="I78" s="870">
        <f t="shared" si="9"/>
        <v>0</v>
      </c>
      <c r="J78" s="870">
        <f t="shared" si="9"/>
        <v>0</v>
      </c>
      <c r="K78" s="870">
        <f t="shared" si="9"/>
        <v>0</v>
      </c>
      <c r="L78" s="69">
        <f t="shared" si="14"/>
        <v>0</v>
      </c>
      <c r="M78" s="868">
        <f t="shared" si="19"/>
        <v>0</v>
      </c>
      <c r="N78" s="901">
        <f t="shared" si="15"/>
        <v>0</v>
      </c>
      <c r="O78" s="871">
        <f t="shared" si="23"/>
        <v>0</v>
      </c>
      <c r="P78" s="871">
        <f t="shared" si="16"/>
        <v>0</v>
      </c>
      <c r="Q78" s="873">
        <f t="shared" si="17"/>
        <v>0</v>
      </c>
      <c r="R78" s="870">
        <f t="shared" si="11"/>
        <v>0</v>
      </c>
      <c r="S78" s="870">
        <f t="shared" si="11"/>
        <v>0</v>
      </c>
      <c r="T78" s="870">
        <f t="shared" si="11"/>
        <v>0</v>
      </c>
      <c r="U78" s="870">
        <f t="shared" si="11"/>
        <v>0</v>
      </c>
      <c r="V78" s="886">
        <f t="shared" si="20"/>
        <v>0</v>
      </c>
      <c r="W78" s="70">
        <f t="shared" si="21"/>
        <v>0</v>
      </c>
      <c r="X78" s="901">
        <f t="shared" si="18"/>
        <v>0</v>
      </c>
      <c r="Y78" s="196">
        <f t="shared" si="24"/>
        <v>2.8</v>
      </c>
      <c r="Z78" s="76">
        <v>0.3</v>
      </c>
      <c r="AA78" s="77">
        <v>0.5</v>
      </c>
      <c r="AB78" s="77">
        <v>1</v>
      </c>
      <c r="AC78" s="77"/>
      <c r="AD78" s="77"/>
      <c r="AE78" s="83">
        <v>1</v>
      </c>
    </row>
    <row r="79" spans="2:31" s="36" customFormat="1" ht="30" outlineLevel="1" x14ac:dyDescent="0.25">
      <c r="B79" s="62" t="s">
        <v>272</v>
      </c>
      <c r="C79" s="71">
        <f>SUM(C74:C77)*0.1+C39*C32</f>
        <v>0</v>
      </c>
      <c r="D79" s="168" t="s">
        <v>246</v>
      </c>
      <c r="E79" s="871">
        <f t="shared" si="22"/>
        <v>0</v>
      </c>
      <c r="F79" s="871">
        <f t="shared" si="12"/>
        <v>0</v>
      </c>
      <c r="G79" s="873">
        <f t="shared" si="13"/>
        <v>0</v>
      </c>
      <c r="H79" s="870">
        <f t="shared" si="9"/>
        <v>0</v>
      </c>
      <c r="I79" s="870">
        <f t="shared" si="9"/>
        <v>0</v>
      </c>
      <c r="J79" s="870">
        <f t="shared" si="9"/>
        <v>0</v>
      </c>
      <c r="K79" s="870">
        <f t="shared" si="9"/>
        <v>0</v>
      </c>
      <c r="L79" s="71">
        <f t="shared" si="14"/>
        <v>0</v>
      </c>
      <c r="M79" s="867">
        <f t="shared" si="19"/>
        <v>0</v>
      </c>
      <c r="N79" s="899">
        <f t="shared" si="15"/>
        <v>0</v>
      </c>
      <c r="O79" s="871">
        <f t="shared" si="23"/>
        <v>0</v>
      </c>
      <c r="P79" s="871">
        <f t="shared" si="16"/>
        <v>0</v>
      </c>
      <c r="Q79" s="873">
        <f t="shared" si="17"/>
        <v>0</v>
      </c>
      <c r="R79" s="870">
        <f t="shared" si="11"/>
        <v>0</v>
      </c>
      <c r="S79" s="870">
        <f t="shared" si="11"/>
        <v>0</v>
      </c>
      <c r="T79" s="870">
        <f t="shared" si="11"/>
        <v>0</v>
      </c>
      <c r="U79" s="870">
        <f t="shared" si="11"/>
        <v>0</v>
      </c>
      <c r="V79" s="887">
        <f t="shared" si="20"/>
        <v>0</v>
      </c>
      <c r="W79" s="161">
        <f t="shared" si="21"/>
        <v>0</v>
      </c>
      <c r="X79" s="899">
        <f t="shared" si="18"/>
        <v>0</v>
      </c>
      <c r="Y79" s="195">
        <f t="shared" si="24"/>
        <v>1</v>
      </c>
      <c r="Z79" s="76">
        <v>0.3</v>
      </c>
      <c r="AA79" s="77">
        <v>0.2</v>
      </c>
      <c r="AB79" s="77"/>
      <c r="AC79" s="77">
        <v>0.5</v>
      </c>
      <c r="AD79" s="77"/>
      <c r="AE79" s="83"/>
    </row>
    <row r="80" spans="2:31" s="36" customFormat="1" ht="30" outlineLevel="1" x14ac:dyDescent="0.25">
      <c r="B80" s="62" t="s">
        <v>271</v>
      </c>
      <c r="C80" s="71">
        <f>SUM(C75:C76)*0.1+C44*C32</f>
        <v>0</v>
      </c>
      <c r="D80" s="168" t="s">
        <v>246</v>
      </c>
      <c r="E80" s="871">
        <f t="shared" si="22"/>
        <v>0</v>
      </c>
      <c r="F80" s="871">
        <f t="shared" si="12"/>
        <v>0</v>
      </c>
      <c r="G80" s="873">
        <f t="shared" si="13"/>
        <v>0</v>
      </c>
      <c r="H80" s="870">
        <f t="shared" si="9"/>
        <v>0</v>
      </c>
      <c r="I80" s="870">
        <f t="shared" si="9"/>
        <v>0</v>
      </c>
      <c r="J80" s="870">
        <f t="shared" si="9"/>
        <v>0</v>
      </c>
      <c r="K80" s="870">
        <f t="shared" si="9"/>
        <v>0</v>
      </c>
      <c r="L80" s="71">
        <f t="shared" si="14"/>
        <v>0</v>
      </c>
      <c r="M80" s="867">
        <f t="shared" si="19"/>
        <v>0</v>
      </c>
      <c r="N80" s="899">
        <f t="shared" si="15"/>
        <v>0</v>
      </c>
      <c r="O80" s="871">
        <f t="shared" si="23"/>
        <v>0</v>
      </c>
      <c r="P80" s="871">
        <f t="shared" si="16"/>
        <v>0</v>
      </c>
      <c r="Q80" s="873">
        <f t="shared" si="17"/>
        <v>0</v>
      </c>
      <c r="R80" s="870">
        <f t="shared" si="11"/>
        <v>0</v>
      </c>
      <c r="S80" s="870">
        <f t="shared" si="11"/>
        <v>0</v>
      </c>
      <c r="T80" s="870">
        <f t="shared" si="11"/>
        <v>0</v>
      </c>
      <c r="U80" s="870">
        <f t="shared" si="11"/>
        <v>0</v>
      </c>
      <c r="V80" s="887">
        <f t="shared" si="20"/>
        <v>0</v>
      </c>
      <c r="W80" s="161">
        <f t="shared" si="21"/>
        <v>0</v>
      </c>
      <c r="X80" s="899">
        <f t="shared" si="18"/>
        <v>0</v>
      </c>
      <c r="Y80" s="195">
        <f t="shared" si="24"/>
        <v>1.5</v>
      </c>
      <c r="Z80" s="76">
        <v>0.3</v>
      </c>
      <c r="AA80" s="77">
        <v>0.2</v>
      </c>
      <c r="AB80" s="77"/>
      <c r="AC80" s="77">
        <v>1</v>
      </c>
      <c r="AD80" s="77"/>
      <c r="AE80" s="83"/>
    </row>
    <row r="81" spans="2:31" s="36" customFormat="1" ht="30" outlineLevel="1" x14ac:dyDescent="0.25">
      <c r="B81" s="62" t="s">
        <v>273</v>
      </c>
      <c r="C81" s="71">
        <f>SUM(C75:C76)*0.1</f>
        <v>0</v>
      </c>
      <c r="D81" s="168" t="s">
        <v>246</v>
      </c>
      <c r="E81" s="871">
        <f t="shared" si="22"/>
        <v>0</v>
      </c>
      <c r="F81" s="871">
        <f t="shared" si="12"/>
        <v>0</v>
      </c>
      <c r="G81" s="873">
        <f t="shared" si="13"/>
        <v>0</v>
      </c>
      <c r="H81" s="870">
        <f t="shared" si="9"/>
        <v>0</v>
      </c>
      <c r="I81" s="870">
        <f t="shared" si="9"/>
        <v>0</v>
      </c>
      <c r="J81" s="870">
        <f t="shared" si="9"/>
        <v>0</v>
      </c>
      <c r="K81" s="870">
        <f t="shared" si="9"/>
        <v>0</v>
      </c>
      <c r="L81" s="71">
        <f t="shared" si="14"/>
        <v>0</v>
      </c>
      <c r="M81" s="867">
        <f t="shared" si="19"/>
        <v>0</v>
      </c>
      <c r="N81" s="899">
        <f t="shared" si="15"/>
        <v>0</v>
      </c>
      <c r="O81" s="871">
        <f t="shared" si="23"/>
        <v>0</v>
      </c>
      <c r="P81" s="871">
        <f t="shared" si="16"/>
        <v>0</v>
      </c>
      <c r="Q81" s="873">
        <f t="shared" si="17"/>
        <v>0</v>
      </c>
      <c r="R81" s="870">
        <f t="shared" si="11"/>
        <v>0</v>
      </c>
      <c r="S81" s="870">
        <f t="shared" si="11"/>
        <v>0</v>
      </c>
      <c r="T81" s="870">
        <f t="shared" si="11"/>
        <v>0</v>
      </c>
      <c r="U81" s="870">
        <f t="shared" si="11"/>
        <v>0</v>
      </c>
      <c r="V81" s="887">
        <f t="shared" si="20"/>
        <v>0</v>
      </c>
      <c r="W81" s="161">
        <f t="shared" si="21"/>
        <v>0</v>
      </c>
      <c r="X81" s="899">
        <f t="shared" si="18"/>
        <v>0</v>
      </c>
      <c r="Y81" s="195">
        <f t="shared" si="24"/>
        <v>2.5</v>
      </c>
      <c r="Z81" s="76">
        <v>0.3</v>
      </c>
      <c r="AA81" s="77">
        <v>0.2</v>
      </c>
      <c r="AB81" s="77"/>
      <c r="AC81" s="77">
        <v>1</v>
      </c>
      <c r="AD81" s="77"/>
      <c r="AE81" s="83">
        <v>1</v>
      </c>
    </row>
    <row r="82" spans="2:31" s="36" customFormat="1" ht="30" outlineLevel="1" x14ac:dyDescent="0.25">
      <c r="B82" s="62" t="s">
        <v>2304</v>
      </c>
      <c r="C82" s="71">
        <f>192000+96000*5</f>
        <v>672000</v>
      </c>
      <c r="D82" s="168" t="s">
        <v>246</v>
      </c>
      <c r="E82" s="871">
        <f t="shared" ref="E82" si="25">F82*(1+$C$58)</f>
        <v>1164844.8</v>
      </c>
      <c r="F82" s="871">
        <f t="shared" ref="F82" si="26">SUM(G82:L82)</f>
        <v>1088640</v>
      </c>
      <c r="G82" s="873">
        <f t="shared" si="13"/>
        <v>6720</v>
      </c>
      <c r="H82" s="870">
        <f t="shared" si="9"/>
        <v>134400</v>
      </c>
      <c r="I82" s="870">
        <f t="shared" si="9"/>
        <v>141120</v>
      </c>
      <c r="J82" s="870">
        <f t="shared" si="9"/>
        <v>0</v>
      </c>
      <c r="K82" s="870">
        <f t="shared" si="9"/>
        <v>134400</v>
      </c>
      <c r="L82" s="71">
        <f t="shared" ref="L82" si="27">IF(D82="Да",$C82,0)</f>
        <v>672000</v>
      </c>
      <c r="M82" s="867">
        <f t="shared" ref="M82" si="28">F82/$C$32</f>
        <v>217.72800000000001</v>
      </c>
      <c r="N82" s="899">
        <f t="shared" ref="N82" si="29">ROUNDUP(((L82/$C$32)/40)*1.2/$Y82,0)</f>
        <v>27</v>
      </c>
      <c r="O82" s="871">
        <f t="shared" ref="O82" si="30">P82*(1+$C$58)</f>
        <v>1164844.8</v>
      </c>
      <c r="P82" s="871">
        <f t="shared" ref="P82" si="31">SUM(Q82:V82)</f>
        <v>1088640</v>
      </c>
      <c r="Q82" s="873">
        <f t="shared" si="17"/>
        <v>6720</v>
      </c>
      <c r="R82" s="870">
        <f t="shared" si="11"/>
        <v>134400</v>
      </c>
      <c r="S82" s="870">
        <f t="shared" si="11"/>
        <v>141120</v>
      </c>
      <c r="T82" s="870">
        <f t="shared" si="11"/>
        <v>0</v>
      </c>
      <c r="U82" s="870">
        <f t="shared" si="11"/>
        <v>134400</v>
      </c>
      <c r="V82" s="887">
        <f t="shared" si="20"/>
        <v>672000</v>
      </c>
      <c r="W82" s="161">
        <f t="shared" ref="W82" si="32">P82/$C$32</f>
        <v>217.72800000000001</v>
      </c>
      <c r="X82" s="899">
        <f t="shared" ref="X82" si="33">ROUNDUP(((V82/$C$32)/40)*1.2/$Y82,0)</f>
        <v>27</v>
      </c>
      <c r="Y82" s="195">
        <f t="shared" ref="Y82" si="34">SUM(Z82:AE82)</f>
        <v>0.15000000000000002</v>
      </c>
      <c r="Z82" s="76">
        <v>0.05</v>
      </c>
      <c r="AA82" s="77"/>
      <c r="AB82" s="77"/>
      <c r="AC82" s="77">
        <v>0.1</v>
      </c>
      <c r="AD82" s="77"/>
      <c r="AE82" s="83"/>
    </row>
    <row r="83" spans="2:31" s="31" customFormat="1" ht="30" outlineLevel="1" x14ac:dyDescent="0.25">
      <c r="B83" s="62" t="s">
        <v>683</v>
      </c>
      <c r="C83" s="68">
        <f>(((C45+F48*D48)*$C32+H48*$C49))</f>
        <v>200000</v>
      </c>
      <c r="D83" s="168" t="s">
        <v>246</v>
      </c>
      <c r="E83" s="871">
        <f t="shared" si="22"/>
        <v>346680</v>
      </c>
      <c r="F83" s="871">
        <f t="shared" si="12"/>
        <v>324000</v>
      </c>
      <c r="G83" s="873">
        <f t="shared" si="13"/>
        <v>2000</v>
      </c>
      <c r="H83" s="870">
        <f t="shared" si="9"/>
        <v>40000</v>
      </c>
      <c r="I83" s="870">
        <f t="shared" si="9"/>
        <v>42000.000000000007</v>
      </c>
      <c r="J83" s="870">
        <f t="shared" si="9"/>
        <v>0</v>
      </c>
      <c r="K83" s="870">
        <f t="shared" si="9"/>
        <v>40000</v>
      </c>
      <c r="L83" s="68">
        <f t="shared" si="14"/>
        <v>200000</v>
      </c>
      <c r="M83" s="867">
        <f t="shared" si="19"/>
        <v>64.8</v>
      </c>
      <c r="N83" s="899">
        <f t="shared" si="15"/>
        <v>1</v>
      </c>
      <c r="O83" s="871">
        <f t="shared" si="23"/>
        <v>346680</v>
      </c>
      <c r="P83" s="871">
        <f t="shared" si="16"/>
        <v>324000</v>
      </c>
      <c r="Q83" s="873">
        <f t="shared" si="17"/>
        <v>2000</v>
      </c>
      <c r="R83" s="870">
        <f t="shared" si="11"/>
        <v>40000</v>
      </c>
      <c r="S83" s="870">
        <f t="shared" si="11"/>
        <v>42000.000000000007</v>
      </c>
      <c r="T83" s="870">
        <f t="shared" si="11"/>
        <v>0</v>
      </c>
      <c r="U83" s="870">
        <f t="shared" si="11"/>
        <v>40000</v>
      </c>
      <c r="V83" s="883">
        <f t="shared" si="20"/>
        <v>200000</v>
      </c>
      <c r="W83" s="161">
        <f t="shared" si="21"/>
        <v>64.8</v>
      </c>
      <c r="X83" s="899">
        <f t="shared" si="18"/>
        <v>1</v>
      </c>
      <c r="Y83" s="195">
        <f t="shared" si="24"/>
        <v>1.3</v>
      </c>
      <c r="Z83" s="76">
        <v>0.3</v>
      </c>
      <c r="AA83" s="77"/>
      <c r="AB83" s="77"/>
      <c r="AC83" s="77">
        <v>1</v>
      </c>
      <c r="AD83" s="77"/>
      <c r="AE83" s="83"/>
    </row>
    <row r="84" spans="2:31" s="31" customFormat="1" outlineLevel="1" x14ac:dyDescent="0.25">
      <c r="B84" s="62" t="s">
        <v>588</v>
      </c>
      <c r="C84" s="68">
        <f>((F46*D46+F47*D47)*$C32+SUM(H46:H47)*$C49)</f>
        <v>0</v>
      </c>
      <c r="D84" s="168" t="s">
        <v>246</v>
      </c>
      <c r="E84" s="871">
        <f t="shared" si="22"/>
        <v>0</v>
      </c>
      <c r="F84" s="871">
        <f t="shared" si="12"/>
        <v>0</v>
      </c>
      <c r="G84" s="873">
        <f t="shared" si="13"/>
        <v>0</v>
      </c>
      <c r="H84" s="870">
        <f t="shared" si="9"/>
        <v>0</v>
      </c>
      <c r="I84" s="870">
        <f t="shared" si="9"/>
        <v>0</v>
      </c>
      <c r="J84" s="870">
        <f t="shared" si="9"/>
        <v>0</v>
      </c>
      <c r="K84" s="870">
        <f t="shared" si="9"/>
        <v>0</v>
      </c>
      <c r="L84" s="68">
        <f t="shared" si="14"/>
        <v>0</v>
      </c>
      <c r="M84" s="867">
        <f t="shared" si="19"/>
        <v>0</v>
      </c>
      <c r="N84" s="899">
        <f t="shared" si="15"/>
        <v>0</v>
      </c>
      <c r="O84" s="871">
        <f t="shared" si="23"/>
        <v>0</v>
      </c>
      <c r="P84" s="871">
        <f t="shared" si="16"/>
        <v>0</v>
      </c>
      <c r="Q84" s="873">
        <f t="shared" si="17"/>
        <v>0</v>
      </c>
      <c r="R84" s="870">
        <f t="shared" si="11"/>
        <v>0</v>
      </c>
      <c r="S84" s="870">
        <f t="shared" si="11"/>
        <v>0</v>
      </c>
      <c r="T84" s="870">
        <f t="shared" si="11"/>
        <v>0</v>
      </c>
      <c r="U84" s="870">
        <f t="shared" si="11"/>
        <v>0</v>
      </c>
      <c r="V84" s="883">
        <f t="shared" si="20"/>
        <v>0</v>
      </c>
      <c r="W84" s="161">
        <f t="shared" si="21"/>
        <v>0</v>
      </c>
      <c r="X84" s="899">
        <f t="shared" si="18"/>
        <v>0</v>
      </c>
      <c r="Y84" s="195">
        <f t="shared" si="24"/>
        <v>1.3</v>
      </c>
      <c r="Z84" s="76">
        <v>0.3</v>
      </c>
      <c r="AA84" s="77"/>
      <c r="AB84" s="77"/>
      <c r="AC84" s="77">
        <v>1</v>
      </c>
      <c r="AD84" s="77"/>
      <c r="AE84" s="83"/>
    </row>
    <row r="85" spans="2:31" s="31" customFormat="1" outlineLevel="1" x14ac:dyDescent="0.25">
      <c r="B85" s="62" t="s">
        <v>697</v>
      </c>
      <c r="C85" s="399">
        <f>(((($C5*C66+C6*C67)*0.5+C64)*$C32+$E5*$C49))</f>
        <v>700000</v>
      </c>
      <c r="D85" s="393" t="s">
        <v>246</v>
      </c>
      <c r="E85" s="871">
        <f t="shared" si="22"/>
        <v>1213380</v>
      </c>
      <c r="F85" s="871">
        <f t="shared" si="12"/>
        <v>1134000</v>
      </c>
      <c r="G85" s="873">
        <f t="shared" si="13"/>
        <v>7000</v>
      </c>
      <c r="H85" s="870">
        <f t="shared" si="9"/>
        <v>140000</v>
      </c>
      <c r="I85" s="870">
        <f t="shared" si="9"/>
        <v>147000</v>
      </c>
      <c r="J85" s="870">
        <f t="shared" si="9"/>
        <v>0</v>
      </c>
      <c r="K85" s="870">
        <f t="shared" si="9"/>
        <v>140000</v>
      </c>
      <c r="L85" s="875">
        <f t="shared" si="14"/>
        <v>700000</v>
      </c>
      <c r="M85" s="867">
        <f t="shared" si="19"/>
        <v>226.8</v>
      </c>
      <c r="N85" s="899">
        <f t="shared" si="15"/>
        <v>2</v>
      </c>
      <c r="O85" s="871">
        <f t="shared" si="23"/>
        <v>1213380</v>
      </c>
      <c r="P85" s="871">
        <f t="shared" si="16"/>
        <v>1134000</v>
      </c>
      <c r="Q85" s="873">
        <f t="shared" si="17"/>
        <v>7000</v>
      </c>
      <c r="R85" s="870">
        <f t="shared" si="11"/>
        <v>140000</v>
      </c>
      <c r="S85" s="870">
        <f t="shared" si="11"/>
        <v>147000</v>
      </c>
      <c r="T85" s="870">
        <f t="shared" si="11"/>
        <v>0</v>
      </c>
      <c r="U85" s="870">
        <f t="shared" si="11"/>
        <v>140000</v>
      </c>
      <c r="V85" s="888">
        <f t="shared" si="20"/>
        <v>700000</v>
      </c>
      <c r="W85" s="161">
        <f t="shared" si="21"/>
        <v>226.8</v>
      </c>
      <c r="X85" s="899">
        <f t="shared" si="18"/>
        <v>2</v>
      </c>
      <c r="Y85" s="195">
        <f>SUM(Z85:AE86)</f>
        <v>3.7</v>
      </c>
      <c r="Z85" s="394">
        <v>0.3</v>
      </c>
      <c r="AA85" s="84">
        <v>0.7</v>
      </c>
      <c r="AB85" s="84"/>
      <c r="AC85" s="84">
        <v>1</v>
      </c>
      <c r="AD85" s="84"/>
      <c r="AE85" s="83">
        <v>0.5</v>
      </c>
    </row>
    <row r="86" spans="2:31" s="31" customFormat="1" outlineLevel="1" x14ac:dyDescent="0.25">
      <c r="B86" s="62" t="s">
        <v>698</v>
      </c>
      <c r="C86" s="399">
        <f>(((($C5*C66+C6*C67)*0.5+C65)*$C32+$E5*$C49))</f>
        <v>200000</v>
      </c>
      <c r="D86" s="393" t="s">
        <v>246</v>
      </c>
      <c r="E86" s="871">
        <f t="shared" si="22"/>
        <v>346680</v>
      </c>
      <c r="F86" s="871">
        <f t="shared" si="12"/>
        <v>324000</v>
      </c>
      <c r="G86" s="873">
        <f t="shared" si="13"/>
        <v>2000</v>
      </c>
      <c r="H86" s="870">
        <f t="shared" si="9"/>
        <v>40000</v>
      </c>
      <c r="I86" s="870">
        <f t="shared" si="9"/>
        <v>42000.000000000007</v>
      </c>
      <c r="J86" s="870">
        <f t="shared" si="9"/>
        <v>0</v>
      </c>
      <c r="K86" s="870">
        <f t="shared" si="9"/>
        <v>40000</v>
      </c>
      <c r="L86" s="875">
        <f t="shared" si="14"/>
        <v>200000</v>
      </c>
      <c r="M86" s="867">
        <f t="shared" si="19"/>
        <v>64.8</v>
      </c>
      <c r="N86" s="899">
        <f t="shared" si="15"/>
        <v>1</v>
      </c>
      <c r="O86" s="871">
        <f t="shared" si="23"/>
        <v>346680</v>
      </c>
      <c r="P86" s="871">
        <f t="shared" si="16"/>
        <v>324000</v>
      </c>
      <c r="Q86" s="873">
        <f t="shared" si="17"/>
        <v>2000</v>
      </c>
      <c r="R86" s="870">
        <f t="shared" si="11"/>
        <v>40000</v>
      </c>
      <c r="S86" s="870">
        <f t="shared" si="11"/>
        <v>42000.000000000007</v>
      </c>
      <c r="T86" s="870">
        <f t="shared" si="11"/>
        <v>0</v>
      </c>
      <c r="U86" s="870">
        <f t="shared" si="11"/>
        <v>40000</v>
      </c>
      <c r="V86" s="888">
        <f t="shared" si="20"/>
        <v>200000</v>
      </c>
      <c r="W86" s="161">
        <f t="shared" si="21"/>
        <v>64.8</v>
      </c>
      <c r="X86" s="899">
        <f t="shared" si="18"/>
        <v>1</v>
      </c>
      <c r="Y86" s="195">
        <f>SUM(Z86:AE87)</f>
        <v>3.2</v>
      </c>
      <c r="Z86" s="394">
        <v>0.3</v>
      </c>
      <c r="AA86" s="84">
        <v>0.2</v>
      </c>
      <c r="AB86" s="84"/>
      <c r="AC86" s="84">
        <v>0.5</v>
      </c>
      <c r="AD86" s="84"/>
      <c r="AE86" s="83">
        <v>0.2</v>
      </c>
    </row>
    <row r="87" spans="2:31" s="31" customFormat="1" ht="45" outlineLevel="1" x14ac:dyDescent="0.25">
      <c r="B87" s="62" t="s">
        <v>276</v>
      </c>
      <c r="C87" s="99">
        <f>5000000</f>
        <v>5000000</v>
      </c>
      <c r="D87" s="168" t="str">
        <f>C14</f>
        <v>НЕТ</v>
      </c>
      <c r="E87" s="871">
        <f t="shared" si="22"/>
        <v>0</v>
      </c>
      <c r="F87" s="871">
        <f t="shared" si="12"/>
        <v>0</v>
      </c>
      <c r="G87" s="873">
        <f t="shared" si="13"/>
        <v>0</v>
      </c>
      <c r="H87" s="870">
        <f t="shared" si="9"/>
        <v>0</v>
      </c>
      <c r="I87" s="870">
        <f t="shared" si="9"/>
        <v>0</v>
      </c>
      <c r="J87" s="870">
        <f t="shared" si="9"/>
        <v>0</v>
      </c>
      <c r="K87" s="870">
        <f t="shared" si="9"/>
        <v>0</v>
      </c>
      <c r="L87" s="99">
        <f t="shared" si="14"/>
        <v>0</v>
      </c>
      <c r="M87" s="867">
        <f t="shared" si="19"/>
        <v>0</v>
      </c>
      <c r="N87" s="899">
        <f t="shared" si="15"/>
        <v>0</v>
      </c>
      <c r="O87" s="871">
        <f t="shared" si="23"/>
        <v>0</v>
      </c>
      <c r="P87" s="871">
        <f t="shared" si="16"/>
        <v>0</v>
      </c>
      <c r="Q87" s="873">
        <f t="shared" si="17"/>
        <v>0</v>
      </c>
      <c r="R87" s="870">
        <f t="shared" si="11"/>
        <v>0</v>
      </c>
      <c r="S87" s="870">
        <f t="shared" si="11"/>
        <v>0</v>
      </c>
      <c r="T87" s="870">
        <f t="shared" si="11"/>
        <v>0</v>
      </c>
      <c r="U87" s="870">
        <f t="shared" si="11"/>
        <v>0</v>
      </c>
      <c r="V87" s="889">
        <f t="shared" si="20"/>
        <v>0</v>
      </c>
      <c r="W87" s="161">
        <f t="shared" si="21"/>
        <v>0</v>
      </c>
      <c r="X87" s="899">
        <f t="shared" si="18"/>
        <v>0</v>
      </c>
      <c r="Y87" s="195">
        <f>SUM(Z87:AE87)</f>
        <v>2</v>
      </c>
      <c r="Z87" s="394">
        <v>0.3</v>
      </c>
      <c r="AA87" s="84">
        <v>0.7</v>
      </c>
      <c r="AB87" s="77"/>
      <c r="AC87" s="77">
        <v>1</v>
      </c>
      <c r="AD87" s="77"/>
      <c r="AE87" s="83"/>
    </row>
    <row r="88" spans="2:31" s="31" customFormat="1" ht="30.75" outlineLevel="1" thickBot="1" x14ac:dyDescent="0.3">
      <c r="B88" s="105" t="s">
        <v>275</v>
      </c>
      <c r="C88" s="106">
        <f>C80</f>
        <v>0</v>
      </c>
      <c r="D88" s="168" t="s">
        <v>255</v>
      </c>
      <c r="E88" s="872">
        <f t="shared" si="22"/>
        <v>0</v>
      </c>
      <c r="F88" s="872">
        <f t="shared" si="12"/>
        <v>0</v>
      </c>
      <c r="G88" s="876">
        <f t="shared" si="13"/>
        <v>0</v>
      </c>
      <c r="H88" s="877">
        <f t="shared" si="9"/>
        <v>0</v>
      </c>
      <c r="I88" s="986">
        <f t="shared" si="9"/>
        <v>0</v>
      </c>
      <c r="J88" s="986">
        <f t="shared" si="9"/>
        <v>0</v>
      </c>
      <c r="K88" s="877">
        <f t="shared" si="9"/>
        <v>0</v>
      </c>
      <c r="L88" s="106">
        <f t="shared" si="14"/>
        <v>0</v>
      </c>
      <c r="M88" s="869">
        <f t="shared" si="19"/>
        <v>0</v>
      </c>
      <c r="N88" s="902">
        <f t="shared" si="15"/>
        <v>0</v>
      </c>
      <c r="O88" s="872">
        <f t="shared" si="23"/>
        <v>0</v>
      </c>
      <c r="P88" s="872">
        <f t="shared" si="16"/>
        <v>0</v>
      </c>
      <c r="Q88" s="876">
        <f t="shared" si="17"/>
        <v>0</v>
      </c>
      <c r="R88" s="877">
        <f t="shared" si="11"/>
        <v>0</v>
      </c>
      <c r="S88" s="986">
        <f t="shared" si="11"/>
        <v>0</v>
      </c>
      <c r="T88" s="986">
        <f t="shared" si="11"/>
        <v>0</v>
      </c>
      <c r="U88" s="877">
        <f t="shared" si="11"/>
        <v>0</v>
      </c>
      <c r="V88" s="890">
        <f t="shared" si="20"/>
        <v>0</v>
      </c>
      <c r="W88" s="72">
        <f t="shared" si="21"/>
        <v>0</v>
      </c>
      <c r="X88" s="902">
        <f t="shared" si="18"/>
        <v>0</v>
      </c>
      <c r="Y88" s="197">
        <f>SUM(Z88:AE88)</f>
        <v>2</v>
      </c>
      <c r="Z88" s="78">
        <v>0.3</v>
      </c>
      <c r="AA88" s="79">
        <v>0.7</v>
      </c>
      <c r="AB88" s="79"/>
      <c r="AC88" s="79">
        <v>1</v>
      </c>
      <c r="AD88" s="79"/>
      <c r="AE88" s="80"/>
    </row>
    <row r="89" spans="2:31" s="31" customFormat="1" ht="15.75" outlineLevel="1" thickBot="1" x14ac:dyDescent="0.3">
      <c r="B89" s="991" t="s">
        <v>2227</v>
      </c>
      <c r="C89" s="992">
        <v>2641188</v>
      </c>
      <c r="D89" s="168" t="s">
        <v>246</v>
      </c>
      <c r="E89" s="872">
        <f t="shared" ref="E89" si="35">F89*(1+$C$59)</f>
        <v>4278724.5600000005</v>
      </c>
      <c r="F89" s="872">
        <f t="shared" ref="F89" si="36">SUM(G89:L89)</f>
        <v>4278724.5600000005</v>
      </c>
      <c r="G89" s="876">
        <f t="shared" si="13"/>
        <v>26411.88</v>
      </c>
      <c r="H89" s="877">
        <f t="shared" si="9"/>
        <v>528237.6</v>
      </c>
      <c r="I89" s="996">
        <f t="shared" si="9"/>
        <v>554649.4800000001</v>
      </c>
      <c r="J89" s="996">
        <f t="shared" si="9"/>
        <v>0</v>
      </c>
      <c r="K89" s="877">
        <f t="shared" si="9"/>
        <v>528237.6</v>
      </c>
      <c r="L89" s="106">
        <f t="shared" si="14"/>
        <v>2641188</v>
      </c>
      <c r="M89" s="869">
        <f t="shared" si="19"/>
        <v>855.74491200000011</v>
      </c>
      <c r="N89" s="902"/>
      <c r="O89" s="872">
        <f t="shared" ref="O89" si="37">P89*(1+$C$59)</f>
        <v>4463607.7200000007</v>
      </c>
      <c r="P89" s="872">
        <f t="shared" ref="P89" si="38">SUM(Q89:V89)</f>
        <v>4463607.7200000007</v>
      </c>
      <c r="Q89" s="876">
        <f t="shared" ref="Q89" si="39">Q$69*$L89</f>
        <v>26411.88</v>
      </c>
      <c r="R89" s="877">
        <f t="shared" ref="R89:U89" si="40">R$69*$L89</f>
        <v>528237.6</v>
      </c>
      <c r="S89" s="996">
        <f t="shared" si="40"/>
        <v>554649.4800000001</v>
      </c>
      <c r="T89" s="996">
        <f t="shared" si="40"/>
        <v>0</v>
      </c>
      <c r="U89" s="877">
        <f t="shared" si="40"/>
        <v>528237.6</v>
      </c>
      <c r="V89" s="890">
        <f t="shared" ref="V89" si="41">IF($D89="Да",$C89*(1+$C$58),0)</f>
        <v>2826071.16</v>
      </c>
      <c r="W89" s="72">
        <f t="shared" si="21"/>
        <v>892.72154400000011</v>
      </c>
      <c r="X89" s="902"/>
      <c r="Y89" s="195">
        <f>SUM(Z89:AE89)</f>
        <v>0.4</v>
      </c>
      <c r="Z89" s="78"/>
      <c r="AA89" s="79"/>
      <c r="AB89" s="79"/>
      <c r="AC89" s="79">
        <v>0.2</v>
      </c>
      <c r="AD89" s="79"/>
      <c r="AE89" s="80">
        <v>0.2</v>
      </c>
    </row>
    <row r="90" spans="2:31" ht="45" x14ac:dyDescent="0.25">
      <c r="K90" s="2"/>
      <c r="M90" s="2" t="s">
        <v>1788</v>
      </c>
      <c r="N90" s="2">
        <f>N71/4</f>
        <v>7.75</v>
      </c>
      <c r="O90" s="2"/>
      <c r="W90" s="2" t="s">
        <v>1788</v>
      </c>
      <c r="X90" s="2">
        <f>X71/4</f>
        <v>7.75</v>
      </c>
    </row>
    <row r="91" spans="2:31" ht="30" x14ac:dyDescent="0.25">
      <c r="W91" s="833" t="s">
        <v>1792</v>
      </c>
      <c r="X91" s="834" t="s">
        <v>1793</v>
      </c>
      <c r="Y91" s="835" t="s">
        <v>1794</v>
      </c>
    </row>
  </sheetData>
  <autoFilter ref="B19:E45" xr:uid="{00000000-0009-0000-0000-00000E000000}"/>
  <mergeCells count="9">
    <mergeCell ref="B60:C60"/>
    <mergeCell ref="B30:C30"/>
    <mergeCell ref="B31:C31"/>
    <mergeCell ref="B2:C2"/>
    <mergeCell ref="B18:B19"/>
    <mergeCell ref="C18:E18"/>
    <mergeCell ref="B27:C27"/>
    <mergeCell ref="B28:C28"/>
    <mergeCell ref="B29:C29"/>
  </mergeCells>
  <conditionalFormatting sqref="C10:C16">
    <cfRule type="cellIs" dxfId="36" priority="137" operator="equal">
      <formula>"ДА"</formula>
    </cfRule>
    <cfRule type="cellIs" dxfId="35" priority="138" operator="equal">
      <formula>"НЕТ"</formula>
    </cfRule>
  </conditionalFormatting>
  <conditionalFormatting sqref="C72:C89">
    <cfRule type="expression" dxfId="34" priority="1">
      <formula>#REF!=0</formula>
    </cfRule>
  </conditionalFormatting>
  <conditionalFormatting sqref="C20:E21">
    <cfRule type="cellIs" dxfId="33" priority="351" operator="equal">
      <formula>"ДА"</formula>
    </cfRule>
    <cfRule type="cellIs" dxfId="32" priority="350" operator="equal">
      <formula>"НЕТ"</formula>
    </cfRule>
  </conditionalFormatting>
  <conditionalFormatting sqref="C71:F71">
    <cfRule type="expression" dxfId="31" priority="53">
      <formula>#REF!=0</formula>
    </cfRule>
  </conditionalFormatting>
  <conditionalFormatting sqref="D10:D16">
    <cfRule type="cellIs" dxfId="30" priority="136" operator="equal">
      <formula>"КОРП"</formula>
    </cfRule>
    <cfRule type="cellIs" dxfId="29" priority="135" operator="equal">
      <formula>"ПРОФ"</formula>
    </cfRule>
  </conditionalFormatting>
  <conditionalFormatting sqref="D32:D33">
    <cfRule type="cellIs" dxfId="28" priority="154" operator="equal">
      <formula>"Формула"</formula>
    </cfRule>
    <cfRule type="cellIs" dxfId="27" priority="153" operator="equal">
      <formula>"Значение введено вручную"</formula>
    </cfRule>
  </conditionalFormatting>
  <conditionalFormatting sqref="D52:D54">
    <cfRule type="cellIs" dxfId="26" priority="9" operator="equal">
      <formula>"Формула"</formula>
    </cfRule>
    <cfRule type="cellIs" dxfId="25" priority="8" operator="equal">
      <formula>"Значение введено вручную"</formula>
    </cfRule>
  </conditionalFormatting>
  <conditionalFormatting sqref="D62:D67">
    <cfRule type="cellIs" dxfId="24" priority="126" operator="equal">
      <formula>"Формула"</formula>
    </cfRule>
    <cfRule type="cellIs" dxfId="23" priority="125" operator="equal">
      <formula>"Значение введено вручную"</formula>
    </cfRule>
  </conditionalFormatting>
  <conditionalFormatting sqref="D72:D89">
    <cfRule type="cellIs" dxfId="22" priority="47" operator="equal">
      <formula>"НЕТ"</formula>
    </cfRule>
    <cfRule type="cellIs" dxfId="21" priority="48" operator="equal">
      <formula>"ДА"</formula>
    </cfRule>
  </conditionalFormatting>
  <conditionalFormatting sqref="E2">
    <cfRule type="cellIs" dxfId="20" priority="130" operator="equal">
      <formula>"КОРП Заказчик"</formula>
    </cfRule>
    <cfRule type="cellIs" dxfId="19" priority="129" operator="equal">
      <formula>"SMB Заказчик"</formula>
    </cfRule>
  </conditionalFormatting>
  <conditionalFormatting sqref="E10:E16">
    <cfRule type="cellIs" dxfId="18" priority="133" operator="equal">
      <formula>"ДА"</formula>
    </cfRule>
    <cfRule type="cellIs" dxfId="17" priority="134" operator="equal">
      <formula>"НЕТ"</formula>
    </cfRule>
  </conditionalFormatting>
  <conditionalFormatting sqref="E54">
    <cfRule type="cellIs" dxfId="16" priority="2" operator="equal">
      <formula>"Указать"</formula>
    </cfRule>
    <cfRule type="cellIs" dxfId="15" priority="3" operator="equal">
      <formula>"ДА"</formula>
    </cfRule>
    <cfRule type="cellIs" dxfId="14" priority="4" operator="equal">
      <formula>"НЕТ"</formula>
    </cfRule>
  </conditionalFormatting>
  <conditionalFormatting sqref="F10:F16">
    <cfRule type="cellIs" dxfId="13" priority="131" operator="equal">
      <formula>"Значение введено вручную"</formula>
    </cfRule>
    <cfRule type="cellIs" dxfId="12" priority="132" operator="equal">
      <formula>"Формула"</formula>
    </cfRule>
  </conditionalFormatting>
  <conditionalFormatting sqref="I71:J89">
    <cfRule type="expression" dxfId="10" priority="18">
      <formula>#REF!=0</formula>
    </cfRule>
  </conditionalFormatting>
  <conditionalFormatting sqref="M71:N89">
    <cfRule type="expression" dxfId="8" priority="41">
      <formula>#REF!=0</formula>
    </cfRule>
  </conditionalFormatting>
  <conditionalFormatting sqref="N90:O90 X90">
    <cfRule type="cellIs" dxfId="7" priority="55" operator="between">
      <formula>12</formula>
      <formula>18</formula>
    </cfRule>
    <cfRule type="cellIs" dxfId="6" priority="54" operator="greaterThan">
      <formula>18</formula>
    </cfRule>
    <cfRule type="cellIs" dxfId="5" priority="56" operator="lessThanOrEqual">
      <formula>12</formula>
    </cfRule>
  </conditionalFormatting>
  <conditionalFormatting sqref="O71:P71">
    <cfRule type="expression" dxfId="4" priority="52">
      <formula>#REF!=0</formula>
    </cfRule>
  </conditionalFormatting>
  <conditionalFormatting sqref="S71:T89">
    <cfRule type="expression" dxfId="2" priority="10">
      <formula>#REF!=0</formula>
    </cfRule>
  </conditionalFormatting>
  <conditionalFormatting sqref="W71:Y89">
    <cfRule type="expression" dxfId="0" priority="39">
      <formula>#REF!=0</formula>
    </cfRule>
  </conditionalFormatting>
  <conditionalFormatting sqref="Z86:AA86">
    <cfRule type="colorScale" priority="72">
      <colorScale>
        <cfvo type="min"/>
        <cfvo type="max"/>
        <color rgb="FFFFEF9C"/>
        <color rgb="FF63BE7B"/>
      </colorScale>
    </cfRule>
    <cfRule type="colorScale" priority="71">
      <colorScale>
        <cfvo type="min"/>
        <cfvo type="max"/>
        <color rgb="FFFFEF9C"/>
        <color rgb="FF63BE7B"/>
      </colorScale>
    </cfRule>
  </conditionalFormatting>
  <conditionalFormatting sqref="Z87:AE88 Z72:AE85">
    <cfRule type="colorScale" priority="80">
      <colorScale>
        <cfvo type="min"/>
        <cfvo type="max"/>
        <color rgb="FFFFEF9C"/>
        <color rgb="FF63BE7B"/>
      </colorScale>
    </cfRule>
  </conditionalFormatting>
  <conditionalFormatting sqref="Z87:AE88 Z73:AE85">
    <cfRule type="colorScale" priority="81">
      <colorScale>
        <cfvo type="min"/>
        <cfvo type="max"/>
        <color rgb="FFFFEF9C"/>
        <color rgb="FF63BE7B"/>
      </colorScale>
    </cfRule>
  </conditionalFormatting>
  <conditionalFormatting sqref="Z89:AE89">
    <cfRule type="colorScale" priority="50">
      <colorScale>
        <cfvo type="min"/>
        <cfvo type="max"/>
        <color rgb="FFFFEF9C"/>
        <color rgb="FF63BE7B"/>
      </colorScale>
    </cfRule>
    <cfRule type="colorScale" priority="49">
      <colorScale>
        <cfvo type="min"/>
        <cfvo type="max"/>
        <color rgb="FFFFEF9C"/>
        <color rgb="FF63BE7B"/>
      </colorScale>
    </cfRule>
  </conditionalFormatting>
  <conditionalFormatting sqref="AB86:AE86">
    <cfRule type="colorScale" priority="76">
      <colorScale>
        <cfvo type="min"/>
        <cfvo type="max"/>
        <color rgb="FFFFEF9C"/>
        <color rgb="FF63BE7B"/>
      </colorScale>
    </cfRule>
    <cfRule type="colorScale" priority="75">
      <colorScale>
        <cfvo type="min"/>
        <cfvo type="max"/>
        <color rgb="FFFFEF9C"/>
        <color rgb="FF63BE7B"/>
      </colorScale>
    </cfRule>
  </conditionalFormatting>
  <dataValidations count="3">
    <dataValidation type="list" allowBlank="1" showInputMessage="1" showErrorMessage="1" sqref="C61" xr:uid="{00000000-0002-0000-0E00-000000000000}">
      <formula1>"ДО 200,201-500,501-1000,1001+"</formula1>
    </dataValidation>
    <dataValidation type="list" allowBlank="1" showInputMessage="1" showErrorMessage="1" sqref="E10:E16 C10:C16 D72:D73 D87:D89 D75:D84" xr:uid="{00000000-0002-0000-0E00-000001000000}">
      <formula1>"ДА,НЕТ"</formula1>
    </dataValidation>
    <dataValidation type="list" allowBlank="1" showInputMessage="1" showErrorMessage="1" sqref="C58" xr:uid="{00000000-0002-0000-0E00-000002000000}">
      <formula1>"0%,7%,20%"</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0" id="{80B974A8-32FF-4065-ACAA-A1E7D4593583}">
            <xm:f>'Очередь 1 Кейс-Совм'!#REF!=0</xm:f>
            <x14:dxf>
              <fill>
                <patternFill>
                  <bgColor theme="2"/>
                </patternFill>
              </fill>
            </x14:dxf>
          </x14:cfRule>
          <xm:sqref>G71:H89</xm:sqref>
        </x14:conditionalFormatting>
        <x14:conditionalFormatting xmlns:xm="http://schemas.microsoft.com/office/excel/2006/main">
          <x14:cfRule type="expression" priority="21" id="{55B58C35-A34E-42A4-86C7-E941D29DDF27}">
            <xm:f>'Очередь 1 Кейс-Совм'!#REF!=0</xm:f>
            <x14:dxf>
              <fill>
                <patternFill>
                  <bgColor theme="2"/>
                </patternFill>
              </fill>
            </x14:dxf>
          </x14:cfRule>
          <xm:sqref>K71:L89</xm:sqref>
        </x14:conditionalFormatting>
        <x14:conditionalFormatting xmlns:xm="http://schemas.microsoft.com/office/excel/2006/main">
          <x14:cfRule type="expression" priority="12" id="{1613EA15-1B75-4864-9330-CF4E108B724D}">
            <xm:f>'Очередь 1 Кейс-Совм'!#REF!=0</xm:f>
            <x14:dxf>
              <fill>
                <patternFill>
                  <bgColor theme="2"/>
                </patternFill>
              </fill>
            </x14:dxf>
          </x14:cfRule>
          <xm:sqref>Q71:R89</xm:sqref>
        </x14:conditionalFormatting>
        <x14:conditionalFormatting xmlns:xm="http://schemas.microsoft.com/office/excel/2006/main">
          <x14:cfRule type="expression" priority="13" id="{3E8031F8-E15E-4A7E-ACB0-DC67DD69A5B9}">
            <xm:f>'Очередь 1 Кейс-Совм'!#REF!=0</xm:f>
            <x14:dxf>
              <fill>
                <patternFill>
                  <bgColor theme="2"/>
                </patternFill>
              </fill>
            </x14:dxf>
          </x14:cfRule>
          <xm:sqref>U71:V89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3000000}">
          <x14:formula1>
            <xm:f>Списки!$K$2:$K$7</xm:f>
          </x14:formula1>
          <xm:sqref>C33</xm:sqref>
        </x14:dataValidation>
        <x14:dataValidation type="list" allowBlank="1" showInputMessage="1" showErrorMessage="1" xr:uid="{00000000-0002-0000-0E00-000004000000}">
          <x14:formula1>
            <xm:f>Списки!$M$2:$M$5</xm:f>
          </x14:formula1>
          <xm:sqref>C1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7"/>
  <sheetViews>
    <sheetView zoomScaleNormal="100" workbookViewId="0">
      <selection activeCell="E21" sqref="E21"/>
    </sheetView>
  </sheetViews>
  <sheetFormatPr defaultColWidth="8.7109375" defaultRowHeight="12.75" x14ac:dyDescent="0.25"/>
  <cols>
    <col min="1" max="1" width="49.7109375" style="508" customWidth="1"/>
    <col min="2" max="2" width="59.28515625" style="508" customWidth="1"/>
    <col min="3" max="3" width="28.7109375" style="471" bestFit="1" customWidth="1"/>
    <col min="4" max="4" width="48.7109375" style="471" bestFit="1" customWidth="1"/>
    <col min="5" max="5" width="54.28515625" style="508" customWidth="1"/>
    <col min="6" max="6" width="8.7109375" style="471"/>
    <col min="7" max="7" width="37.7109375" style="508" customWidth="1"/>
    <col min="8" max="8" width="42.7109375" style="508" customWidth="1"/>
    <col min="9" max="9" width="29.5703125" style="508" customWidth="1"/>
    <col min="10" max="10" width="40.5703125" style="508" customWidth="1"/>
    <col min="11" max="11" width="18.7109375" style="508" customWidth="1"/>
    <col min="12" max="12" width="17.7109375" style="508" customWidth="1"/>
    <col min="13" max="13" width="13.28515625" style="471" customWidth="1"/>
    <col min="14" max="16384" width="8.7109375" style="471"/>
  </cols>
  <sheetData>
    <row r="1" spans="1:13" s="470" customFormat="1" ht="27.75" customHeight="1" x14ac:dyDescent="0.25">
      <c r="A1" s="509" t="s">
        <v>858</v>
      </c>
      <c r="B1" s="509" t="s">
        <v>863</v>
      </c>
      <c r="C1" s="470" t="s">
        <v>881</v>
      </c>
      <c r="D1" s="470" t="s">
        <v>885</v>
      </c>
      <c r="E1" s="509" t="s">
        <v>890</v>
      </c>
      <c r="G1" s="509" t="s">
        <v>899</v>
      </c>
      <c r="H1" s="509" t="s">
        <v>906</v>
      </c>
      <c r="I1" s="509" t="s">
        <v>917</v>
      </c>
      <c r="J1" s="509" t="s">
        <v>923</v>
      </c>
      <c r="K1" s="509" t="s">
        <v>952</v>
      </c>
      <c r="L1" s="509" t="s">
        <v>976</v>
      </c>
      <c r="M1" s="470" t="s">
        <v>2230</v>
      </c>
    </row>
    <row r="2" spans="1:13" ht="22.5" customHeight="1" x14ac:dyDescent="0.25">
      <c r="A2" s="508" t="s">
        <v>931</v>
      </c>
      <c r="B2" s="508" t="s">
        <v>864</v>
      </c>
      <c r="C2" s="471" t="s">
        <v>882</v>
      </c>
      <c r="D2" s="471" t="s">
        <v>887</v>
      </c>
      <c r="E2" s="508" t="s">
        <v>1006</v>
      </c>
      <c r="F2" s="508"/>
      <c r="G2" s="508" t="s">
        <v>900</v>
      </c>
      <c r="H2" s="508" t="s">
        <v>909</v>
      </c>
      <c r="I2" s="508" t="s">
        <v>919</v>
      </c>
      <c r="J2" s="508" t="s">
        <v>924</v>
      </c>
      <c r="K2" s="508" t="s">
        <v>954</v>
      </c>
      <c r="L2" s="508" t="s">
        <v>977</v>
      </c>
      <c r="M2" s="508" t="str">
        <f>'2.ФС для Заполнения'!AC9</f>
        <v>1 очередь</v>
      </c>
    </row>
    <row r="3" spans="1:13" ht="51" customHeight="1" x14ac:dyDescent="0.25">
      <c r="A3" s="508" t="s">
        <v>934</v>
      </c>
      <c r="B3" s="508" t="s">
        <v>935</v>
      </c>
      <c r="C3" s="471" t="s">
        <v>883</v>
      </c>
      <c r="D3" s="471" t="s">
        <v>888</v>
      </c>
      <c r="E3" s="508" t="s">
        <v>721</v>
      </c>
      <c r="F3" s="508"/>
      <c r="G3" s="508" t="s">
        <v>901</v>
      </c>
      <c r="H3" s="508" t="s">
        <v>908</v>
      </c>
      <c r="I3" s="508" t="s">
        <v>918</v>
      </c>
      <c r="J3" s="508" t="s">
        <v>925</v>
      </c>
      <c r="K3" s="508" t="s">
        <v>577</v>
      </c>
      <c r="L3" s="508" t="s">
        <v>983</v>
      </c>
      <c r="M3" s="508" t="str">
        <f>'2.ФС для Заполнения'!AF9</f>
        <v>2 очередь</v>
      </c>
    </row>
    <row r="4" spans="1:13" ht="57.75" customHeight="1" x14ac:dyDescent="0.25">
      <c r="A4" s="508" t="s">
        <v>933</v>
      </c>
      <c r="B4" s="508" t="s">
        <v>867</v>
      </c>
      <c r="C4" s="471" t="s">
        <v>950</v>
      </c>
      <c r="E4" s="508" t="s">
        <v>1005</v>
      </c>
      <c r="F4" s="508"/>
      <c r="G4" s="508" t="s">
        <v>902</v>
      </c>
      <c r="H4" s="508" t="s">
        <v>910</v>
      </c>
      <c r="I4" s="508" t="s">
        <v>920</v>
      </c>
      <c r="J4" s="508" t="s">
        <v>926</v>
      </c>
      <c r="K4" s="508" t="s">
        <v>563</v>
      </c>
      <c r="L4" s="508" t="s">
        <v>978</v>
      </c>
      <c r="M4" s="508" t="str">
        <f>'2.ФС для Заполнения'!AI9</f>
        <v>3 очередь</v>
      </c>
    </row>
    <row r="5" spans="1:13" ht="35.25" customHeight="1" x14ac:dyDescent="0.25">
      <c r="A5" s="508" t="s">
        <v>932</v>
      </c>
      <c r="B5" s="508" t="s">
        <v>1001</v>
      </c>
      <c r="C5" s="471" t="s">
        <v>949</v>
      </c>
      <c r="D5" s="471" t="s">
        <v>889</v>
      </c>
      <c r="E5" s="508" t="s">
        <v>1837</v>
      </c>
      <c r="F5" s="508"/>
      <c r="G5" s="508" t="s">
        <v>903</v>
      </c>
      <c r="H5" s="508" t="s">
        <v>911</v>
      </c>
      <c r="J5" s="508" t="s">
        <v>927</v>
      </c>
      <c r="K5" s="508" t="s">
        <v>1754</v>
      </c>
      <c r="L5" s="508" t="s">
        <v>982</v>
      </c>
      <c r="M5" s="508" t="str">
        <f>'2.ФС для Заполнения'!AL9</f>
        <v>Развитие</v>
      </c>
    </row>
    <row r="6" spans="1:13" ht="33.75" customHeight="1" x14ac:dyDescent="0.25">
      <c r="A6" s="508" t="s">
        <v>997</v>
      </c>
      <c r="B6" s="508" t="s">
        <v>999</v>
      </c>
      <c r="C6" s="471" t="s">
        <v>884</v>
      </c>
      <c r="D6" s="471" t="s">
        <v>1014</v>
      </c>
      <c r="E6" s="508" t="s">
        <v>891</v>
      </c>
      <c r="F6" s="508"/>
      <c r="G6" s="508" t="s">
        <v>904</v>
      </c>
      <c r="H6" s="508" t="s">
        <v>912</v>
      </c>
      <c r="J6" s="508" t="s">
        <v>928</v>
      </c>
      <c r="K6" s="508" t="s">
        <v>953</v>
      </c>
      <c r="L6" s="508" t="s">
        <v>979</v>
      </c>
      <c r="M6" s="508"/>
    </row>
    <row r="7" spans="1:13" ht="22.5" customHeight="1" x14ac:dyDescent="0.25">
      <c r="A7" s="508" t="s">
        <v>989</v>
      </c>
      <c r="B7" s="508" t="s">
        <v>1002</v>
      </c>
      <c r="D7" s="471" t="s">
        <v>1015</v>
      </c>
      <c r="E7" s="508" t="s">
        <v>1007</v>
      </c>
      <c r="F7" s="508"/>
      <c r="G7" s="508" t="s">
        <v>905</v>
      </c>
      <c r="H7" s="508" t="s">
        <v>913</v>
      </c>
      <c r="J7" s="508" t="s">
        <v>929</v>
      </c>
      <c r="K7" s="508" t="s">
        <v>579</v>
      </c>
      <c r="L7" s="508" t="s">
        <v>980</v>
      </c>
      <c r="M7" s="508"/>
    </row>
    <row r="8" spans="1:13" ht="22.5" customHeight="1" x14ac:dyDescent="0.25">
      <c r="A8" s="508" t="s">
        <v>991</v>
      </c>
      <c r="B8" s="508" t="s">
        <v>1000</v>
      </c>
      <c r="D8" s="471" t="s">
        <v>1016</v>
      </c>
      <c r="E8" s="508" t="s">
        <v>1831</v>
      </c>
      <c r="F8" s="508"/>
      <c r="G8" s="508" t="s">
        <v>1012</v>
      </c>
      <c r="H8" s="508" t="s">
        <v>907</v>
      </c>
      <c r="L8" s="508" t="s">
        <v>981</v>
      </c>
      <c r="M8" s="508"/>
    </row>
    <row r="9" spans="1:13" ht="22.5" customHeight="1" x14ac:dyDescent="0.25">
      <c r="A9" s="508" t="s">
        <v>994</v>
      </c>
      <c r="B9" s="508" t="s">
        <v>1003</v>
      </c>
      <c r="D9" s="510"/>
      <c r="E9" s="508" t="s">
        <v>892</v>
      </c>
      <c r="F9" s="508"/>
      <c r="G9" s="508" t="s">
        <v>1013</v>
      </c>
      <c r="M9" s="508"/>
    </row>
    <row r="10" spans="1:13" ht="22.5" customHeight="1" x14ac:dyDescent="0.25">
      <c r="A10" s="508" t="s">
        <v>996</v>
      </c>
      <c r="B10" s="508" t="s">
        <v>1004</v>
      </c>
      <c r="E10" s="508" t="s">
        <v>1008</v>
      </c>
      <c r="F10" s="508"/>
      <c r="M10" s="508"/>
    </row>
    <row r="11" spans="1:13" ht="22.5" customHeight="1" x14ac:dyDescent="0.25">
      <c r="A11" s="508" t="s">
        <v>990</v>
      </c>
      <c r="E11" s="508" t="s">
        <v>1832</v>
      </c>
      <c r="F11" s="508"/>
      <c r="M11" s="508"/>
    </row>
    <row r="12" spans="1:13" ht="22.5" customHeight="1" x14ac:dyDescent="0.25">
      <c r="A12" s="508" t="s">
        <v>992</v>
      </c>
      <c r="E12" s="508" t="s">
        <v>1010</v>
      </c>
      <c r="F12" s="508"/>
      <c r="M12" s="508"/>
    </row>
    <row r="13" spans="1:13" ht="22.5" customHeight="1" x14ac:dyDescent="0.25">
      <c r="A13" s="508" t="s">
        <v>993</v>
      </c>
      <c r="E13" s="508" t="s">
        <v>1009</v>
      </c>
      <c r="F13" s="508"/>
      <c r="M13" s="508"/>
    </row>
    <row r="14" spans="1:13" ht="22.5" customHeight="1" x14ac:dyDescent="0.25">
      <c r="A14" s="508" t="s">
        <v>995</v>
      </c>
      <c r="E14" s="508" t="s">
        <v>1011</v>
      </c>
      <c r="F14" s="508"/>
      <c r="M14" s="508"/>
    </row>
    <row r="15" spans="1:13" ht="22.5" customHeight="1" x14ac:dyDescent="0.25">
      <c r="A15" s="508" t="s">
        <v>998</v>
      </c>
      <c r="E15" s="508" t="s">
        <v>1836</v>
      </c>
    </row>
    <row r="16" spans="1:13" ht="25.5" x14ac:dyDescent="0.25">
      <c r="A16" s="508" t="s">
        <v>988</v>
      </c>
      <c r="E16" s="508" t="s">
        <v>893</v>
      </c>
    </row>
    <row r="17" spans="1:5" x14ac:dyDescent="0.25">
      <c r="A17" s="508" t="s">
        <v>547</v>
      </c>
      <c r="E17" s="508" t="s">
        <v>894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B2:AH248"/>
  <sheetViews>
    <sheetView topLeftCell="D1" workbookViewId="0">
      <selection activeCell="D5" sqref="D5"/>
    </sheetView>
  </sheetViews>
  <sheetFormatPr defaultRowHeight="12.75" outlineLevelRow="2" outlineLevelCol="1" x14ac:dyDescent="0.2"/>
  <cols>
    <col min="1" max="1" width="3.42578125" style="519" customWidth="1"/>
    <col min="2" max="2" width="5.42578125" style="519" customWidth="1"/>
    <col min="3" max="3" width="60.28515625" style="519" customWidth="1"/>
    <col min="4" max="4" width="105.5703125" style="519" customWidth="1"/>
    <col min="5" max="6" width="26.5703125" style="519" customWidth="1"/>
    <col min="7" max="8" width="14.7109375" style="520" customWidth="1"/>
    <col min="9" max="9" width="18.28515625" style="520" customWidth="1"/>
    <col min="10" max="10" width="17.5703125" style="520" customWidth="1"/>
    <col min="11" max="11" width="18.28515625" style="520" customWidth="1" collapsed="1"/>
    <col min="12" max="14" width="18.42578125" style="520" hidden="1" customWidth="1" outlineLevel="1"/>
    <col min="15" max="15" width="22" style="520" hidden="1" customWidth="1" outlineLevel="1"/>
    <col min="16" max="16" width="13.42578125" style="520" hidden="1" customWidth="1" outlineLevel="1"/>
    <col min="17" max="17" width="16.5703125" style="520" hidden="1" customWidth="1" outlineLevel="1"/>
    <col min="18" max="18" width="21.5703125" style="520" hidden="1" customWidth="1" outlineLevel="1"/>
    <col min="19" max="19" width="21.42578125" style="520" hidden="1" customWidth="1" outlineLevel="1"/>
    <col min="20" max="29" width="20.7109375" style="520" hidden="1" customWidth="1" outlineLevel="1"/>
    <col min="30" max="30" width="17" style="519" hidden="1" customWidth="1" outlineLevel="1"/>
    <col min="31" max="31" width="15.28515625" style="519" hidden="1" customWidth="1" outlineLevel="1"/>
    <col min="32" max="32" width="17.42578125" style="519" hidden="1" customWidth="1" outlineLevel="1"/>
    <col min="33" max="33" width="16.28515625" style="520" hidden="1" customWidth="1" outlineLevel="1"/>
    <col min="34" max="34" width="9.28515625" style="519" collapsed="1"/>
    <col min="35" max="257" width="9.28515625" style="519"/>
    <col min="258" max="258" width="3.42578125" style="519" customWidth="1"/>
    <col min="259" max="259" width="5.42578125" style="519" customWidth="1"/>
    <col min="260" max="260" width="105.5703125" style="519" customWidth="1"/>
    <col min="261" max="262" width="26.5703125" style="519" customWidth="1"/>
    <col min="263" max="264" width="14.7109375" style="519" customWidth="1"/>
    <col min="265" max="265" width="18.28515625" style="519" customWidth="1"/>
    <col min="266" max="266" width="17.5703125" style="519" customWidth="1"/>
    <col min="267" max="267" width="18.28515625" style="519" customWidth="1"/>
    <col min="268" max="289" width="0" style="519" hidden="1" customWidth="1"/>
    <col min="290" max="513" width="9.28515625" style="519"/>
    <col min="514" max="514" width="3.42578125" style="519" customWidth="1"/>
    <col min="515" max="515" width="5.42578125" style="519" customWidth="1"/>
    <col min="516" max="516" width="105.5703125" style="519" customWidth="1"/>
    <col min="517" max="518" width="26.5703125" style="519" customWidth="1"/>
    <col min="519" max="520" width="14.7109375" style="519" customWidth="1"/>
    <col min="521" max="521" width="18.28515625" style="519" customWidth="1"/>
    <col min="522" max="522" width="17.5703125" style="519" customWidth="1"/>
    <col min="523" max="523" width="18.28515625" style="519" customWidth="1"/>
    <col min="524" max="545" width="0" style="519" hidden="1" customWidth="1"/>
    <col min="546" max="769" width="9.28515625" style="519"/>
    <col min="770" max="770" width="3.42578125" style="519" customWidth="1"/>
    <col min="771" max="771" width="5.42578125" style="519" customWidth="1"/>
    <col min="772" max="772" width="105.5703125" style="519" customWidth="1"/>
    <col min="773" max="774" width="26.5703125" style="519" customWidth="1"/>
    <col min="775" max="776" width="14.7109375" style="519" customWidth="1"/>
    <col min="777" max="777" width="18.28515625" style="519" customWidth="1"/>
    <col min="778" max="778" width="17.5703125" style="519" customWidth="1"/>
    <col min="779" max="779" width="18.28515625" style="519" customWidth="1"/>
    <col min="780" max="801" width="0" style="519" hidden="1" customWidth="1"/>
    <col min="802" max="1025" width="9.28515625" style="519"/>
    <col min="1026" max="1026" width="3.42578125" style="519" customWidth="1"/>
    <col min="1027" max="1027" width="5.42578125" style="519" customWidth="1"/>
    <col min="1028" max="1028" width="105.5703125" style="519" customWidth="1"/>
    <col min="1029" max="1030" width="26.5703125" style="519" customWidth="1"/>
    <col min="1031" max="1032" width="14.7109375" style="519" customWidth="1"/>
    <col min="1033" max="1033" width="18.28515625" style="519" customWidth="1"/>
    <col min="1034" max="1034" width="17.5703125" style="519" customWidth="1"/>
    <col min="1035" max="1035" width="18.28515625" style="519" customWidth="1"/>
    <col min="1036" max="1057" width="0" style="519" hidden="1" customWidth="1"/>
    <col min="1058" max="1281" width="9.28515625" style="519"/>
    <col min="1282" max="1282" width="3.42578125" style="519" customWidth="1"/>
    <col min="1283" max="1283" width="5.42578125" style="519" customWidth="1"/>
    <col min="1284" max="1284" width="105.5703125" style="519" customWidth="1"/>
    <col min="1285" max="1286" width="26.5703125" style="519" customWidth="1"/>
    <col min="1287" max="1288" width="14.7109375" style="519" customWidth="1"/>
    <col min="1289" max="1289" width="18.28515625" style="519" customWidth="1"/>
    <col min="1290" max="1290" width="17.5703125" style="519" customWidth="1"/>
    <col min="1291" max="1291" width="18.28515625" style="519" customWidth="1"/>
    <col min="1292" max="1313" width="0" style="519" hidden="1" customWidth="1"/>
    <col min="1314" max="1537" width="9.28515625" style="519"/>
    <col min="1538" max="1538" width="3.42578125" style="519" customWidth="1"/>
    <col min="1539" max="1539" width="5.42578125" style="519" customWidth="1"/>
    <col min="1540" max="1540" width="105.5703125" style="519" customWidth="1"/>
    <col min="1541" max="1542" width="26.5703125" style="519" customWidth="1"/>
    <col min="1543" max="1544" width="14.7109375" style="519" customWidth="1"/>
    <col min="1545" max="1545" width="18.28515625" style="519" customWidth="1"/>
    <col min="1546" max="1546" width="17.5703125" style="519" customWidth="1"/>
    <col min="1547" max="1547" width="18.28515625" style="519" customWidth="1"/>
    <col min="1548" max="1569" width="0" style="519" hidden="1" customWidth="1"/>
    <col min="1570" max="1793" width="9.28515625" style="519"/>
    <col min="1794" max="1794" width="3.42578125" style="519" customWidth="1"/>
    <col min="1795" max="1795" width="5.42578125" style="519" customWidth="1"/>
    <col min="1796" max="1796" width="105.5703125" style="519" customWidth="1"/>
    <col min="1797" max="1798" width="26.5703125" style="519" customWidth="1"/>
    <col min="1799" max="1800" width="14.7109375" style="519" customWidth="1"/>
    <col min="1801" max="1801" width="18.28515625" style="519" customWidth="1"/>
    <col min="1802" max="1802" width="17.5703125" style="519" customWidth="1"/>
    <col min="1803" max="1803" width="18.28515625" style="519" customWidth="1"/>
    <col min="1804" max="1825" width="0" style="519" hidden="1" customWidth="1"/>
    <col min="1826" max="2049" width="9.28515625" style="519"/>
    <col min="2050" max="2050" width="3.42578125" style="519" customWidth="1"/>
    <col min="2051" max="2051" width="5.42578125" style="519" customWidth="1"/>
    <col min="2052" max="2052" width="105.5703125" style="519" customWidth="1"/>
    <col min="2053" max="2054" width="26.5703125" style="519" customWidth="1"/>
    <col min="2055" max="2056" width="14.7109375" style="519" customWidth="1"/>
    <col min="2057" max="2057" width="18.28515625" style="519" customWidth="1"/>
    <col min="2058" max="2058" width="17.5703125" style="519" customWidth="1"/>
    <col min="2059" max="2059" width="18.28515625" style="519" customWidth="1"/>
    <col min="2060" max="2081" width="0" style="519" hidden="1" customWidth="1"/>
    <col min="2082" max="2305" width="9.28515625" style="519"/>
    <col min="2306" max="2306" width="3.42578125" style="519" customWidth="1"/>
    <col min="2307" max="2307" width="5.42578125" style="519" customWidth="1"/>
    <col min="2308" max="2308" width="105.5703125" style="519" customWidth="1"/>
    <col min="2309" max="2310" width="26.5703125" style="519" customWidth="1"/>
    <col min="2311" max="2312" width="14.7109375" style="519" customWidth="1"/>
    <col min="2313" max="2313" width="18.28515625" style="519" customWidth="1"/>
    <col min="2314" max="2314" width="17.5703125" style="519" customWidth="1"/>
    <col min="2315" max="2315" width="18.28515625" style="519" customWidth="1"/>
    <col min="2316" max="2337" width="0" style="519" hidden="1" customWidth="1"/>
    <col min="2338" max="2561" width="9.28515625" style="519"/>
    <col min="2562" max="2562" width="3.42578125" style="519" customWidth="1"/>
    <col min="2563" max="2563" width="5.42578125" style="519" customWidth="1"/>
    <col min="2564" max="2564" width="105.5703125" style="519" customWidth="1"/>
    <col min="2565" max="2566" width="26.5703125" style="519" customWidth="1"/>
    <col min="2567" max="2568" width="14.7109375" style="519" customWidth="1"/>
    <col min="2569" max="2569" width="18.28515625" style="519" customWidth="1"/>
    <col min="2570" max="2570" width="17.5703125" style="519" customWidth="1"/>
    <col min="2571" max="2571" width="18.28515625" style="519" customWidth="1"/>
    <col min="2572" max="2593" width="0" style="519" hidden="1" customWidth="1"/>
    <col min="2594" max="2817" width="9.28515625" style="519"/>
    <col min="2818" max="2818" width="3.42578125" style="519" customWidth="1"/>
    <col min="2819" max="2819" width="5.42578125" style="519" customWidth="1"/>
    <col min="2820" max="2820" width="105.5703125" style="519" customWidth="1"/>
    <col min="2821" max="2822" width="26.5703125" style="519" customWidth="1"/>
    <col min="2823" max="2824" width="14.7109375" style="519" customWidth="1"/>
    <col min="2825" max="2825" width="18.28515625" style="519" customWidth="1"/>
    <col min="2826" max="2826" width="17.5703125" style="519" customWidth="1"/>
    <col min="2827" max="2827" width="18.28515625" style="519" customWidth="1"/>
    <col min="2828" max="2849" width="0" style="519" hidden="1" customWidth="1"/>
    <col min="2850" max="3073" width="9.28515625" style="519"/>
    <col min="3074" max="3074" width="3.42578125" style="519" customWidth="1"/>
    <col min="3075" max="3075" width="5.42578125" style="519" customWidth="1"/>
    <col min="3076" max="3076" width="105.5703125" style="519" customWidth="1"/>
    <col min="3077" max="3078" width="26.5703125" style="519" customWidth="1"/>
    <col min="3079" max="3080" width="14.7109375" style="519" customWidth="1"/>
    <col min="3081" max="3081" width="18.28515625" style="519" customWidth="1"/>
    <col min="3082" max="3082" width="17.5703125" style="519" customWidth="1"/>
    <col min="3083" max="3083" width="18.28515625" style="519" customWidth="1"/>
    <col min="3084" max="3105" width="0" style="519" hidden="1" customWidth="1"/>
    <col min="3106" max="3329" width="9.28515625" style="519"/>
    <col min="3330" max="3330" width="3.42578125" style="519" customWidth="1"/>
    <col min="3331" max="3331" width="5.42578125" style="519" customWidth="1"/>
    <col min="3332" max="3332" width="105.5703125" style="519" customWidth="1"/>
    <col min="3333" max="3334" width="26.5703125" style="519" customWidth="1"/>
    <col min="3335" max="3336" width="14.7109375" style="519" customWidth="1"/>
    <col min="3337" max="3337" width="18.28515625" style="519" customWidth="1"/>
    <col min="3338" max="3338" width="17.5703125" style="519" customWidth="1"/>
    <col min="3339" max="3339" width="18.28515625" style="519" customWidth="1"/>
    <col min="3340" max="3361" width="0" style="519" hidden="1" customWidth="1"/>
    <col min="3362" max="3585" width="9.28515625" style="519"/>
    <col min="3586" max="3586" width="3.42578125" style="519" customWidth="1"/>
    <col min="3587" max="3587" width="5.42578125" style="519" customWidth="1"/>
    <col min="3588" max="3588" width="105.5703125" style="519" customWidth="1"/>
    <col min="3589" max="3590" width="26.5703125" style="519" customWidth="1"/>
    <col min="3591" max="3592" width="14.7109375" style="519" customWidth="1"/>
    <col min="3593" max="3593" width="18.28515625" style="519" customWidth="1"/>
    <col min="3594" max="3594" width="17.5703125" style="519" customWidth="1"/>
    <col min="3595" max="3595" width="18.28515625" style="519" customWidth="1"/>
    <col min="3596" max="3617" width="0" style="519" hidden="1" customWidth="1"/>
    <col min="3618" max="3841" width="9.28515625" style="519"/>
    <col min="3842" max="3842" width="3.42578125" style="519" customWidth="1"/>
    <col min="3843" max="3843" width="5.42578125" style="519" customWidth="1"/>
    <col min="3844" max="3844" width="105.5703125" style="519" customWidth="1"/>
    <col min="3845" max="3846" width="26.5703125" style="519" customWidth="1"/>
    <col min="3847" max="3848" width="14.7109375" style="519" customWidth="1"/>
    <col min="3849" max="3849" width="18.28515625" style="519" customWidth="1"/>
    <col min="3850" max="3850" width="17.5703125" style="519" customWidth="1"/>
    <col min="3851" max="3851" width="18.28515625" style="519" customWidth="1"/>
    <col min="3852" max="3873" width="0" style="519" hidden="1" customWidth="1"/>
    <col min="3874" max="4097" width="9.28515625" style="519"/>
    <col min="4098" max="4098" width="3.42578125" style="519" customWidth="1"/>
    <col min="4099" max="4099" width="5.42578125" style="519" customWidth="1"/>
    <col min="4100" max="4100" width="105.5703125" style="519" customWidth="1"/>
    <col min="4101" max="4102" width="26.5703125" style="519" customWidth="1"/>
    <col min="4103" max="4104" width="14.7109375" style="519" customWidth="1"/>
    <col min="4105" max="4105" width="18.28515625" style="519" customWidth="1"/>
    <col min="4106" max="4106" width="17.5703125" style="519" customWidth="1"/>
    <col min="4107" max="4107" width="18.28515625" style="519" customWidth="1"/>
    <col min="4108" max="4129" width="0" style="519" hidden="1" customWidth="1"/>
    <col min="4130" max="4353" width="9.28515625" style="519"/>
    <col min="4354" max="4354" width="3.42578125" style="519" customWidth="1"/>
    <col min="4355" max="4355" width="5.42578125" style="519" customWidth="1"/>
    <col min="4356" max="4356" width="105.5703125" style="519" customWidth="1"/>
    <col min="4357" max="4358" width="26.5703125" style="519" customWidth="1"/>
    <col min="4359" max="4360" width="14.7109375" style="519" customWidth="1"/>
    <col min="4361" max="4361" width="18.28515625" style="519" customWidth="1"/>
    <col min="4362" max="4362" width="17.5703125" style="519" customWidth="1"/>
    <col min="4363" max="4363" width="18.28515625" style="519" customWidth="1"/>
    <col min="4364" max="4385" width="0" style="519" hidden="1" customWidth="1"/>
    <col min="4386" max="4609" width="9.28515625" style="519"/>
    <col min="4610" max="4610" width="3.42578125" style="519" customWidth="1"/>
    <col min="4611" max="4611" width="5.42578125" style="519" customWidth="1"/>
    <col min="4612" max="4612" width="105.5703125" style="519" customWidth="1"/>
    <col min="4613" max="4614" width="26.5703125" style="519" customWidth="1"/>
    <col min="4615" max="4616" width="14.7109375" style="519" customWidth="1"/>
    <col min="4617" max="4617" width="18.28515625" style="519" customWidth="1"/>
    <col min="4618" max="4618" width="17.5703125" style="519" customWidth="1"/>
    <col min="4619" max="4619" width="18.28515625" style="519" customWidth="1"/>
    <col min="4620" max="4641" width="0" style="519" hidden="1" customWidth="1"/>
    <col min="4642" max="4865" width="9.28515625" style="519"/>
    <col min="4866" max="4866" width="3.42578125" style="519" customWidth="1"/>
    <col min="4867" max="4867" width="5.42578125" style="519" customWidth="1"/>
    <col min="4868" max="4868" width="105.5703125" style="519" customWidth="1"/>
    <col min="4869" max="4870" width="26.5703125" style="519" customWidth="1"/>
    <col min="4871" max="4872" width="14.7109375" style="519" customWidth="1"/>
    <col min="4873" max="4873" width="18.28515625" style="519" customWidth="1"/>
    <col min="4874" max="4874" width="17.5703125" style="519" customWidth="1"/>
    <col min="4875" max="4875" width="18.28515625" style="519" customWidth="1"/>
    <col min="4876" max="4897" width="0" style="519" hidden="1" customWidth="1"/>
    <col min="4898" max="5121" width="9.28515625" style="519"/>
    <col min="5122" max="5122" width="3.42578125" style="519" customWidth="1"/>
    <col min="5123" max="5123" width="5.42578125" style="519" customWidth="1"/>
    <col min="5124" max="5124" width="105.5703125" style="519" customWidth="1"/>
    <col min="5125" max="5126" width="26.5703125" style="519" customWidth="1"/>
    <col min="5127" max="5128" width="14.7109375" style="519" customWidth="1"/>
    <col min="5129" max="5129" width="18.28515625" style="519" customWidth="1"/>
    <col min="5130" max="5130" width="17.5703125" style="519" customWidth="1"/>
    <col min="5131" max="5131" width="18.28515625" style="519" customWidth="1"/>
    <col min="5132" max="5153" width="0" style="519" hidden="1" customWidth="1"/>
    <col min="5154" max="5377" width="9.28515625" style="519"/>
    <col min="5378" max="5378" width="3.42578125" style="519" customWidth="1"/>
    <col min="5379" max="5379" width="5.42578125" style="519" customWidth="1"/>
    <col min="5380" max="5380" width="105.5703125" style="519" customWidth="1"/>
    <col min="5381" max="5382" width="26.5703125" style="519" customWidth="1"/>
    <col min="5383" max="5384" width="14.7109375" style="519" customWidth="1"/>
    <col min="5385" max="5385" width="18.28515625" style="519" customWidth="1"/>
    <col min="5386" max="5386" width="17.5703125" style="519" customWidth="1"/>
    <col min="5387" max="5387" width="18.28515625" style="519" customWidth="1"/>
    <col min="5388" max="5409" width="0" style="519" hidden="1" customWidth="1"/>
    <col min="5410" max="5633" width="9.28515625" style="519"/>
    <col min="5634" max="5634" width="3.42578125" style="519" customWidth="1"/>
    <col min="5635" max="5635" width="5.42578125" style="519" customWidth="1"/>
    <col min="5636" max="5636" width="105.5703125" style="519" customWidth="1"/>
    <col min="5637" max="5638" width="26.5703125" style="519" customWidth="1"/>
    <col min="5639" max="5640" width="14.7109375" style="519" customWidth="1"/>
    <col min="5641" max="5641" width="18.28515625" style="519" customWidth="1"/>
    <col min="5642" max="5642" width="17.5703125" style="519" customWidth="1"/>
    <col min="5643" max="5643" width="18.28515625" style="519" customWidth="1"/>
    <col min="5644" max="5665" width="0" style="519" hidden="1" customWidth="1"/>
    <col min="5666" max="5889" width="9.28515625" style="519"/>
    <col min="5890" max="5890" width="3.42578125" style="519" customWidth="1"/>
    <col min="5891" max="5891" width="5.42578125" style="519" customWidth="1"/>
    <col min="5892" max="5892" width="105.5703125" style="519" customWidth="1"/>
    <col min="5893" max="5894" width="26.5703125" style="519" customWidth="1"/>
    <col min="5895" max="5896" width="14.7109375" style="519" customWidth="1"/>
    <col min="5897" max="5897" width="18.28515625" style="519" customWidth="1"/>
    <col min="5898" max="5898" width="17.5703125" style="519" customWidth="1"/>
    <col min="5899" max="5899" width="18.28515625" style="519" customWidth="1"/>
    <col min="5900" max="5921" width="0" style="519" hidden="1" customWidth="1"/>
    <col min="5922" max="6145" width="9.28515625" style="519"/>
    <col min="6146" max="6146" width="3.42578125" style="519" customWidth="1"/>
    <col min="6147" max="6147" width="5.42578125" style="519" customWidth="1"/>
    <col min="6148" max="6148" width="105.5703125" style="519" customWidth="1"/>
    <col min="6149" max="6150" width="26.5703125" style="519" customWidth="1"/>
    <col min="6151" max="6152" width="14.7109375" style="519" customWidth="1"/>
    <col min="6153" max="6153" width="18.28515625" style="519" customWidth="1"/>
    <col min="6154" max="6154" width="17.5703125" style="519" customWidth="1"/>
    <col min="6155" max="6155" width="18.28515625" style="519" customWidth="1"/>
    <col min="6156" max="6177" width="0" style="519" hidden="1" customWidth="1"/>
    <col min="6178" max="6401" width="9.28515625" style="519"/>
    <col min="6402" max="6402" width="3.42578125" style="519" customWidth="1"/>
    <col min="6403" max="6403" width="5.42578125" style="519" customWidth="1"/>
    <col min="6404" max="6404" width="105.5703125" style="519" customWidth="1"/>
    <col min="6405" max="6406" width="26.5703125" style="519" customWidth="1"/>
    <col min="6407" max="6408" width="14.7109375" style="519" customWidth="1"/>
    <col min="6409" max="6409" width="18.28515625" style="519" customWidth="1"/>
    <col min="6410" max="6410" width="17.5703125" style="519" customWidth="1"/>
    <col min="6411" max="6411" width="18.28515625" style="519" customWidth="1"/>
    <col min="6412" max="6433" width="0" style="519" hidden="1" customWidth="1"/>
    <col min="6434" max="6657" width="9.28515625" style="519"/>
    <col min="6658" max="6658" width="3.42578125" style="519" customWidth="1"/>
    <col min="6659" max="6659" width="5.42578125" style="519" customWidth="1"/>
    <col min="6660" max="6660" width="105.5703125" style="519" customWidth="1"/>
    <col min="6661" max="6662" width="26.5703125" style="519" customWidth="1"/>
    <col min="6663" max="6664" width="14.7109375" style="519" customWidth="1"/>
    <col min="6665" max="6665" width="18.28515625" style="519" customWidth="1"/>
    <col min="6666" max="6666" width="17.5703125" style="519" customWidth="1"/>
    <col min="6667" max="6667" width="18.28515625" style="519" customWidth="1"/>
    <col min="6668" max="6689" width="0" style="519" hidden="1" customWidth="1"/>
    <col min="6690" max="6913" width="9.28515625" style="519"/>
    <col min="6914" max="6914" width="3.42578125" style="519" customWidth="1"/>
    <col min="6915" max="6915" width="5.42578125" style="519" customWidth="1"/>
    <col min="6916" max="6916" width="105.5703125" style="519" customWidth="1"/>
    <col min="6917" max="6918" width="26.5703125" style="519" customWidth="1"/>
    <col min="6919" max="6920" width="14.7109375" style="519" customWidth="1"/>
    <col min="6921" max="6921" width="18.28515625" style="519" customWidth="1"/>
    <col min="6922" max="6922" width="17.5703125" style="519" customWidth="1"/>
    <col min="6923" max="6923" width="18.28515625" style="519" customWidth="1"/>
    <col min="6924" max="6945" width="0" style="519" hidden="1" customWidth="1"/>
    <col min="6946" max="7169" width="9.28515625" style="519"/>
    <col min="7170" max="7170" width="3.42578125" style="519" customWidth="1"/>
    <col min="7171" max="7171" width="5.42578125" style="519" customWidth="1"/>
    <col min="7172" max="7172" width="105.5703125" style="519" customWidth="1"/>
    <col min="7173" max="7174" width="26.5703125" style="519" customWidth="1"/>
    <col min="7175" max="7176" width="14.7109375" style="519" customWidth="1"/>
    <col min="7177" max="7177" width="18.28515625" style="519" customWidth="1"/>
    <col min="7178" max="7178" width="17.5703125" style="519" customWidth="1"/>
    <col min="7179" max="7179" width="18.28515625" style="519" customWidth="1"/>
    <col min="7180" max="7201" width="0" style="519" hidden="1" customWidth="1"/>
    <col min="7202" max="7425" width="9.28515625" style="519"/>
    <col min="7426" max="7426" width="3.42578125" style="519" customWidth="1"/>
    <col min="7427" max="7427" width="5.42578125" style="519" customWidth="1"/>
    <col min="7428" max="7428" width="105.5703125" style="519" customWidth="1"/>
    <col min="7429" max="7430" width="26.5703125" style="519" customWidth="1"/>
    <col min="7431" max="7432" width="14.7109375" style="519" customWidth="1"/>
    <col min="7433" max="7433" width="18.28515625" style="519" customWidth="1"/>
    <col min="7434" max="7434" width="17.5703125" style="519" customWidth="1"/>
    <col min="7435" max="7435" width="18.28515625" style="519" customWidth="1"/>
    <col min="7436" max="7457" width="0" style="519" hidden="1" customWidth="1"/>
    <col min="7458" max="7681" width="9.28515625" style="519"/>
    <col min="7682" max="7682" width="3.42578125" style="519" customWidth="1"/>
    <col min="7683" max="7683" width="5.42578125" style="519" customWidth="1"/>
    <col min="7684" max="7684" width="105.5703125" style="519" customWidth="1"/>
    <col min="7685" max="7686" width="26.5703125" style="519" customWidth="1"/>
    <col min="7687" max="7688" width="14.7109375" style="519" customWidth="1"/>
    <col min="7689" max="7689" width="18.28515625" style="519" customWidth="1"/>
    <col min="7690" max="7690" width="17.5703125" style="519" customWidth="1"/>
    <col min="7691" max="7691" width="18.28515625" style="519" customWidth="1"/>
    <col min="7692" max="7713" width="0" style="519" hidden="1" customWidth="1"/>
    <col min="7714" max="7937" width="9.28515625" style="519"/>
    <col min="7938" max="7938" width="3.42578125" style="519" customWidth="1"/>
    <col min="7939" max="7939" width="5.42578125" style="519" customWidth="1"/>
    <col min="7940" max="7940" width="105.5703125" style="519" customWidth="1"/>
    <col min="7941" max="7942" width="26.5703125" style="519" customWidth="1"/>
    <col min="7943" max="7944" width="14.7109375" style="519" customWidth="1"/>
    <col min="7945" max="7945" width="18.28515625" style="519" customWidth="1"/>
    <col min="7946" max="7946" width="17.5703125" style="519" customWidth="1"/>
    <col min="7947" max="7947" width="18.28515625" style="519" customWidth="1"/>
    <col min="7948" max="7969" width="0" style="519" hidden="1" customWidth="1"/>
    <col min="7970" max="8193" width="9.28515625" style="519"/>
    <col min="8194" max="8194" width="3.42578125" style="519" customWidth="1"/>
    <col min="8195" max="8195" width="5.42578125" style="519" customWidth="1"/>
    <col min="8196" max="8196" width="105.5703125" style="519" customWidth="1"/>
    <col min="8197" max="8198" width="26.5703125" style="519" customWidth="1"/>
    <col min="8199" max="8200" width="14.7109375" style="519" customWidth="1"/>
    <col min="8201" max="8201" width="18.28515625" style="519" customWidth="1"/>
    <col min="8202" max="8202" width="17.5703125" style="519" customWidth="1"/>
    <col min="8203" max="8203" width="18.28515625" style="519" customWidth="1"/>
    <col min="8204" max="8225" width="0" style="519" hidden="1" customWidth="1"/>
    <col min="8226" max="8449" width="9.28515625" style="519"/>
    <col min="8450" max="8450" width="3.42578125" style="519" customWidth="1"/>
    <col min="8451" max="8451" width="5.42578125" style="519" customWidth="1"/>
    <col min="8452" max="8452" width="105.5703125" style="519" customWidth="1"/>
    <col min="8453" max="8454" width="26.5703125" style="519" customWidth="1"/>
    <col min="8455" max="8456" width="14.7109375" style="519" customWidth="1"/>
    <col min="8457" max="8457" width="18.28515625" style="519" customWidth="1"/>
    <col min="8458" max="8458" width="17.5703125" style="519" customWidth="1"/>
    <col min="8459" max="8459" width="18.28515625" style="519" customWidth="1"/>
    <col min="8460" max="8481" width="0" style="519" hidden="1" customWidth="1"/>
    <col min="8482" max="8705" width="9.28515625" style="519"/>
    <col min="8706" max="8706" width="3.42578125" style="519" customWidth="1"/>
    <col min="8707" max="8707" width="5.42578125" style="519" customWidth="1"/>
    <col min="8708" max="8708" width="105.5703125" style="519" customWidth="1"/>
    <col min="8709" max="8710" width="26.5703125" style="519" customWidth="1"/>
    <col min="8711" max="8712" width="14.7109375" style="519" customWidth="1"/>
    <col min="8713" max="8713" width="18.28515625" style="519" customWidth="1"/>
    <col min="8714" max="8714" width="17.5703125" style="519" customWidth="1"/>
    <col min="8715" max="8715" width="18.28515625" style="519" customWidth="1"/>
    <col min="8716" max="8737" width="0" style="519" hidden="1" customWidth="1"/>
    <col min="8738" max="8961" width="9.28515625" style="519"/>
    <col min="8962" max="8962" width="3.42578125" style="519" customWidth="1"/>
    <col min="8963" max="8963" width="5.42578125" style="519" customWidth="1"/>
    <col min="8964" max="8964" width="105.5703125" style="519" customWidth="1"/>
    <col min="8965" max="8966" width="26.5703125" style="519" customWidth="1"/>
    <col min="8967" max="8968" width="14.7109375" style="519" customWidth="1"/>
    <col min="8969" max="8969" width="18.28515625" style="519" customWidth="1"/>
    <col min="8970" max="8970" width="17.5703125" style="519" customWidth="1"/>
    <col min="8971" max="8971" width="18.28515625" style="519" customWidth="1"/>
    <col min="8972" max="8993" width="0" style="519" hidden="1" customWidth="1"/>
    <col min="8994" max="9217" width="9.28515625" style="519"/>
    <col min="9218" max="9218" width="3.42578125" style="519" customWidth="1"/>
    <col min="9219" max="9219" width="5.42578125" style="519" customWidth="1"/>
    <col min="9220" max="9220" width="105.5703125" style="519" customWidth="1"/>
    <col min="9221" max="9222" width="26.5703125" style="519" customWidth="1"/>
    <col min="9223" max="9224" width="14.7109375" style="519" customWidth="1"/>
    <col min="9225" max="9225" width="18.28515625" style="519" customWidth="1"/>
    <col min="9226" max="9226" width="17.5703125" style="519" customWidth="1"/>
    <col min="9227" max="9227" width="18.28515625" style="519" customWidth="1"/>
    <col min="9228" max="9249" width="0" style="519" hidden="1" customWidth="1"/>
    <col min="9250" max="9473" width="9.28515625" style="519"/>
    <col min="9474" max="9474" width="3.42578125" style="519" customWidth="1"/>
    <col min="9475" max="9475" width="5.42578125" style="519" customWidth="1"/>
    <col min="9476" max="9476" width="105.5703125" style="519" customWidth="1"/>
    <col min="9477" max="9478" width="26.5703125" style="519" customWidth="1"/>
    <col min="9479" max="9480" width="14.7109375" style="519" customWidth="1"/>
    <col min="9481" max="9481" width="18.28515625" style="519" customWidth="1"/>
    <col min="9482" max="9482" width="17.5703125" style="519" customWidth="1"/>
    <col min="9483" max="9483" width="18.28515625" style="519" customWidth="1"/>
    <col min="9484" max="9505" width="0" style="519" hidden="1" customWidth="1"/>
    <col min="9506" max="9729" width="9.28515625" style="519"/>
    <col min="9730" max="9730" width="3.42578125" style="519" customWidth="1"/>
    <col min="9731" max="9731" width="5.42578125" style="519" customWidth="1"/>
    <col min="9732" max="9732" width="105.5703125" style="519" customWidth="1"/>
    <col min="9733" max="9734" width="26.5703125" style="519" customWidth="1"/>
    <col min="9735" max="9736" width="14.7109375" style="519" customWidth="1"/>
    <col min="9737" max="9737" width="18.28515625" style="519" customWidth="1"/>
    <col min="9738" max="9738" width="17.5703125" style="519" customWidth="1"/>
    <col min="9739" max="9739" width="18.28515625" style="519" customWidth="1"/>
    <col min="9740" max="9761" width="0" style="519" hidden="1" customWidth="1"/>
    <col min="9762" max="9985" width="9.28515625" style="519"/>
    <col min="9986" max="9986" width="3.42578125" style="519" customWidth="1"/>
    <col min="9987" max="9987" width="5.42578125" style="519" customWidth="1"/>
    <col min="9988" max="9988" width="105.5703125" style="519" customWidth="1"/>
    <col min="9989" max="9990" width="26.5703125" style="519" customWidth="1"/>
    <col min="9991" max="9992" width="14.7109375" style="519" customWidth="1"/>
    <col min="9993" max="9993" width="18.28515625" style="519" customWidth="1"/>
    <col min="9994" max="9994" width="17.5703125" style="519" customWidth="1"/>
    <col min="9995" max="9995" width="18.28515625" style="519" customWidth="1"/>
    <col min="9996" max="10017" width="0" style="519" hidden="1" customWidth="1"/>
    <col min="10018" max="10241" width="9.28515625" style="519"/>
    <col min="10242" max="10242" width="3.42578125" style="519" customWidth="1"/>
    <col min="10243" max="10243" width="5.42578125" style="519" customWidth="1"/>
    <col min="10244" max="10244" width="105.5703125" style="519" customWidth="1"/>
    <col min="10245" max="10246" width="26.5703125" style="519" customWidth="1"/>
    <col min="10247" max="10248" width="14.7109375" style="519" customWidth="1"/>
    <col min="10249" max="10249" width="18.28515625" style="519" customWidth="1"/>
    <col min="10250" max="10250" width="17.5703125" style="519" customWidth="1"/>
    <col min="10251" max="10251" width="18.28515625" style="519" customWidth="1"/>
    <col min="10252" max="10273" width="0" style="519" hidden="1" customWidth="1"/>
    <col min="10274" max="10497" width="9.28515625" style="519"/>
    <col min="10498" max="10498" width="3.42578125" style="519" customWidth="1"/>
    <col min="10499" max="10499" width="5.42578125" style="519" customWidth="1"/>
    <col min="10500" max="10500" width="105.5703125" style="519" customWidth="1"/>
    <col min="10501" max="10502" width="26.5703125" style="519" customWidth="1"/>
    <col min="10503" max="10504" width="14.7109375" style="519" customWidth="1"/>
    <col min="10505" max="10505" width="18.28515625" style="519" customWidth="1"/>
    <col min="10506" max="10506" width="17.5703125" style="519" customWidth="1"/>
    <col min="10507" max="10507" width="18.28515625" style="519" customWidth="1"/>
    <col min="10508" max="10529" width="0" style="519" hidden="1" customWidth="1"/>
    <col min="10530" max="10753" width="9.28515625" style="519"/>
    <col min="10754" max="10754" width="3.42578125" style="519" customWidth="1"/>
    <col min="10755" max="10755" width="5.42578125" style="519" customWidth="1"/>
    <col min="10756" max="10756" width="105.5703125" style="519" customWidth="1"/>
    <col min="10757" max="10758" width="26.5703125" style="519" customWidth="1"/>
    <col min="10759" max="10760" width="14.7109375" style="519" customWidth="1"/>
    <col min="10761" max="10761" width="18.28515625" style="519" customWidth="1"/>
    <col min="10762" max="10762" width="17.5703125" style="519" customWidth="1"/>
    <col min="10763" max="10763" width="18.28515625" style="519" customWidth="1"/>
    <col min="10764" max="10785" width="0" style="519" hidden="1" customWidth="1"/>
    <col min="10786" max="11009" width="9.28515625" style="519"/>
    <col min="11010" max="11010" width="3.42578125" style="519" customWidth="1"/>
    <col min="11011" max="11011" width="5.42578125" style="519" customWidth="1"/>
    <col min="11012" max="11012" width="105.5703125" style="519" customWidth="1"/>
    <col min="11013" max="11014" width="26.5703125" style="519" customWidth="1"/>
    <col min="11015" max="11016" width="14.7109375" style="519" customWidth="1"/>
    <col min="11017" max="11017" width="18.28515625" style="519" customWidth="1"/>
    <col min="11018" max="11018" width="17.5703125" style="519" customWidth="1"/>
    <col min="11019" max="11019" width="18.28515625" style="519" customWidth="1"/>
    <col min="11020" max="11041" width="0" style="519" hidden="1" customWidth="1"/>
    <col min="11042" max="11265" width="9.28515625" style="519"/>
    <col min="11266" max="11266" width="3.42578125" style="519" customWidth="1"/>
    <col min="11267" max="11267" width="5.42578125" style="519" customWidth="1"/>
    <col min="11268" max="11268" width="105.5703125" style="519" customWidth="1"/>
    <col min="11269" max="11270" width="26.5703125" style="519" customWidth="1"/>
    <col min="11271" max="11272" width="14.7109375" style="519" customWidth="1"/>
    <col min="11273" max="11273" width="18.28515625" style="519" customWidth="1"/>
    <col min="11274" max="11274" width="17.5703125" style="519" customWidth="1"/>
    <col min="11275" max="11275" width="18.28515625" style="519" customWidth="1"/>
    <col min="11276" max="11297" width="0" style="519" hidden="1" customWidth="1"/>
    <col min="11298" max="11521" width="9.28515625" style="519"/>
    <col min="11522" max="11522" width="3.42578125" style="519" customWidth="1"/>
    <col min="11523" max="11523" width="5.42578125" style="519" customWidth="1"/>
    <col min="11524" max="11524" width="105.5703125" style="519" customWidth="1"/>
    <col min="11525" max="11526" width="26.5703125" style="519" customWidth="1"/>
    <col min="11527" max="11528" width="14.7109375" style="519" customWidth="1"/>
    <col min="11529" max="11529" width="18.28515625" style="519" customWidth="1"/>
    <col min="11530" max="11530" width="17.5703125" style="519" customWidth="1"/>
    <col min="11531" max="11531" width="18.28515625" style="519" customWidth="1"/>
    <col min="11532" max="11553" width="0" style="519" hidden="1" customWidth="1"/>
    <col min="11554" max="11777" width="9.28515625" style="519"/>
    <col min="11778" max="11778" width="3.42578125" style="519" customWidth="1"/>
    <col min="11779" max="11779" width="5.42578125" style="519" customWidth="1"/>
    <col min="11780" max="11780" width="105.5703125" style="519" customWidth="1"/>
    <col min="11781" max="11782" width="26.5703125" style="519" customWidth="1"/>
    <col min="11783" max="11784" width="14.7109375" style="519" customWidth="1"/>
    <col min="11785" max="11785" width="18.28515625" style="519" customWidth="1"/>
    <col min="11786" max="11786" width="17.5703125" style="519" customWidth="1"/>
    <col min="11787" max="11787" width="18.28515625" style="519" customWidth="1"/>
    <col min="11788" max="11809" width="0" style="519" hidden="1" customWidth="1"/>
    <col min="11810" max="12033" width="9.28515625" style="519"/>
    <col min="12034" max="12034" width="3.42578125" style="519" customWidth="1"/>
    <col min="12035" max="12035" width="5.42578125" style="519" customWidth="1"/>
    <col min="12036" max="12036" width="105.5703125" style="519" customWidth="1"/>
    <col min="12037" max="12038" width="26.5703125" style="519" customWidth="1"/>
    <col min="12039" max="12040" width="14.7109375" style="519" customWidth="1"/>
    <col min="12041" max="12041" width="18.28515625" style="519" customWidth="1"/>
    <col min="12042" max="12042" width="17.5703125" style="519" customWidth="1"/>
    <col min="12043" max="12043" width="18.28515625" style="519" customWidth="1"/>
    <col min="12044" max="12065" width="0" style="519" hidden="1" customWidth="1"/>
    <col min="12066" max="12289" width="9.28515625" style="519"/>
    <col min="12290" max="12290" width="3.42578125" style="519" customWidth="1"/>
    <col min="12291" max="12291" width="5.42578125" style="519" customWidth="1"/>
    <col min="12292" max="12292" width="105.5703125" style="519" customWidth="1"/>
    <col min="12293" max="12294" width="26.5703125" style="519" customWidth="1"/>
    <col min="12295" max="12296" width="14.7109375" style="519" customWidth="1"/>
    <col min="12297" max="12297" width="18.28515625" style="519" customWidth="1"/>
    <col min="12298" max="12298" width="17.5703125" style="519" customWidth="1"/>
    <col min="12299" max="12299" width="18.28515625" style="519" customWidth="1"/>
    <col min="12300" max="12321" width="0" style="519" hidden="1" customWidth="1"/>
    <col min="12322" max="12545" width="9.28515625" style="519"/>
    <col min="12546" max="12546" width="3.42578125" style="519" customWidth="1"/>
    <col min="12547" max="12547" width="5.42578125" style="519" customWidth="1"/>
    <col min="12548" max="12548" width="105.5703125" style="519" customWidth="1"/>
    <col min="12549" max="12550" width="26.5703125" style="519" customWidth="1"/>
    <col min="12551" max="12552" width="14.7109375" style="519" customWidth="1"/>
    <col min="12553" max="12553" width="18.28515625" style="519" customWidth="1"/>
    <col min="12554" max="12554" width="17.5703125" style="519" customWidth="1"/>
    <col min="12555" max="12555" width="18.28515625" style="519" customWidth="1"/>
    <col min="12556" max="12577" width="0" style="519" hidden="1" customWidth="1"/>
    <col min="12578" max="12801" width="9.28515625" style="519"/>
    <col min="12802" max="12802" width="3.42578125" style="519" customWidth="1"/>
    <col min="12803" max="12803" width="5.42578125" style="519" customWidth="1"/>
    <col min="12804" max="12804" width="105.5703125" style="519" customWidth="1"/>
    <col min="12805" max="12806" width="26.5703125" style="519" customWidth="1"/>
    <col min="12807" max="12808" width="14.7109375" style="519" customWidth="1"/>
    <col min="12809" max="12809" width="18.28515625" style="519" customWidth="1"/>
    <col min="12810" max="12810" width="17.5703125" style="519" customWidth="1"/>
    <col min="12811" max="12811" width="18.28515625" style="519" customWidth="1"/>
    <col min="12812" max="12833" width="0" style="519" hidden="1" customWidth="1"/>
    <col min="12834" max="13057" width="9.28515625" style="519"/>
    <col min="13058" max="13058" width="3.42578125" style="519" customWidth="1"/>
    <col min="13059" max="13059" width="5.42578125" style="519" customWidth="1"/>
    <col min="13060" max="13060" width="105.5703125" style="519" customWidth="1"/>
    <col min="13061" max="13062" width="26.5703125" style="519" customWidth="1"/>
    <col min="13063" max="13064" width="14.7109375" style="519" customWidth="1"/>
    <col min="13065" max="13065" width="18.28515625" style="519" customWidth="1"/>
    <col min="13066" max="13066" width="17.5703125" style="519" customWidth="1"/>
    <col min="13067" max="13067" width="18.28515625" style="519" customWidth="1"/>
    <col min="13068" max="13089" width="0" style="519" hidden="1" customWidth="1"/>
    <col min="13090" max="13313" width="9.28515625" style="519"/>
    <col min="13314" max="13314" width="3.42578125" style="519" customWidth="1"/>
    <col min="13315" max="13315" width="5.42578125" style="519" customWidth="1"/>
    <col min="13316" max="13316" width="105.5703125" style="519" customWidth="1"/>
    <col min="13317" max="13318" width="26.5703125" style="519" customWidth="1"/>
    <col min="13319" max="13320" width="14.7109375" style="519" customWidth="1"/>
    <col min="13321" max="13321" width="18.28515625" style="519" customWidth="1"/>
    <col min="13322" max="13322" width="17.5703125" style="519" customWidth="1"/>
    <col min="13323" max="13323" width="18.28515625" style="519" customWidth="1"/>
    <col min="13324" max="13345" width="0" style="519" hidden="1" customWidth="1"/>
    <col min="13346" max="13569" width="9.28515625" style="519"/>
    <col min="13570" max="13570" width="3.42578125" style="519" customWidth="1"/>
    <col min="13571" max="13571" width="5.42578125" style="519" customWidth="1"/>
    <col min="13572" max="13572" width="105.5703125" style="519" customWidth="1"/>
    <col min="13573" max="13574" width="26.5703125" style="519" customWidth="1"/>
    <col min="13575" max="13576" width="14.7109375" style="519" customWidth="1"/>
    <col min="13577" max="13577" width="18.28515625" style="519" customWidth="1"/>
    <col min="13578" max="13578" width="17.5703125" style="519" customWidth="1"/>
    <col min="13579" max="13579" width="18.28515625" style="519" customWidth="1"/>
    <col min="13580" max="13601" width="0" style="519" hidden="1" customWidth="1"/>
    <col min="13602" max="13825" width="9.28515625" style="519"/>
    <col min="13826" max="13826" width="3.42578125" style="519" customWidth="1"/>
    <col min="13827" max="13827" width="5.42578125" style="519" customWidth="1"/>
    <col min="13828" max="13828" width="105.5703125" style="519" customWidth="1"/>
    <col min="13829" max="13830" width="26.5703125" style="519" customWidth="1"/>
    <col min="13831" max="13832" width="14.7109375" style="519" customWidth="1"/>
    <col min="13833" max="13833" width="18.28515625" style="519" customWidth="1"/>
    <col min="13834" max="13834" width="17.5703125" style="519" customWidth="1"/>
    <col min="13835" max="13835" width="18.28515625" style="519" customWidth="1"/>
    <col min="13836" max="13857" width="0" style="519" hidden="1" customWidth="1"/>
    <col min="13858" max="14081" width="9.28515625" style="519"/>
    <col min="14082" max="14082" width="3.42578125" style="519" customWidth="1"/>
    <col min="14083" max="14083" width="5.42578125" style="519" customWidth="1"/>
    <col min="14084" max="14084" width="105.5703125" style="519" customWidth="1"/>
    <col min="14085" max="14086" width="26.5703125" style="519" customWidth="1"/>
    <col min="14087" max="14088" width="14.7109375" style="519" customWidth="1"/>
    <col min="14089" max="14089" width="18.28515625" style="519" customWidth="1"/>
    <col min="14090" max="14090" width="17.5703125" style="519" customWidth="1"/>
    <col min="14091" max="14091" width="18.28515625" style="519" customWidth="1"/>
    <col min="14092" max="14113" width="0" style="519" hidden="1" customWidth="1"/>
    <col min="14114" max="14337" width="9.28515625" style="519"/>
    <col min="14338" max="14338" width="3.42578125" style="519" customWidth="1"/>
    <col min="14339" max="14339" width="5.42578125" style="519" customWidth="1"/>
    <col min="14340" max="14340" width="105.5703125" style="519" customWidth="1"/>
    <col min="14341" max="14342" width="26.5703125" style="519" customWidth="1"/>
    <col min="14343" max="14344" width="14.7109375" style="519" customWidth="1"/>
    <col min="14345" max="14345" width="18.28515625" style="519" customWidth="1"/>
    <col min="14346" max="14346" width="17.5703125" style="519" customWidth="1"/>
    <col min="14347" max="14347" width="18.28515625" style="519" customWidth="1"/>
    <col min="14348" max="14369" width="0" style="519" hidden="1" customWidth="1"/>
    <col min="14370" max="14593" width="9.28515625" style="519"/>
    <col min="14594" max="14594" width="3.42578125" style="519" customWidth="1"/>
    <col min="14595" max="14595" width="5.42578125" style="519" customWidth="1"/>
    <col min="14596" max="14596" width="105.5703125" style="519" customWidth="1"/>
    <col min="14597" max="14598" width="26.5703125" style="519" customWidth="1"/>
    <col min="14599" max="14600" width="14.7109375" style="519" customWidth="1"/>
    <col min="14601" max="14601" width="18.28515625" style="519" customWidth="1"/>
    <col min="14602" max="14602" width="17.5703125" style="519" customWidth="1"/>
    <col min="14603" max="14603" width="18.28515625" style="519" customWidth="1"/>
    <col min="14604" max="14625" width="0" style="519" hidden="1" customWidth="1"/>
    <col min="14626" max="14849" width="9.28515625" style="519"/>
    <col min="14850" max="14850" width="3.42578125" style="519" customWidth="1"/>
    <col min="14851" max="14851" width="5.42578125" style="519" customWidth="1"/>
    <col min="14852" max="14852" width="105.5703125" style="519" customWidth="1"/>
    <col min="14853" max="14854" width="26.5703125" style="519" customWidth="1"/>
    <col min="14855" max="14856" width="14.7109375" style="519" customWidth="1"/>
    <col min="14857" max="14857" width="18.28515625" style="519" customWidth="1"/>
    <col min="14858" max="14858" width="17.5703125" style="519" customWidth="1"/>
    <col min="14859" max="14859" width="18.28515625" style="519" customWidth="1"/>
    <col min="14860" max="14881" width="0" style="519" hidden="1" customWidth="1"/>
    <col min="14882" max="15105" width="9.28515625" style="519"/>
    <col min="15106" max="15106" width="3.42578125" style="519" customWidth="1"/>
    <col min="15107" max="15107" width="5.42578125" style="519" customWidth="1"/>
    <col min="15108" max="15108" width="105.5703125" style="519" customWidth="1"/>
    <col min="15109" max="15110" width="26.5703125" style="519" customWidth="1"/>
    <col min="15111" max="15112" width="14.7109375" style="519" customWidth="1"/>
    <col min="15113" max="15113" width="18.28515625" style="519" customWidth="1"/>
    <col min="15114" max="15114" width="17.5703125" style="519" customWidth="1"/>
    <col min="15115" max="15115" width="18.28515625" style="519" customWidth="1"/>
    <col min="15116" max="15137" width="0" style="519" hidden="1" customWidth="1"/>
    <col min="15138" max="15361" width="9.28515625" style="519"/>
    <col min="15362" max="15362" width="3.42578125" style="519" customWidth="1"/>
    <col min="15363" max="15363" width="5.42578125" style="519" customWidth="1"/>
    <col min="15364" max="15364" width="105.5703125" style="519" customWidth="1"/>
    <col min="15365" max="15366" width="26.5703125" style="519" customWidth="1"/>
    <col min="15367" max="15368" width="14.7109375" style="519" customWidth="1"/>
    <col min="15369" max="15369" width="18.28515625" style="519" customWidth="1"/>
    <col min="15370" max="15370" width="17.5703125" style="519" customWidth="1"/>
    <col min="15371" max="15371" width="18.28515625" style="519" customWidth="1"/>
    <col min="15372" max="15393" width="0" style="519" hidden="1" customWidth="1"/>
    <col min="15394" max="15617" width="9.28515625" style="519"/>
    <col min="15618" max="15618" width="3.42578125" style="519" customWidth="1"/>
    <col min="15619" max="15619" width="5.42578125" style="519" customWidth="1"/>
    <col min="15620" max="15620" width="105.5703125" style="519" customWidth="1"/>
    <col min="15621" max="15622" width="26.5703125" style="519" customWidth="1"/>
    <col min="15623" max="15624" width="14.7109375" style="519" customWidth="1"/>
    <col min="15625" max="15625" width="18.28515625" style="519" customWidth="1"/>
    <col min="15626" max="15626" width="17.5703125" style="519" customWidth="1"/>
    <col min="15627" max="15627" width="18.28515625" style="519" customWidth="1"/>
    <col min="15628" max="15649" width="0" style="519" hidden="1" customWidth="1"/>
    <col min="15650" max="15873" width="9.28515625" style="519"/>
    <col min="15874" max="15874" width="3.42578125" style="519" customWidth="1"/>
    <col min="15875" max="15875" width="5.42578125" style="519" customWidth="1"/>
    <col min="15876" max="15876" width="105.5703125" style="519" customWidth="1"/>
    <col min="15877" max="15878" width="26.5703125" style="519" customWidth="1"/>
    <col min="15879" max="15880" width="14.7109375" style="519" customWidth="1"/>
    <col min="15881" max="15881" width="18.28515625" style="519" customWidth="1"/>
    <col min="15882" max="15882" width="17.5703125" style="519" customWidth="1"/>
    <col min="15883" max="15883" width="18.28515625" style="519" customWidth="1"/>
    <col min="15884" max="15905" width="0" style="519" hidden="1" customWidth="1"/>
    <col min="15906" max="16129" width="9.28515625" style="519"/>
    <col min="16130" max="16130" width="3.42578125" style="519" customWidth="1"/>
    <col min="16131" max="16131" width="5.42578125" style="519" customWidth="1"/>
    <col min="16132" max="16132" width="105.5703125" style="519" customWidth="1"/>
    <col min="16133" max="16134" width="26.5703125" style="519" customWidth="1"/>
    <col min="16135" max="16136" width="14.7109375" style="519" customWidth="1"/>
    <col min="16137" max="16137" width="18.28515625" style="519" customWidth="1"/>
    <col min="16138" max="16138" width="17.5703125" style="519" customWidth="1"/>
    <col min="16139" max="16139" width="18.28515625" style="519" customWidth="1"/>
    <col min="16140" max="16161" width="0" style="519" hidden="1" customWidth="1"/>
    <col min="16162" max="16384" width="9.28515625" style="519"/>
  </cols>
  <sheetData>
    <row r="2" spans="2:33" ht="32.25" customHeight="1" x14ac:dyDescent="0.2">
      <c r="B2" s="1289" t="s">
        <v>1038</v>
      </c>
      <c r="C2" s="1289"/>
      <c r="D2" s="1289"/>
      <c r="E2" s="1289"/>
      <c r="F2" s="1289"/>
      <c r="H2" s="521" t="s">
        <v>1039</v>
      </c>
      <c r="I2" s="522" t="s">
        <v>1040</v>
      </c>
      <c r="J2" s="522" t="s">
        <v>1041</v>
      </c>
      <c r="K2" s="522" t="s">
        <v>1042</v>
      </c>
      <c r="L2" s="521" t="s">
        <v>1043</v>
      </c>
      <c r="M2" s="521" t="s">
        <v>1044</v>
      </c>
      <c r="N2" s="521" t="s">
        <v>1045</v>
      </c>
      <c r="O2" s="521" t="s">
        <v>1046</v>
      </c>
      <c r="P2" s="521" t="s">
        <v>1047</v>
      </c>
      <c r="Q2" s="521" t="s">
        <v>1048</v>
      </c>
      <c r="R2" s="521" t="s">
        <v>1049</v>
      </c>
      <c r="S2" s="521" t="s">
        <v>1050</v>
      </c>
      <c r="T2" s="521" t="s">
        <v>1051</v>
      </c>
      <c r="U2" s="521" t="s">
        <v>1052</v>
      </c>
      <c r="V2" s="521" t="s">
        <v>1053</v>
      </c>
      <c r="W2" s="521" t="s">
        <v>1054</v>
      </c>
      <c r="X2" s="521" t="s">
        <v>1055</v>
      </c>
      <c r="Y2" s="521" t="s">
        <v>1056</v>
      </c>
      <c r="Z2" s="521" t="s">
        <v>1057</v>
      </c>
      <c r="AA2" s="521" t="s">
        <v>1058</v>
      </c>
      <c r="AB2" s="521" t="s">
        <v>1059</v>
      </c>
      <c r="AC2" s="521" t="s">
        <v>1060</v>
      </c>
      <c r="AD2" s="521" t="s">
        <v>1061</v>
      </c>
      <c r="AE2" s="521" t="s">
        <v>1062</v>
      </c>
      <c r="AF2" s="521" t="s">
        <v>1063</v>
      </c>
      <c r="AG2" s="521" t="s">
        <v>1064</v>
      </c>
    </row>
    <row r="3" spans="2:33" s="523" customFormat="1" ht="38.25" customHeight="1" x14ac:dyDescent="0.2">
      <c r="B3" s="524"/>
      <c r="C3" s="524"/>
      <c r="D3" s="524" t="s">
        <v>1065</v>
      </c>
      <c r="E3" s="525" t="s">
        <v>1066</v>
      </c>
      <c r="F3" s="525" t="s">
        <v>1067</v>
      </c>
      <c r="G3" s="526"/>
      <c r="H3" s="526"/>
      <c r="I3" s="526"/>
      <c r="J3" s="526"/>
      <c r="K3" s="527" t="s">
        <v>1068</v>
      </c>
      <c r="L3" s="528" t="s">
        <v>1069</v>
      </c>
      <c r="M3" s="526"/>
      <c r="N3" s="526"/>
      <c r="O3" s="526"/>
      <c r="P3" s="526"/>
      <c r="Q3" s="526"/>
      <c r="R3" s="526"/>
      <c r="S3" s="526"/>
      <c r="T3" s="526"/>
      <c r="U3" s="526"/>
      <c r="V3" s="526"/>
      <c r="W3" s="526"/>
      <c r="X3" s="526"/>
      <c r="Y3" s="526"/>
      <c r="Z3" s="526"/>
      <c r="AA3" s="526"/>
      <c r="AB3" s="526"/>
      <c r="AC3" s="526"/>
      <c r="AG3" s="526"/>
    </row>
    <row r="4" spans="2:33" s="531" customFormat="1" ht="32.25" customHeight="1" outlineLevel="1" x14ac:dyDescent="0.2">
      <c r="B4" s="529" t="s">
        <v>1070</v>
      </c>
      <c r="C4" s="530" t="s">
        <v>1071</v>
      </c>
      <c r="D4" s="533" t="s">
        <v>1073</v>
      </c>
      <c r="E4" s="534">
        <v>495000</v>
      </c>
      <c r="F4" s="535" t="s">
        <v>1074</v>
      </c>
      <c r="G4" s="536"/>
      <c r="H4" s="536"/>
      <c r="I4" s="536"/>
      <c r="J4" s="537">
        <v>495000</v>
      </c>
      <c r="K4" s="538"/>
      <c r="L4" s="536"/>
      <c r="M4" s="539"/>
      <c r="N4" s="540" t="s">
        <v>1075</v>
      </c>
      <c r="O4" s="536"/>
      <c r="P4" s="536"/>
      <c r="Q4" s="536"/>
      <c r="R4" s="541" t="s">
        <v>1076</v>
      </c>
      <c r="S4" s="536"/>
      <c r="T4" s="536"/>
      <c r="U4" s="536"/>
      <c r="V4" s="536"/>
      <c r="W4" s="536"/>
      <c r="X4" s="536"/>
      <c r="Y4" s="536"/>
      <c r="Z4" s="542" t="s">
        <v>1077</v>
      </c>
      <c r="AA4" s="536"/>
      <c r="AB4" s="536"/>
      <c r="AC4" s="536"/>
      <c r="AG4" s="536"/>
    </row>
    <row r="5" spans="2:33" s="531" customFormat="1" ht="18.75" outlineLevel="2" x14ac:dyDescent="0.2">
      <c r="B5" s="532"/>
      <c r="C5" s="532"/>
      <c r="D5" s="532" t="s">
        <v>1078</v>
      </c>
      <c r="E5" s="534">
        <v>247000</v>
      </c>
      <c r="F5" s="535" t="s">
        <v>1074</v>
      </c>
      <c r="G5" s="536"/>
      <c r="H5" s="536"/>
      <c r="I5" s="536"/>
      <c r="J5" s="537">
        <f>J4*50%+150</f>
        <v>247650</v>
      </c>
      <c r="K5" s="538"/>
      <c r="L5" s="536"/>
      <c r="M5" s="536"/>
      <c r="N5" s="536"/>
      <c r="O5" s="536"/>
      <c r="P5" s="536"/>
      <c r="Q5" s="536"/>
      <c r="R5" s="536"/>
      <c r="S5" s="536"/>
      <c r="T5" s="536"/>
      <c r="U5" s="536"/>
      <c r="V5" s="536"/>
      <c r="W5" s="536"/>
      <c r="X5" s="536"/>
      <c r="Y5" s="536"/>
      <c r="Z5" s="536"/>
      <c r="AA5" s="536"/>
      <c r="AB5" s="536"/>
      <c r="AC5" s="536"/>
      <c r="AG5" s="536"/>
    </row>
    <row r="6" spans="2:33" s="531" customFormat="1" ht="15.75" outlineLevel="2" x14ac:dyDescent="0.2">
      <c r="B6" s="532"/>
      <c r="C6" s="532"/>
      <c r="D6" s="533" t="s">
        <v>1079</v>
      </c>
      <c r="E6" s="534">
        <v>120000</v>
      </c>
      <c r="F6" s="535" t="s">
        <v>1080</v>
      </c>
      <c r="G6" s="536"/>
      <c r="H6" s="536"/>
      <c r="I6" s="536"/>
      <c r="J6" s="537">
        <v>120000</v>
      </c>
      <c r="K6" s="538"/>
      <c r="L6" s="536"/>
      <c r="M6" s="536"/>
      <c r="N6" s="536"/>
      <c r="O6" s="536"/>
      <c r="P6" s="536"/>
      <c r="Q6" s="536"/>
      <c r="R6" s="537" t="s">
        <v>1081</v>
      </c>
      <c r="S6" s="536"/>
      <c r="T6" s="536"/>
      <c r="U6" s="536"/>
      <c r="V6" s="536"/>
      <c r="W6" s="536"/>
      <c r="X6" s="536"/>
      <c r="Y6" s="536"/>
      <c r="Z6" s="536"/>
      <c r="AA6" s="536"/>
      <c r="AB6" s="536"/>
      <c r="AC6" s="536"/>
      <c r="AG6" s="536"/>
    </row>
    <row r="7" spans="2:33" s="531" customFormat="1" ht="36" customHeight="1" outlineLevel="2" x14ac:dyDescent="0.2">
      <c r="B7" s="532"/>
      <c r="C7" s="532"/>
      <c r="D7" s="533" t="s">
        <v>1082</v>
      </c>
      <c r="E7" s="543">
        <v>44400</v>
      </c>
      <c r="F7" s="535" t="s">
        <v>1083</v>
      </c>
      <c r="G7" s="536"/>
      <c r="H7" s="536"/>
      <c r="I7" s="536"/>
      <c r="J7" s="537">
        <v>44400</v>
      </c>
      <c r="K7" s="538"/>
      <c r="L7" s="536"/>
      <c r="M7" s="539"/>
      <c r="N7" s="540" t="s">
        <v>1075</v>
      </c>
      <c r="O7" s="536"/>
      <c r="P7" s="536"/>
      <c r="Q7" s="537" t="s">
        <v>1081</v>
      </c>
      <c r="R7" s="536"/>
      <c r="S7" s="536"/>
      <c r="T7" s="536"/>
      <c r="U7" s="536"/>
      <c r="V7" s="536"/>
      <c r="W7" s="536"/>
      <c r="X7" s="536"/>
      <c r="Y7" s="536"/>
      <c r="Z7" s="536"/>
      <c r="AA7" s="536"/>
      <c r="AB7" s="536"/>
      <c r="AC7" s="536"/>
      <c r="AG7" s="536"/>
    </row>
    <row r="8" spans="2:33" s="531" customFormat="1" ht="17.100000000000001" customHeight="1" outlineLevel="2" x14ac:dyDescent="0.2">
      <c r="B8" s="532"/>
      <c r="C8" s="532"/>
      <c r="D8" s="533" t="s">
        <v>1084</v>
      </c>
      <c r="E8" s="543">
        <v>120000</v>
      </c>
      <c r="F8" s="535" t="s">
        <v>1085</v>
      </c>
      <c r="G8" s="544"/>
      <c r="H8" s="544"/>
      <c r="I8" s="544"/>
      <c r="J8" s="537">
        <v>120000</v>
      </c>
      <c r="K8" s="538"/>
      <c r="L8" s="544"/>
      <c r="M8" s="539"/>
      <c r="N8" s="540" t="s">
        <v>1075</v>
      </c>
      <c r="O8" s="544"/>
      <c r="P8" s="544"/>
      <c r="Q8" s="537" t="s">
        <v>1081</v>
      </c>
      <c r="R8" s="544"/>
      <c r="S8" s="544"/>
      <c r="T8" s="544"/>
      <c r="U8" s="544"/>
      <c r="V8" s="544"/>
      <c r="W8" s="544"/>
      <c r="X8" s="544"/>
      <c r="Y8" s="544"/>
      <c r="Z8" s="544"/>
      <c r="AA8" s="544"/>
      <c r="AB8" s="544"/>
      <c r="AC8" s="542"/>
      <c r="AD8" s="542"/>
      <c r="AG8" s="544"/>
    </row>
    <row r="9" spans="2:33" s="531" customFormat="1" ht="18.75" customHeight="1" outlineLevel="2" x14ac:dyDescent="0.2">
      <c r="B9" s="532"/>
      <c r="C9" s="545"/>
      <c r="D9" s="545" t="s">
        <v>1086</v>
      </c>
      <c r="E9" s="546">
        <v>55600</v>
      </c>
      <c r="F9" s="547" t="s">
        <v>1087</v>
      </c>
      <c r="G9" s="544"/>
      <c r="H9" s="544"/>
      <c r="I9" s="544"/>
      <c r="J9" s="538"/>
      <c r="K9" s="540" t="s">
        <v>1088</v>
      </c>
      <c r="L9" s="544"/>
      <c r="M9" s="544"/>
      <c r="N9" s="544"/>
      <c r="O9" s="544"/>
      <c r="P9" s="544"/>
      <c r="Q9" s="544"/>
      <c r="R9" s="544"/>
      <c r="S9" s="544"/>
      <c r="T9" s="544"/>
      <c r="U9" s="544"/>
      <c r="V9" s="544"/>
      <c r="W9" s="544"/>
      <c r="X9" s="544"/>
      <c r="Y9" s="544"/>
      <c r="Z9" s="544"/>
      <c r="AA9" s="544"/>
      <c r="AB9" s="544"/>
      <c r="AC9" s="542"/>
      <c r="AG9" s="544"/>
    </row>
    <row r="10" spans="2:33" s="531" customFormat="1" ht="32.25" customHeight="1" outlineLevel="2" x14ac:dyDescent="0.2">
      <c r="B10" s="532"/>
      <c r="C10" s="545"/>
      <c r="D10" s="545" t="s">
        <v>1089</v>
      </c>
      <c r="E10" s="546">
        <v>99900</v>
      </c>
      <c r="F10" s="547" t="s">
        <v>1090</v>
      </c>
      <c r="G10" s="544"/>
      <c r="H10" s="544"/>
      <c r="I10" s="544"/>
      <c r="J10" s="538"/>
      <c r="K10" s="540" t="s">
        <v>1088</v>
      </c>
      <c r="L10" s="544"/>
      <c r="M10" s="544"/>
      <c r="N10" s="544"/>
      <c r="O10" s="544"/>
      <c r="P10" s="544"/>
      <c r="Q10" s="544"/>
      <c r="R10" s="544"/>
      <c r="S10" s="544"/>
      <c r="T10" s="544"/>
      <c r="U10" s="544"/>
      <c r="V10" s="544"/>
      <c r="W10" s="544"/>
      <c r="X10" s="544"/>
      <c r="Y10" s="544"/>
      <c r="Z10" s="544"/>
      <c r="AA10" s="544"/>
      <c r="AB10" s="544"/>
      <c r="AC10" s="542"/>
      <c r="AG10" s="544"/>
    </row>
    <row r="11" spans="2:33" s="531" customFormat="1" ht="46.5" customHeight="1" outlineLevel="2" x14ac:dyDescent="0.2">
      <c r="B11" s="532"/>
      <c r="C11" s="545"/>
      <c r="D11" s="548" t="s">
        <v>1091</v>
      </c>
      <c r="E11" s="549">
        <f>690/30</f>
        <v>23</v>
      </c>
      <c r="F11" s="550"/>
      <c r="G11" s="544"/>
      <c r="H11" s="551" t="s">
        <v>1092</v>
      </c>
      <c r="I11" s="544"/>
      <c r="J11" s="538"/>
      <c r="K11" s="540"/>
      <c r="L11" s="544"/>
      <c r="M11" s="544"/>
      <c r="N11" s="544"/>
      <c r="O11" s="544"/>
      <c r="P11" s="544"/>
      <c r="Q11" s="544"/>
      <c r="R11" s="544"/>
      <c r="S11" s="544"/>
      <c r="T11" s="544"/>
      <c r="U11" s="544"/>
      <c r="V11" s="544"/>
      <c r="W11" s="544"/>
      <c r="X11" s="544"/>
      <c r="Y11" s="544"/>
      <c r="Z11" s="544"/>
      <c r="AA11" s="544"/>
      <c r="AB11" s="544"/>
      <c r="AC11" s="542"/>
      <c r="AG11" s="544"/>
    </row>
    <row r="12" spans="2:33" s="531" customFormat="1" ht="46.5" customHeight="1" outlineLevel="2" x14ac:dyDescent="0.2">
      <c r="B12" s="532"/>
      <c r="C12" s="545"/>
      <c r="D12" s="548" t="s">
        <v>1093</v>
      </c>
      <c r="E12" s="549">
        <f>690*2/30</f>
        <v>46</v>
      </c>
      <c r="F12" s="550"/>
      <c r="G12" s="544"/>
      <c r="H12" s="551" t="s">
        <v>1092</v>
      </c>
      <c r="I12" s="544"/>
      <c r="J12" s="538"/>
      <c r="K12" s="540"/>
      <c r="L12" s="544"/>
      <c r="M12" s="544"/>
      <c r="N12" s="544"/>
      <c r="O12" s="544"/>
      <c r="P12" s="544"/>
      <c r="Q12" s="544"/>
      <c r="R12" s="544"/>
      <c r="S12" s="544"/>
      <c r="T12" s="544"/>
      <c r="U12" s="544"/>
      <c r="V12" s="544"/>
      <c r="W12" s="544"/>
      <c r="X12" s="544"/>
      <c r="Y12" s="544"/>
      <c r="Z12" s="544"/>
      <c r="AA12" s="544"/>
      <c r="AB12" s="544"/>
      <c r="AC12" s="542"/>
      <c r="AG12" s="544"/>
    </row>
    <row r="13" spans="2:33" s="531" customFormat="1" ht="18.75" outlineLevel="2" x14ac:dyDescent="0.2">
      <c r="B13" s="532"/>
      <c r="C13" s="545"/>
      <c r="D13" s="552" t="s">
        <v>1094</v>
      </c>
      <c r="E13" s="543">
        <v>131000</v>
      </c>
      <c r="F13" s="535" t="s">
        <v>1095</v>
      </c>
      <c r="G13" s="544"/>
      <c r="H13" s="544"/>
      <c r="I13" s="544"/>
      <c r="J13" s="538"/>
      <c r="K13" s="538"/>
      <c r="L13" s="544"/>
      <c r="M13" s="544"/>
      <c r="N13" s="544"/>
      <c r="O13" s="544"/>
      <c r="P13" s="544"/>
      <c r="Q13" s="544"/>
      <c r="R13" s="544"/>
      <c r="S13" s="544"/>
      <c r="T13" s="544"/>
      <c r="U13" s="544"/>
      <c r="V13" s="544"/>
      <c r="W13" s="544"/>
      <c r="X13" s="544"/>
      <c r="Y13" s="544"/>
      <c r="Z13" s="544"/>
      <c r="AA13" s="544"/>
      <c r="AB13" s="544"/>
      <c r="AC13" s="542"/>
      <c r="AG13" s="544"/>
    </row>
    <row r="14" spans="2:33" s="531" customFormat="1" ht="31.5" outlineLevel="2" x14ac:dyDescent="0.2">
      <c r="B14" s="532"/>
      <c r="C14" s="545"/>
      <c r="D14" s="545" t="s">
        <v>1096</v>
      </c>
      <c r="E14" s="554">
        <v>4500</v>
      </c>
      <c r="F14" s="555" t="s">
        <v>1097</v>
      </c>
      <c r="G14" s="544"/>
      <c r="H14" s="544"/>
      <c r="I14" s="544"/>
      <c r="J14" s="538"/>
      <c r="K14" s="556"/>
      <c r="L14" s="540" t="s">
        <v>1098</v>
      </c>
      <c r="M14" s="544"/>
      <c r="N14" s="544"/>
      <c r="O14" s="544"/>
      <c r="P14" s="544"/>
      <c r="Q14" s="544"/>
      <c r="R14" s="544"/>
      <c r="S14" s="544"/>
      <c r="T14" s="544"/>
      <c r="U14" s="544"/>
      <c r="V14" s="544"/>
      <c r="W14" s="544"/>
      <c r="X14" s="544"/>
      <c r="Y14" s="544"/>
      <c r="Z14" s="544"/>
      <c r="AA14" s="544"/>
      <c r="AB14" s="544"/>
      <c r="AC14" s="542"/>
      <c r="AG14" s="544"/>
    </row>
    <row r="15" spans="2:33" s="531" customFormat="1" ht="15.75" outlineLevel="2" x14ac:dyDescent="0.2">
      <c r="B15" s="532"/>
      <c r="C15" s="532"/>
      <c r="D15" s="532" t="s">
        <v>1099</v>
      </c>
      <c r="E15" s="557">
        <v>42500</v>
      </c>
      <c r="F15" s="558" t="s">
        <v>1100</v>
      </c>
      <c r="G15" s="536"/>
      <c r="H15" s="536"/>
      <c r="I15" s="536"/>
      <c r="J15" s="538"/>
      <c r="K15" s="559"/>
      <c r="L15" s="540" t="s">
        <v>1101</v>
      </c>
      <c r="M15" s="536"/>
      <c r="N15" s="536"/>
      <c r="O15" s="536"/>
      <c r="P15" s="536"/>
      <c r="Q15" s="536"/>
      <c r="R15" s="536"/>
      <c r="S15" s="536"/>
      <c r="T15" s="536"/>
      <c r="U15" s="536"/>
      <c r="V15" s="536"/>
      <c r="W15" s="536"/>
      <c r="X15" s="536"/>
      <c r="Y15" s="536"/>
      <c r="Z15" s="536"/>
      <c r="AA15" s="536"/>
      <c r="AB15" s="536"/>
      <c r="AC15" s="536"/>
      <c r="AG15" s="536"/>
    </row>
    <row r="16" spans="2:33" s="531" customFormat="1" ht="19.5" customHeight="1" outlineLevel="2" x14ac:dyDescent="0.2">
      <c r="B16" s="532"/>
      <c r="C16" s="532"/>
      <c r="D16" s="532" t="s">
        <v>1102</v>
      </c>
      <c r="E16" s="557">
        <v>220700</v>
      </c>
      <c r="F16" s="558" t="s">
        <v>1103</v>
      </c>
      <c r="G16" s="536"/>
      <c r="H16" s="536"/>
      <c r="I16" s="536"/>
      <c r="J16" s="538"/>
      <c r="K16" s="559"/>
      <c r="L16" s="540" t="s">
        <v>1101</v>
      </c>
      <c r="M16" s="536"/>
      <c r="N16" s="536"/>
      <c r="O16" s="536"/>
      <c r="P16" s="536"/>
      <c r="Q16" s="536"/>
      <c r="R16" s="536"/>
      <c r="S16" s="536"/>
      <c r="T16" s="536"/>
      <c r="U16" s="536"/>
      <c r="V16" s="536"/>
      <c r="W16" s="536"/>
      <c r="X16" s="536"/>
      <c r="Y16" s="542" t="s">
        <v>1104</v>
      </c>
      <c r="Z16" s="536"/>
      <c r="AA16" s="536"/>
      <c r="AB16" s="536"/>
      <c r="AC16" s="536"/>
      <c r="AG16" s="536"/>
    </row>
    <row r="17" spans="2:33" s="531" customFormat="1" ht="15.75" outlineLevel="2" x14ac:dyDescent="0.2">
      <c r="B17" s="532"/>
      <c r="C17" s="532"/>
      <c r="D17" s="560" t="s">
        <v>1105</v>
      </c>
      <c r="E17" s="557">
        <v>432000</v>
      </c>
      <c r="F17" s="535" t="s">
        <v>1106</v>
      </c>
      <c r="G17" s="536"/>
      <c r="H17" s="536"/>
      <c r="I17" s="536"/>
      <c r="J17" s="538"/>
      <c r="K17" s="559"/>
      <c r="L17" s="540" t="s">
        <v>1101</v>
      </c>
      <c r="M17" s="536"/>
      <c r="N17" s="536"/>
      <c r="O17" s="536"/>
      <c r="P17" s="536"/>
      <c r="Q17" s="536"/>
      <c r="R17" s="541" t="s">
        <v>1107</v>
      </c>
      <c r="S17" s="536"/>
      <c r="T17" s="536"/>
      <c r="U17" s="536"/>
      <c r="V17" s="536"/>
      <c r="W17" s="536"/>
      <c r="X17" s="536"/>
      <c r="Y17" s="536"/>
      <c r="Z17" s="536"/>
      <c r="AA17" s="536"/>
      <c r="AB17" s="536"/>
      <c r="AC17" s="536"/>
      <c r="AG17" s="536"/>
    </row>
    <row r="18" spans="2:33" s="531" customFormat="1" ht="31.5" outlineLevel="2" x14ac:dyDescent="0.2">
      <c r="B18" s="532"/>
      <c r="C18" s="532"/>
      <c r="D18" s="532" t="s">
        <v>1108</v>
      </c>
      <c r="E18" s="557">
        <v>768000</v>
      </c>
      <c r="F18" s="535" t="s">
        <v>1109</v>
      </c>
      <c r="G18" s="536"/>
      <c r="H18" s="536"/>
      <c r="I18" s="536"/>
      <c r="J18" s="538"/>
      <c r="K18" s="559"/>
      <c r="L18" s="540" t="s">
        <v>1101</v>
      </c>
      <c r="M18" s="536"/>
      <c r="N18" s="536"/>
      <c r="O18" s="536"/>
      <c r="P18" s="536"/>
      <c r="Q18" s="536"/>
      <c r="R18" s="541" t="s">
        <v>1110</v>
      </c>
      <c r="S18" s="561"/>
      <c r="T18" s="536"/>
      <c r="U18" s="536"/>
      <c r="V18" s="536"/>
      <c r="W18" s="536"/>
      <c r="X18" s="536"/>
      <c r="Y18" s="536"/>
      <c r="Z18" s="536"/>
      <c r="AA18" s="536"/>
      <c r="AB18" s="536"/>
      <c r="AC18" s="536"/>
      <c r="AG18" s="536"/>
    </row>
    <row r="19" spans="2:33" s="531" customFormat="1" ht="18.75" customHeight="1" outlineLevel="2" x14ac:dyDescent="0.2">
      <c r="B19" s="532"/>
      <c r="C19" s="545"/>
      <c r="D19" s="545" t="s">
        <v>1111</v>
      </c>
      <c r="E19" s="562">
        <v>17400</v>
      </c>
      <c r="F19" s="555" t="s">
        <v>1112</v>
      </c>
      <c r="G19" s="544"/>
      <c r="H19" s="544"/>
      <c r="I19" s="544"/>
      <c r="J19" s="538"/>
      <c r="K19" s="564"/>
      <c r="L19" s="544"/>
      <c r="M19" s="539"/>
      <c r="N19" s="540" t="s">
        <v>1088</v>
      </c>
      <c r="O19" s="544"/>
      <c r="P19" s="544"/>
      <c r="Q19" s="544"/>
      <c r="R19" s="544"/>
      <c r="S19" s="544"/>
      <c r="T19" s="544"/>
      <c r="U19" s="544"/>
      <c r="V19" s="544"/>
      <c r="W19" s="544"/>
      <c r="X19" s="544"/>
      <c r="Y19" s="544"/>
      <c r="Z19" s="544"/>
      <c r="AA19" s="544"/>
      <c r="AB19" s="544"/>
      <c r="AC19" s="542"/>
      <c r="AG19" s="544"/>
    </row>
    <row r="20" spans="2:33" s="531" customFormat="1" ht="31.5" outlineLevel="2" x14ac:dyDescent="0.2">
      <c r="B20" s="565"/>
      <c r="C20" s="565"/>
      <c r="D20" s="532" t="s">
        <v>1113</v>
      </c>
      <c r="E20" s="557">
        <v>2757600</v>
      </c>
      <c r="F20" s="535" t="s">
        <v>1114</v>
      </c>
      <c r="G20" s="536"/>
      <c r="H20" s="536"/>
      <c r="I20" s="536"/>
      <c r="J20" s="538"/>
      <c r="K20" s="559"/>
      <c r="L20" s="540" t="s">
        <v>1101</v>
      </c>
      <c r="M20" s="536"/>
      <c r="N20" s="536"/>
      <c r="O20" s="536"/>
      <c r="P20" s="536"/>
      <c r="Q20" s="536"/>
      <c r="R20" s="541" t="s">
        <v>1115</v>
      </c>
      <c r="S20" s="536"/>
      <c r="T20" s="536"/>
      <c r="U20" s="536"/>
      <c r="V20" s="536"/>
      <c r="W20" s="566" t="s">
        <v>1054</v>
      </c>
      <c r="X20" s="536"/>
      <c r="Y20" s="536"/>
      <c r="Z20" s="542"/>
      <c r="AA20" s="536"/>
      <c r="AB20" s="536"/>
      <c r="AC20" s="536"/>
      <c r="AG20" s="536"/>
    </row>
    <row r="21" spans="2:33" s="531" customFormat="1" ht="31.5" outlineLevel="2" x14ac:dyDescent="0.2">
      <c r="B21" s="565"/>
      <c r="C21" s="565"/>
      <c r="D21" s="532" t="s">
        <v>1116</v>
      </c>
      <c r="E21" s="557">
        <v>144000</v>
      </c>
      <c r="F21" s="535" t="s">
        <v>1117</v>
      </c>
      <c r="G21" s="536"/>
      <c r="H21" s="536"/>
      <c r="I21" s="536"/>
      <c r="J21" s="538"/>
      <c r="K21" s="559"/>
      <c r="L21" s="540" t="s">
        <v>1101</v>
      </c>
      <c r="M21" s="536"/>
      <c r="N21" s="536"/>
      <c r="O21" s="536"/>
      <c r="P21" s="536"/>
      <c r="Q21" s="536"/>
      <c r="R21" s="541" t="s">
        <v>1118</v>
      </c>
      <c r="S21" s="536"/>
      <c r="T21" s="536"/>
      <c r="U21" s="536"/>
      <c r="V21" s="536"/>
      <c r="W21" s="566" t="s">
        <v>1054</v>
      </c>
      <c r="X21" s="536"/>
      <c r="Y21" s="536"/>
      <c r="Z21" s="542"/>
      <c r="AA21" s="536"/>
      <c r="AB21" s="536"/>
      <c r="AC21" s="536"/>
      <c r="AG21" s="536"/>
    </row>
    <row r="22" spans="2:33" s="531" customFormat="1" ht="15.75" outlineLevel="2" x14ac:dyDescent="0.2">
      <c r="B22" s="565"/>
      <c r="C22" s="565"/>
      <c r="D22" s="532" t="s">
        <v>1119</v>
      </c>
      <c r="E22" s="567">
        <v>1610000</v>
      </c>
      <c r="F22" s="535" t="s">
        <v>1120</v>
      </c>
      <c r="G22" s="536"/>
      <c r="H22" s="536"/>
      <c r="I22" s="536"/>
      <c r="J22" s="538"/>
      <c r="K22" s="564"/>
      <c r="L22" s="536"/>
      <c r="M22" s="536"/>
      <c r="N22" s="536"/>
      <c r="O22" s="536"/>
      <c r="P22" s="536"/>
      <c r="Q22" s="536"/>
      <c r="R22" s="537" t="s">
        <v>1081</v>
      </c>
      <c r="S22" s="536"/>
      <c r="T22" s="536"/>
      <c r="U22" s="536"/>
      <c r="V22" s="536"/>
      <c r="W22" s="566"/>
      <c r="X22" s="536"/>
      <c r="Y22" s="536"/>
      <c r="Z22" s="542"/>
      <c r="AA22" s="536"/>
      <c r="AB22" s="536"/>
      <c r="AC22" s="536"/>
      <c r="AG22" s="536"/>
    </row>
    <row r="23" spans="2:33" s="531" customFormat="1" ht="40.5" x14ac:dyDescent="0.2">
      <c r="B23" s="529" t="s">
        <v>1122</v>
      </c>
      <c r="C23" s="530" t="s">
        <v>1123</v>
      </c>
      <c r="D23" s="616"/>
      <c r="E23" s="529" t="s">
        <v>1124</v>
      </c>
      <c r="F23" s="529" t="s">
        <v>299</v>
      </c>
      <c r="G23" s="536"/>
      <c r="H23" s="536"/>
      <c r="I23" s="536"/>
      <c r="J23" s="536"/>
      <c r="K23" s="536"/>
      <c r="L23" s="536"/>
      <c r="M23" s="536"/>
      <c r="N23" s="536"/>
      <c r="O23" s="536"/>
      <c r="P23" s="536"/>
      <c r="Q23" s="536"/>
      <c r="R23" s="536"/>
      <c r="S23" s="536"/>
      <c r="T23" s="536"/>
      <c r="U23" s="536"/>
      <c r="V23" s="536"/>
      <c r="W23" s="536"/>
      <c r="X23" s="536"/>
      <c r="Y23" s="536"/>
      <c r="Z23" s="536"/>
      <c r="AA23" s="536"/>
      <c r="AB23" s="536"/>
      <c r="AC23" s="536"/>
      <c r="AG23" s="536"/>
    </row>
    <row r="24" spans="2:33" ht="31.5" outlineLevel="1" x14ac:dyDescent="0.2">
      <c r="B24" s="532">
        <v>1</v>
      </c>
      <c r="C24" s="568" t="s">
        <v>1125</v>
      </c>
      <c r="D24" s="532" t="s">
        <v>1126</v>
      </c>
      <c r="E24" s="569" t="s">
        <v>1127</v>
      </c>
      <c r="F24" s="570" t="s">
        <v>299</v>
      </c>
    </row>
    <row r="25" spans="2:33" ht="15.75" outlineLevel="2" x14ac:dyDescent="0.2">
      <c r="B25" s="532">
        <v>2</v>
      </c>
      <c r="C25" s="532"/>
      <c r="D25" s="560" t="s">
        <v>1128</v>
      </c>
      <c r="E25" s="567">
        <v>220000</v>
      </c>
      <c r="F25" s="563"/>
      <c r="M25" s="540" t="s">
        <v>1129</v>
      </c>
      <c r="V25" s="571" t="s">
        <v>1130</v>
      </c>
      <c r="AE25" s="572"/>
    </row>
    <row r="26" spans="2:33" ht="20.100000000000001" customHeight="1" outlineLevel="2" x14ac:dyDescent="0.2">
      <c r="B26" s="532">
        <v>3</v>
      </c>
      <c r="C26" s="532"/>
      <c r="D26" s="532" t="s">
        <v>1131</v>
      </c>
      <c r="E26" s="562">
        <v>144000</v>
      </c>
      <c r="F26" s="570" t="s">
        <v>299</v>
      </c>
    </row>
    <row r="27" spans="2:33" ht="20.100000000000001" customHeight="1" outlineLevel="2" x14ac:dyDescent="0.2">
      <c r="B27" s="532">
        <v>4</v>
      </c>
      <c r="C27" s="532"/>
      <c r="D27" s="532" t="s">
        <v>1132</v>
      </c>
      <c r="E27" s="562">
        <v>144000</v>
      </c>
      <c r="F27" s="570" t="s">
        <v>299</v>
      </c>
    </row>
    <row r="28" spans="2:33" ht="31.5" outlineLevel="2" x14ac:dyDescent="0.2">
      <c r="B28" s="532">
        <v>5</v>
      </c>
      <c r="C28" s="532"/>
      <c r="D28" s="532" t="s">
        <v>1133</v>
      </c>
      <c r="E28" s="567">
        <v>144000</v>
      </c>
      <c r="F28" s="570" t="s">
        <v>299</v>
      </c>
    </row>
    <row r="29" spans="2:33" ht="15.75" outlineLevel="2" x14ac:dyDescent="0.2">
      <c r="B29" s="532">
        <v>6</v>
      </c>
      <c r="C29" s="532"/>
      <c r="D29" s="574" t="s">
        <v>1134</v>
      </c>
      <c r="E29" s="562">
        <v>240000</v>
      </c>
      <c r="F29" s="570" t="s">
        <v>299</v>
      </c>
    </row>
    <row r="30" spans="2:33" ht="15.75" outlineLevel="2" x14ac:dyDescent="0.2">
      <c r="B30" s="532">
        <v>7</v>
      </c>
      <c r="C30" s="532"/>
      <c r="D30" s="574" t="s">
        <v>1135</v>
      </c>
      <c r="E30" s="567">
        <v>120000</v>
      </c>
      <c r="F30" s="570" t="s">
        <v>299</v>
      </c>
      <c r="G30" s="536"/>
      <c r="H30" s="536"/>
      <c r="I30" s="536"/>
      <c r="J30" s="536"/>
      <c r="K30" s="536"/>
      <c r="L30" s="536"/>
      <c r="M30" s="536"/>
      <c r="N30" s="536"/>
      <c r="O30" s="536"/>
      <c r="P30" s="536"/>
      <c r="Q30" s="536"/>
      <c r="R30" s="536"/>
      <c r="S30" s="536"/>
      <c r="T30" s="536"/>
      <c r="U30" s="536"/>
      <c r="V30" s="536"/>
      <c r="W30" s="536"/>
      <c r="X30" s="536"/>
      <c r="Y30" s="536"/>
      <c r="Z30" s="536"/>
      <c r="AA30" s="536"/>
      <c r="AB30" s="536"/>
      <c r="AC30" s="536"/>
    </row>
    <row r="31" spans="2:33" ht="15.75" outlineLevel="2" x14ac:dyDescent="0.2">
      <c r="B31" s="532">
        <v>8</v>
      </c>
      <c r="C31" s="532"/>
      <c r="D31" s="574" t="s">
        <v>1136</v>
      </c>
      <c r="E31" s="575" t="s">
        <v>785</v>
      </c>
      <c r="F31" s="563"/>
      <c r="V31" s="571" t="s">
        <v>1130</v>
      </c>
      <c r="AE31" s="572"/>
    </row>
    <row r="32" spans="2:33" ht="15.75" outlineLevel="2" x14ac:dyDescent="0.2">
      <c r="B32" s="532">
        <v>9</v>
      </c>
      <c r="C32" s="545"/>
      <c r="D32" s="548" t="s">
        <v>1137</v>
      </c>
      <c r="E32" s="575" t="s">
        <v>785</v>
      </c>
      <c r="F32" s="563"/>
      <c r="V32" s="571"/>
      <c r="AE32" s="572"/>
    </row>
    <row r="33" spans="2:33" s="531" customFormat="1" ht="16.350000000000001" customHeight="1" outlineLevel="1" x14ac:dyDescent="0.2">
      <c r="B33" s="529" t="s">
        <v>1139</v>
      </c>
      <c r="C33" s="530" t="s">
        <v>1140</v>
      </c>
      <c r="D33" s="545" t="s">
        <v>1357</v>
      </c>
      <c r="E33" s="567">
        <v>28020</v>
      </c>
      <c r="F33" s="576" t="s">
        <v>1141</v>
      </c>
      <c r="G33" s="536"/>
      <c r="H33" s="536"/>
      <c r="I33" s="536"/>
      <c r="J33" s="537">
        <v>28020</v>
      </c>
      <c r="K33" s="564"/>
      <c r="L33" s="536"/>
      <c r="M33" s="536"/>
      <c r="N33" s="536"/>
      <c r="O33" s="536"/>
      <c r="P33" s="536"/>
      <c r="Q33" s="536"/>
      <c r="R33" s="542" t="s">
        <v>1142</v>
      </c>
      <c r="S33" s="536"/>
      <c r="T33" s="536"/>
      <c r="U33" s="536"/>
      <c r="V33" s="536"/>
      <c r="W33" s="536"/>
      <c r="X33" s="536"/>
      <c r="Y33" s="536"/>
      <c r="Z33" s="536"/>
      <c r="AA33" s="536"/>
      <c r="AB33" s="536"/>
      <c r="AC33" s="536"/>
      <c r="AG33" s="536"/>
    </row>
    <row r="34" spans="2:33" s="531" customFormat="1" ht="16.350000000000001" customHeight="1" outlineLevel="2" x14ac:dyDescent="0.2">
      <c r="B34" s="532"/>
      <c r="C34" s="545"/>
      <c r="D34" s="545" t="s">
        <v>1358</v>
      </c>
      <c r="E34" s="567">
        <v>96720</v>
      </c>
      <c r="F34" s="576" t="s">
        <v>1143</v>
      </c>
      <c r="G34" s="536"/>
      <c r="H34" s="536"/>
      <c r="I34" s="536"/>
      <c r="J34" s="537">
        <v>96720</v>
      </c>
      <c r="K34" s="564"/>
      <c r="L34" s="536"/>
      <c r="M34" s="536"/>
      <c r="N34" s="536"/>
      <c r="O34" s="536"/>
      <c r="P34" s="536"/>
      <c r="Q34" s="536"/>
      <c r="R34" s="542" t="s">
        <v>1142</v>
      </c>
      <c r="S34" s="536"/>
      <c r="T34" s="536"/>
      <c r="U34" s="536"/>
      <c r="V34" s="536"/>
      <c r="W34" s="536"/>
      <c r="X34" s="536"/>
      <c r="Y34" s="536"/>
      <c r="Z34" s="536"/>
      <c r="AA34" s="536"/>
      <c r="AB34" s="536"/>
      <c r="AC34" s="536"/>
      <c r="AG34" s="536"/>
    </row>
    <row r="35" spans="2:33" s="531" customFormat="1" ht="16.350000000000001" customHeight="1" outlineLevel="2" x14ac:dyDescent="0.2">
      <c r="B35" s="532"/>
      <c r="C35" s="545"/>
      <c r="D35" s="545" t="s">
        <v>1359</v>
      </c>
      <c r="E35" s="567">
        <v>187200</v>
      </c>
      <c r="F35" s="576" t="s">
        <v>1144</v>
      </c>
      <c r="G35" s="536"/>
      <c r="H35" s="536"/>
      <c r="I35" s="536"/>
      <c r="J35" s="537">
        <v>187200</v>
      </c>
      <c r="K35" s="564"/>
      <c r="L35" s="536"/>
      <c r="M35" s="536"/>
      <c r="N35" s="536"/>
      <c r="O35" s="536"/>
      <c r="P35" s="536"/>
      <c r="Q35" s="536"/>
      <c r="R35" s="542" t="s">
        <v>1142</v>
      </c>
      <c r="S35" s="536"/>
      <c r="T35" s="536"/>
      <c r="U35" s="536"/>
      <c r="V35" s="536"/>
      <c r="W35" s="536"/>
      <c r="X35" s="536"/>
      <c r="Y35" s="536"/>
      <c r="Z35" s="536"/>
      <c r="AA35" s="536"/>
      <c r="AB35" s="536"/>
      <c r="AC35" s="536"/>
      <c r="AG35" s="536"/>
    </row>
    <row r="36" spans="2:33" s="531" customFormat="1" ht="16.350000000000001" customHeight="1" outlineLevel="2" x14ac:dyDescent="0.2">
      <c r="B36" s="532"/>
      <c r="C36" s="545"/>
      <c r="D36" s="545" t="s">
        <v>1360</v>
      </c>
      <c r="E36" s="567">
        <v>312000</v>
      </c>
      <c r="F36" s="576" t="s">
        <v>1145</v>
      </c>
      <c r="G36" s="536"/>
      <c r="H36" s="536"/>
      <c r="I36" s="536"/>
      <c r="J36" s="537">
        <v>312000</v>
      </c>
      <c r="K36" s="564"/>
      <c r="L36" s="536"/>
      <c r="M36" s="536"/>
      <c r="N36" s="536"/>
      <c r="O36" s="536"/>
      <c r="P36" s="536"/>
      <c r="Q36" s="536"/>
      <c r="R36" s="542" t="s">
        <v>1142</v>
      </c>
      <c r="S36" s="536"/>
      <c r="T36" s="536"/>
      <c r="U36" s="536"/>
      <c r="V36" s="536"/>
      <c r="W36" s="536"/>
      <c r="X36" s="536"/>
      <c r="Y36" s="536"/>
      <c r="Z36" s="536"/>
      <c r="AA36" s="536"/>
      <c r="AB36" s="536"/>
      <c r="AC36" s="536"/>
      <c r="AG36" s="536"/>
    </row>
    <row r="37" spans="2:33" s="531" customFormat="1" ht="16.350000000000001" customHeight="1" outlineLevel="2" x14ac:dyDescent="0.2">
      <c r="B37" s="532"/>
      <c r="C37" s="545"/>
      <c r="D37" s="545" t="s">
        <v>1361</v>
      </c>
      <c r="E37" s="567">
        <v>624000</v>
      </c>
      <c r="F37" s="576" t="s">
        <v>1146</v>
      </c>
      <c r="G37" s="536"/>
      <c r="H37" s="536"/>
      <c r="I37" s="536"/>
      <c r="J37" s="537">
        <v>624000</v>
      </c>
      <c r="K37" s="564"/>
      <c r="L37" s="536"/>
      <c r="M37" s="536"/>
      <c r="N37" s="536"/>
      <c r="O37" s="536"/>
      <c r="P37" s="536"/>
      <c r="Q37" s="536"/>
      <c r="R37" s="542" t="s">
        <v>1142</v>
      </c>
      <c r="S37" s="536"/>
      <c r="T37" s="536"/>
      <c r="U37" s="536"/>
      <c r="V37" s="536"/>
      <c r="W37" s="536"/>
      <c r="X37" s="536"/>
      <c r="Y37" s="536"/>
      <c r="Z37" s="536"/>
      <c r="AA37" s="536"/>
      <c r="AB37" s="536"/>
      <c r="AC37" s="536"/>
      <c r="AG37" s="536"/>
    </row>
    <row r="38" spans="2:33" s="531" customFormat="1" ht="16.350000000000001" customHeight="1" outlineLevel="2" x14ac:dyDescent="0.2">
      <c r="B38" s="532"/>
      <c r="C38" s="545"/>
      <c r="D38" s="545" t="s">
        <v>1362</v>
      </c>
      <c r="E38" s="567">
        <v>936000</v>
      </c>
      <c r="F38" s="576" t="s">
        <v>1147</v>
      </c>
      <c r="G38" s="536"/>
      <c r="H38" s="536"/>
      <c r="I38" s="536"/>
      <c r="J38" s="537">
        <v>936000</v>
      </c>
      <c r="K38" s="564"/>
      <c r="L38" s="536"/>
      <c r="M38" s="536"/>
      <c r="N38" s="536"/>
      <c r="O38" s="536"/>
      <c r="P38" s="536"/>
      <c r="Q38" s="536"/>
      <c r="R38" s="542" t="s">
        <v>1142</v>
      </c>
      <c r="S38" s="536"/>
      <c r="T38" s="536"/>
      <c r="U38" s="536"/>
      <c r="V38" s="536"/>
      <c r="W38" s="536"/>
      <c r="X38" s="536"/>
      <c r="Y38" s="536"/>
      <c r="Z38" s="536"/>
      <c r="AA38" s="536"/>
      <c r="AB38" s="536"/>
      <c r="AC38" s="536"/>
      <c r="AG38" s="536"/>
    </row>
    <row r="39" spans="2:33" s="531" customFormat="1" ht="16.350000000000001" customHeight="1" outlineLevel="2" x14ac:dyDescent="0.2">
      <c r="B39" s="532"/>
      <c r="C39" s="545"/>
      <c r="D39" s="545" t="s">
        <v>1363</v>
      </c>
      <c r="E39" s="567">
        <v>2340000</v>
      </c>
      <c r="F39" s="576" t="s">
        <v>1148</v>
      </c>
      <c r="G39" s="536"/>
      <c r="H39" s="536"/>
      <c r="I39" s="536"/>
      <c r="J39" s="537">
        <v>2340000</v>
      </c>
      <c r="K39" s="564"/>
      <c r="L39" s="536"/>
      <c r="M39" s="536"/>
      <c r="N39" s="536"/>
      <c r="O39" s="536"/>
      <c r="P39" s="536"/>
      <c r="Q39" s="536"/>
      <c r="R39" s="542" t="s">
        <v>1142</v>
      </c>
      <c r="S39" s="536"/>
      <c r="T39" s="536"/>
      <c r="U39" s="536"/>
      <c r="V39" s="536"/>
      <c r="W39" s="536"/>
      <c r="X39" s="536"/>
      <c r="Y39" s="536"/>
      <c r="Z39" s="536"/>
      <c r="AA39" s="536"/>
      <c r="AB39" s="536"/>
      <c r="AC39" s="536"/>
      <c r="AG39" s="536"/>
    </row>
    <row r="40" spans="2:33" s="531" customFormat="1" ht="16.350000000000001" customHeight="1" outlineLevel="1" x14ac:dyDescent="0.2">
      <c r="B40" s="529" t="s">
        <v>1149</v>
      </c>
      <c r="C40" s="530" t="s">
        <v>1150</v>
      </c>
      <c r="D40" s="545" t="s">
        <v>1364</v>
      </c>
      <c r="E40" s="562">
        <v>10800</v>
      </c>
      <c r="F40" s="577" t="s">
        <v>1151</v>
      </c>
      <c r="G40" s="536"/>
      <c r="H40" s="536"/>
      <c r="I40" s="536"/>
      <c r="J40" s="564"/>
      <c r="K40" s="540" t="s">
        <v>1088</v>
      </c>
      <c r="L40" s="536"/>
      <c r="M40" s="536"/>
      <c r="N40" s="536"/>
      <c r="O40" s="536"/>
      <c r="P40" s="536"/>
      <c r="Q40" s="536"/>
      <c r="R40" s="542"/>
      <c r="S40" s="536"/>
      <c r="T40" s="536"/>
      <c r="U40" s="536"/>
      <c r="V40" s="536"/>
      <c r="W40" s="536"/>
      <c r="X40" s="536"/>
      <c r="Y40" s="536"/>
      <c r="Z40" s="536"/>
      <c r="AA40" s="536"/>
      <c r="AB40" s="536"/>
      <c r="AC40" s="536"/>
      <c r="AG40" s="536"/>
    </row>
    <row r="41" spans="2:33" s="531" customFormat="1" ht="16.350000000000001" customHeight="1" outlineLevel="2" x14ac:dyDescent="0.2">
      <c r="B41" s="532"/>
      <c r="C41" s="545"/>
      <c r="D41" s="545" t="s">
        <v>1365</v>
      </c>
      <c r="E41" s="562">
        <v>36800</v>
      </c>
      <c r="F41" s="577" t="s">
        <v>1152</v>
      </c>
      <c r="G41" s="536"/>
      <c r="H41" s="536"/>
      <c r="I41" s="536"/>
      <c r="J41" s="564"/>
      <c r="K41" s="540" t="s">
        <v>1088</v>
      </c>
      <c r="L41" s="536"/>
      <c r="M41" s="536"/>
      <c r="N41" s="536"/>
      <c r="O41" s="536"/>
      <c r="P41" s="536"/>
      <c r="Q41" s="536"/>
      <c r="R41" s="542"/>
      <c r="S41" s="536"/>
      <c r="T41" s="536"/>
      <c r="U41" s="536"/>
      <c r="V41" s="536"/>
      <c r="W41" s="536"/>
      <c r="X41" s="536"/>
      <c r="Y41" s="536"/>
      <c r="Z41" s="536"/>
      <c r="AA41" s="536"/>
      <c r="AB41" s="536"/>
      <c r="AC41" s="536"/>
      <c r="AG41" s="536"/>
    </row>
    <row r="42" spans="2:33" s="531" customFormat="1" ht="16.350000000000001" customHeight="1" outlineLevel="2" x14ac:dyDescent="0.2">
      <c r="B42" s="532"/>
      <c r="C42" s="545"/>
      <c r="D42" s="545" t="s">
        <v>1366</v>
      </c>
      <c r="E42" s="562">
        <v>70400</v>
      </c>
      <c r="F42" s="577" t="s">
        <v>1153</v>
      </c>
      <c r="G42" s="536"/>
      <c r="H42" s="536"/>
      <c r="I42" s="536"/>
      <c r="J42" s="564"/>
      <c r="K42" s="540" t="s">
        <v>1088</v>
      </c>
      <c r="L42" s="536"/>
      <c r="M42" s="536"/>
      <c r="N42" s="536"/>
      <c r="O42" s="536"/>
      <c r="P42" s="536"/>
      <c r="Q42" s="536"/>
      <c r="R42" s="542"/>
      <c r="S42" s="536"/>
      <c r="T42" s="536"/>
      <c r="U42" s="536"/>
      <c r="V42" s="536"/>
      <c r="W42" s="536"/>
      <c r="X42" s="536"/>
      <c r="Y42" s="536"/>
      <c r="Z42" s="536"/>
      <c r="AA42" s="536"/>
      <c r="AB42" s="536"/>
      <c r="AC42" s="536"/>
      <c r="AG42" s="536"/>
    </row>
    <row r="43" spans="2:33" s="531" customFormat="1" ht="16.350000000000001" customHeight="1" outlineLevel="2" x14ac:dyDescent="0.2">
      <c r="B43" s="532"/>
      <c r="C43" s="545"/>
      <c r="D43" s="545" t="s">
        <v>1367</v>
      </c>
      <c r="E43" s="562">
        <v>132600</v>
      </c>
      <c r="F43" s="577" t="s">
        <v>1154</v>
      </c>
      <c r="G43" s="536"/>
      <c r="H43" s="536"/>
      <c r="I43" s="536"/>
      <c r="J43" s="564"/>
      <c r="K43" s="540" t="s">
        <v>1088</v>
      </c>
      <c r="L43" s="536"/>
      <c r="M43" s="536"/>
      <c r="N43" s="536"/>
      <c r="O43" s="536"/>
      <c r="P43" s="536"/>
      <c r="Q43" s="536"/>
      <c r="R43" s="542"/>
      <c r="S43" s="536"/>
      <c r="T43" s="536"/>
      <c r="U43" s="536"/>
      <c r="V43" s="536"/>
      <c r="W43" s="536"/>
      <c r="X43" s="536"/>
      <c r="Y43" s="536"/>
      <c r="Z43" s="536"/>
      <c r="AA43" s="536"/>
      <c r="AB43" s="536"/>
      <c r="AC43" s="536"/>
      <c r="AG43" s="536"/>
    </row>
    <row r="44" spans="2:33" s="531" customFormat="1" ht="18" customHeight="1" outlineLevel="1" x14ac:dyDescent="0.25">
      <c r="B44" s="529" t="s">
        <v>1155</v>
      </c>
      <c r="C44" s="530" t="s">
        <v>1156</v>
      </c>
      <c r="D44" s="545" t="s">
        <v>1368</v>
      </c>
      <c r="E44" s="578">
        <v>7000</v>
      </c>
      <c r="F44" s="577" t="s">
        <v>1157</v>
      </c>
      <c r="G44" s="536"/>
      <c r="H44" s="536"/>
      <c r="I44" s="536"/>
      <c r="J44" s="536"/>
      <c r="K44" s="536"/>
      <c r="L44" s="536"/>
      <c r="M44" s="540" t="s">
        <v>1088</v>
      </c>
      <c r="N44" s="536"/>
      <c r="O44" s="536"/>
      <c r="P44" s="536"/>
      <c r="Q44" s="536"/>
      <c r="R44" s="536"/>
      <c r="S44" s="536"/>
      <c r="T44" s="536"/>
      <c r="U44" s="536"/>
      <c r="V44" s="536"/>
      <c r="W44" s="536"/>
      <c r="X44" s="536"/>
      <c r="Y44" s="536"/>
      <c r="Z44" s="536"/>
      <c r="AA44" s="536"/>
      <c r="AB44" s="536"/>
      <c r="AC44" s="536"/>
      <c r="AG44" s="536"/>
    </row>
    <row r="45" spans="2:33" s="531" customFormat="1" ht="18" customHeight="1" outlineLevel="2" x14ac:dyDescent="0.25">
      <c r="B45" s="532"/>
      <c r="C45" s="545"/>
      <c r="D45" s="545" t="s">
        <v>1369</v>
      </c>
      <c r="E45" s="578">
        <v>23800</v>
      </c>
      <c r="F45" s="577" t="s">
        <v>1158</v>
      </c>
      <c r="G45" s="536"/>
      <c r="H45" s="536"/>
      <c r="I45" s="536"/>
      <c r="J45" s="536"/>
      <c r="K45" s="536"/>
      <c r="L45" s="536"/>
      <c r="M45" s="540" t="s">
        <v>1088</v>
      </c>
      <c r="N45" s="536"/>
      <c r="O45" s="536"/>
      <c r="P45" s="536"/>
      <c r="Q45" s="536"/>
      <c r="R45" s="536"/>
      <c r="S45" s="536"/>
      <c r="T45" s="536"/>
      <c r="U45" s="536"/>
      <c r="V45" s="536"/>
      <c r="W45" s="536"/>
      <c r="X45" s="536"/>
      <c r="Y45" s="536"/>
      <c r="Z45" s="536"/>
      <c r="AA45" s="536"/>
      <c r="AB45" s="536"/>
      <c r="AC45" s="536"/>
      <c r="AG45" s="536"/>
    </row>
    <row r="46" spans="2:33" s="531" customFormat="1" ht="18" customHeight="1" outlineLevel="2" x14ac:dyDescent="0.25">
      <c r="B46" s="532"/>
      <c r="C46" s="545"/>
      <c r="D46" s="545" t="s">
        <v>1370</v>
      </c>
      <c r="E46" s="578">
        <v>45600</v>
      </c>
      <c r="F46" s="577" t="s">
        <v>1159</v>
      </c>
      <c r="G46" s="536"/>
      <c r="H46" s="536"/>
      <c r="I46" s="536"/>
      <c r="J46" s="536"/>
      <c r="K46" s="536"/>
      <c r="L46" s="536"/>
      <c r="M46" s="540" t="s">
        <v>1088</v>
      </c>
      <c r="N46" s="536"/>
      <c r="O46" s="536"/>
      <c r="P46" s="536"/>
      <c r="Q46" s="536"/>
      <c r="R46" s="536"/>
      <c r="S46" s="536"/>
      <c r="T46" s="536"/>
      <c r="U46" s="536"/>
      <c r="V46" s="536"/>
      <c r="W46" s="536"/>
      <c r="X46" s="536"/>
      <c r="Y46" s="536"/>
      <c r="Z46" s="536"/>
      <c r="AA46" s="536"/>
      <c r="AB46" s="536"/>
      <c r="AC46" s="536"/>
      <c r="AG46" s="536"/>
    </row>
    <row r="47" spans="2:33" s="531" customFormat="1" ht="18" customHeight="1" outlineLevel="2" x14ac:dyDescent="0.25">
      <c r="B47" s="532"/>
      <c r="C47" s="545"/>
      <c r="D47" s="545" t="s">
        <v>1371</v>
      </c>
      <c r="E47" s="578">
        <v>85800</v>
      </c>
      <c r="F47" s="577" t="s">
        <v>1160</v>
      </c>
      <c r="G47" s="536"/>
      <c r="H47" s="536"/>
      <c r="I47" s="536"/>
      <c r="J47" s="536"/>
      <c r="K47" s="536"/>
      <c r="L47" s="536"/>
      <c r="M47" s="540" t="s">
        <v>1088</v>
      </c>
      <c r="N47" s="536"/>
      <c r="O47" s="536"/>
      <c r="P47" s="536"/>
      <c r="Q47" s="536"/>
      <c r="R47" s="536"/>
      <c r="S47" s="536"/>
      <c r="T47" s="536"/>
      <c r="U47" s="536"/>
      <c r="V47" s="536"/>
      <c r="W47" s="536"/>
      <c r="X47" s="536"/>
      <c r="Y47" s="536"/>
      <c r="Z47" s="536"/>
      <c r="AA47" s="536"/>
      <c r="AB47" s="536"/>
      <c r="AC47" s="536"/>
      <c r="AG47" s="536"/>
    </row>
    <row r="48" spans="2:33" s="531" customFormat="1" ht="18" customHeight="1" outlineLevel="2" x14ac:dyDescent="0.25">
      <c r="B48" s="532"/>
      <c r="C48" s="545"/>
      <c r="D48" s="545" t="s">
        <v>1372</v>
      </c>
      <c r="E48" s="578">
        <v>206000</v>
      </c>
      <c r="F48" s="577" t="s">
        <v>1161</v>
      </c>
      <c r="G48" s="536"/>
      <c r="H48" s="536"/>
      <c r="I48" s="536"/>
      <c r="J48" s="536"/>
      <c r="K48" s="536"/>
      <c r="L48" s="536"/>
      <c r="M48" s="540" t="s">
        <v>1088</v>
      </c>
      <c r="N48" s="536"/>
      <c r="O48" s="536"/>
      <c r="P48" s="536"/>
      <c r="Q48" s="536"/>
      <c r="R48" s="536"/>
      <c r="S48" s="536"/>
      <c r="T48" s="536"/>
      <c r="U48" s="536"/>
      <c r="V48" s="536"/>
      <c r="W48" s="536"/>
      <c r="X48" s="536"/>
      <c r="Y48" s="536"/>
      <c r="Z48" s="536"/>
      <c r="AA48" s="536"/>
      <c r="AB48" s="536"/>
      <c r="AC48" s="536"/>
      <c r="AG48" s="536"/>
    </row>
    <row r="49" spans="2:33" s="531" customFormat="1" ht="18" customHeight="1" outlineLevel="2" x14ac:dyDescent="0.25">
      <c r="B49" s="532"/>
      <c r="C49" s="545"/>
      <c r="D49" s="545" t="s">
        <v>1373</v>
      </c>
      <c r="E49" s="578">
        <v>396000</v>
      </c>
      <c r="F49" s="577" t="s">
        <v>1162</v>
      </c>
      <c r="G49" s="536"/>
      <c r="H49" s="536"/>
      <c r="I49" s="536"/>
      <c r="J49" s="536"/>
      <c r="K49" s="536"/>
      <c r="L49" s="536"/>
      <c r="M49" s="540" t="s">
        <v>1088</v>
      </c>
      <c r="N49" s="536"/>
      <c r="O49" s="536"/>
      <c r="P49" s="536"/>
      <c r="Q49" s="536"/>
      <c r="R49" s="536"/>
      <c r="S49" s="536"/>
      <c r="T49" s="536"/>
      <c r="U49" s="536"/>
      <c r="V49" s="536"/>
      <c r="W49" s="536"/>
      <c r="X49" s="536"/>
      <c r="Y49" s="536"/>
      <c r="Z49" s="536"/>
      <c r="AA49" s="536"/>
      <c r="AB49" s="536"/>
      <c r="AC49" s="536"/>
      <c r="AG49" s="536"/>
    </row>
    <row r="50" spans="2:33" ht="15.75" outlineLevel="2" x14ac:dyDescent="0.25">
      <c r="B50" s="532"/>
      <c r="C50" s="545"/>
      <c r="D50" s="545" t="s">
        <v>1374</v>
      </c>
      <c r="E50" s="578">
        <v>1174800</v>
      </c>
      <c r="F50" s="577" t="s">
        <v>1163</v>
      </c>
      <c r="M50" s="540" t="s">
        <v>1088</v>
      </c>
    </row>
    <row r="51" spans="2:33" ht="15.75" outlineLevel="2" x14ac:dyDescent="0.25">
      <c r="B51" s="532"/>
      <c r="C51" s="545"/>
      <c r="D51" s="545" t="s">
        <v>1375</v>
      </c>
      <c r="E51" s="578">
        <v>1953600</v>
      </c>
      <c r="F51" s="577" t="s">
        <v>1164</v>
      </c>
      <c r="M51" s="540" t="s">
        <v>1088</v>
      </c>
    </row>
    <row r="52" spans="2:33" ht="15.75" outlineLevel="2" x14ac:dyDescent="0.25">
      <c r="B52" s="532"/>
      <c r="C52" s="545"/>
      <c r="D52" s="545" t="s">
        <v>1376</v>
      </c>
      <c r="E52" s="578">
        <v>7000</v>
      </c>
      <c r="F52" s="577" t="s">
        <v>1165</v>
      </c>
    </row>
    <row r="53" spans="2:33" ht="15.75" outlineLevel="2" x14ac:dyDescent="0.25">
      <c r="B53" s="532"/>
      <c r="C53" s="545"/>
      <c r="D53" s="545" t="s">
        <v>1377</v>
      </c>
      <c r="E53" s="578">
        <v>23800</v>
      </c>
      <c r="F53" s="577" t="s">
        <v>1166</v>
      </c>
    </row>
    <row r="54" spans="2:33" ht="15.75" outlineLevel="2" x14ac:dyDescent="0.25">
      <c r="B54" s="532"/>
      <c r="C54" s="545"/>
      <c r="D54" s="545" t="s">
        <v>1378</v>
      </c>
      <c r="E54" s="578">
        <v>45600</v>
      </c>
      <c r="F54" s="577" t="s">
        <v>1167</v>
      </c>
    </row>
    <row r="55" spans="2:33" ht="15.75" outlineLevel="2" x14ac:dyDescent="0.25">
      <c r="B55" s="532"/>
      <c r="C55" s="545"/>
      <c r="D55" s="545" t="s">
        <v>1379</v>
      </c>
      <c r="E55" s="578">
        <v>85800</v>
      </c>
      <c r="F55" s="577" t="s">
        <v>1168</v>
      </c>
    </row>
    <row r="56" spans="2:33" ht="15.75" outlineLevel="2" x14ac:dyDescent="0.25">
      <c r="B56" s="532"/>
      <c r="C56" s="545"/>
      <c r="D56" s="545" t="s">
        <v>1380</v>
      </c>
      <c r="E56" s="578">
        <v>206000</v>
      </c>
      <c r="F56" s="577" t="s">
        <v>1169</v>
      </c>
    </row>
    <row r="57" spans="2:33" ht="15.75" outlineLevel="2" x14ac:dyDescent="0.25">
      <c r="B57" s="532"/>
      <c r="C57" s="545"/>
      <c r="D57" s="545" t="s">
        <v>1381</v>
      </c>
      <c r="E57" s="578">
        <v>396000</v>
      </c>
      <c r="F57" s="577" t="s">
        <v>1170</v>
      </c>
    </row>
    <row r="58" spans="2:33" ht="15.75" outlineLevel="2" x14ac:dyDescent="0.25">
      <c r="B58" s="532"/>
      <c r="C58" s="545"/>
      <c r="D58" s="545" t="s">
        <v>1382</v>
      </c>
      <c r="E58" s="578">
        <v>1174800</v>
      </c>
      <c r="F58" s="577" t="s">
        <v>1171</v>
      </c>
    </row>
    <row r="59" spans="2:33" ht="15.75" outlineLevel="2" x14ac:dyDescent="0.25">
      <c r="B59" s="532"/>
      <c r="C59" s="545"/>
      <c r="D59" s="545" t="s">
        <v>1383</v>
      </c>
      <c r="E59" s="578">
        <v>1953600</v>
      </c>
      <c r="F59" s="577" t="s">
        <v>1172</v>
      </c>
    </row>
    <row r="60" spans="2:33" s="531" customFormat="1" ht="18" customHeight="1" outlineLevel="2" x14ac:dyDescent="0.25">
      <c r="B60" s="532"/>
      <c r="C60" s="545"/>
      <c r="D60" s="545" t="s">
        <v>1384</v>
      </c>
      <c r="E60" s="578">
        <v>8200</v>
      </c>
      <c r="F60" s="577" t="s">
        <v>1173</v>
      </c>
      <c r="G60" s="536"/>
      <c r="H60" s="536"/>
      <c r="I60" s="536"/>
      <c r="J60" s="536"/>
      <c r="K60" s="536"/>
      <c r="L60" s="536"/>
      <c r="M60" s="536"/>
      <c r="N60" s="536"/>
      <c r="O60" s="536"/>
      <c r="P60" s="536"/>
      <c r="Q60" s="536"/>
      <c r="R60" s="536"/>
      <c r="S60" s="536"/>
      <c r="T60" s="536"/>
      <c r="U60" s="536"/>
      <c r="V60" s="536"/>
      <c r="W60" s="536"/>
      <c r="X60" s="536"/>
      <c r="Y60" s="536"/>
      <c r="Z60" s="536"/>
      <c r="AA60" s="536"/>
      <c r="AB60" s="536"/>
      <c r="AC60" s="536"/>
      <c r="AG60" s="536"/>
    </row>
    <row r="61" spans="2:33" s="531" customFormat="1" ht="18" customHeight="1" outlineLevel="2" x14ac:dyDescent="0.25">
      <c r="B61" s="532"/>
      <c r="C61" s="545"/>
      <c r="D61" s="545" t="s">
        <v>1385</v>
      </c>
      <c r="E61" s="578">
        <v>28100</v>
      </c>
      <c r="F61" s="577" t="s">
        <v>1174</v>
      </c>
      <c r="G61" s="536"/>
      <c r="H61" s="536"/>
      <c r="I61" s="536"/>
      <c r="J61" s="536"/>
      <c r="K61" s="536"/>
      <c r="L61" s="536"/>
      <c r="M61" s="536"/>
      <c r="N61" s="536"/>
      <c r="O61" s="536"/>
      <c r="P61" s="536"/>
      <c r="Q61" s="536"/>
      <c r="R61" s="536"/>
      <c r="S61" s="536"/>
      <c r="T61" s="536"/>
      <c r="U61" s="536"/>
      <c r="V61" s="536"/>
      <c r="W61" s="536"/>
      <c r="X61" s="536"/>
      <c r="Y61" s="536"/>
      <c r="Z61" s="536"/>
      <c r="AA61" s="536"/>
      <c r="AB61" s="536"/>
      <c r="AC61" s="536"/>
      <c r="AG61" s="536"/>
    </row>
    <row r="62" spans="2:33" ht="15.75" outlineLevel="2" x14ac:dyDescent="0.25">
      <c r="B62" s="532"/>
      <c r="C62" s="545"/>
      <c r="D62" s="545" t="s">
        <v>1386</v>
      </c>
      <c r="E62" s="578">
        <v>51900</v>
      </c>
      <c r="F62" s="577" t="s">
        <v>1175</v>
      </c>
    </row>
    <row r="63" spans="2:33" ht="15.75" outlineLevel="2" x14ac:dyDescent="0.25">
      <c r="B63" s="532"/>
      <c r="C63" s="545"/>
      <c r="D63" s="545" t="s">
        <v>1387</v>
      </c>
      <c r="E63" s="578">
        <v>97600</v>
      </c>
      <c r="F63" s="577" t="s">
        <v>1176</v>
      </c>
    </row>
    <row r="64" spans="2:33" ht="15.75" outlineLevel="2" x14ac:dyDescent="0.25">
      <c r="B64" s="532"/>
      <c r="C64" s="545"/>
      <c r="D64" s="545" t="s">
        <v>1388</v>
      </c>
      <c r="E64" s="578">
        <v>224700</v>
      </c>
      <c r="F64" s="577" t="s">
        <v>1177</v>
      </c>
    </row>
    <row r="65" spans="2:33" ht="15.75" outlineLevel="2" x14ac:dyDescent="0.25">
      <c r="B65" s="532"/>
      <c r="C65" s="545"/>
      <c r="D65" s="545" t="s">
        <v>1389</v>
      </c>
      <c r="E65" s="578">
        <v>432000</v>
      </c>
      <c r="F65" s="577" t="s">
        <v>1178</v>
      </c>
    </row>
    <row r="66" spans="2:33" ht="15.75" outlineLevel="2" x14ac:dyDescent="0.25">
      <c r="B66" s="532"/>
      <c r="C66" s="545"/>
      <c r="D66" s="545" t="s">
        <v>1390</v>
      </c>
      <c r="E66" s="578">
        <v>1281600</v>
      </c>
      <c r="F66" s="577" t="s">
        <v>1179</v>
      </c>
    </row>
    <row r="67" spans="2:33" ht="15.75" outlineLevel="2" x14ac:dyDescent="0.25">
      <c r="B67" s="532"/>
      <c r="C67" s="545"/>
      <c r="D67" s="545" t="s">
        <v>1391</v>
      </c>
      <c r="E67" s="578">
        <v>2131200</v>
      </c>
      <c r="F67" s="577" t="s">
        <v>1180</v>
      </c>
    </row>
    <row r="68" spans="2:33" ht="15.75" outlineLevel="2" x14ac:dyDescent="0.25">
      <c r="B68" s="532"/>
      <c r="C68" s="545"/>
      <c r="D68" s="545" t="s">
        <v>1392</v>
      </c>
      <c r="E68" s="578">
        <v>10400</v>
      </c>
      <c r="F68" s="579">
        <v>2900001916066</v>
      </c>
      <c r="M68" s="540" t="s">
        <v>1088</v>
      </c>
    </row>
    <row r="69" spans="2:33" ht="15.75" outlineLevel="2" x14ac:dyDescent="0.25">
      <c r="B69" s="532"/>
      <c r="C69" s="545"/>
      <c r="D69" s="545" t="s">
        <v>1393</v>
      </c>
      <c r="E69" s="578">
        <v>36000</v>
      </c>
      <c r="F69" s="579">
        <v>2900001916073</v>
      </c>
      <c r="M69" s="540" t="s">
        <v>1088</v>
      </c>
    </row>
    <row r="70" spans="2:33" ht="15.75" outlineLevel="2" x14ac:dyDescent="0.25">
      <c r="B70" s="532"/>
      <c r="C70" s="545"/>
      <c r="D70" s="545" t="s">
        <v>1394</v>
      </c>
      <c r="E70" s="578">
        <v>69000</v>
      </c>
      <c r="F70" s="579">
        <v>2900001916080</v>
      </c>
      <c r="M70" s="540" t="s">
        <v>1088</v>
      </c>
    </row>
    <row r="71" spans="2:33" ht="15.75" outlineLevel="2" x14ac:dyDescent="0.25">
      <c r="B71" s="532"/>
      <c r="C71" s="545"/>
      <c r="D71" s="545" t="s">
        <v>1395</v>
      </c>
      <c r="E71" s="578">
        <v>130000</v>
      </c>
      <c r="F71" s="579">
        <v>2900001916097</v>
      </c>
      <c r="M71" s="540" t="s">
        <v>1088</v>
      </c>
    </row>
    <row r="72" spans="2:33" ht="15.75" outlineLevel="2" x14ac:dyDescent="0.25">
      <c r="B72" s="532"/>
      <c r="C72" s="545"/>
      <c r="D72" s="545" t="s">
        <v>1396</v>
      </c>
      <c r="E72" s="578">
        <v>312000</v>
      </c>
      <c r="F72" s="579">
        <v>2900001916103</v>
      </c>
      <c r="M72" s="540" t="s">
        <v>1088</v>
      </c>
    </row>
    <row r="73" spans="2:33" ht="15.75" outlineLevel="2" x14ac:dyDescent="0.25">
      <c r="B73" s="532"/>
      <c r="C73" s="545"/>
      <c r="D73" s="545" t="s">
        <v>1397</v>
      </c>
      <c r="E73" s="578">
        <v>1780000</v>
      </c>
      <c r="F73" s="579">
        <v>2900001916127</v>
      </c>
      <c r="M73" s="540" t="s">
        <v>1088</v>
      </c>
    </row>
    <row r="74" spans="2:33" ht="15.75" outlineLevel="2" x14ac:dyDescent="0.25">
      <c r="B74" s="532"/>
      <c r="C74" s="545"/>
      <c r="D74" s="545" t="s">
        <v>1398</v>
      </c>
      <c r="E74" s="578">
        <v>600000</v>
      </c>
      <c r="F74" s="579">
        <v>2900001916110</v>
      </c>
      <c r="M74" s="540" t="s">
        <v>1088</v>
      </c>
    </row>
    <row r="75" spans="2:33" ht="15.75" outlineLevel="2" x14ac:dyDescent="0.25">
      <c r="B75" s="532"/>
      <c r="C75" s="545"/>
      <c r="D75" s="545" t="s">
        <v>1399</v>
      </c>
      <c r="E75" s="578">
        <v>2960000</v>
      </c>
      <c r="F75" s="579">
        <v>2900001916141</v>
      </c>
      <c r="M75" s="540" t="s">
        <v>1088</v>
      </c>
    </row>
    <row r="76" spans="2:33" ht="15.75" outlineLevel="2" x14ac:dyDescent="0.25">
      <c r="B76" s="532"/>
      <c r="C76" s="545"/>
      <c r="D76" s="545" t="s">
        <v>1400</v>
      </c>
      <c r="E76" s="578">
        <v>5906000</v>
      </c>
      <c r="F76" s="579">
        <v>2900001916158</v>
      </c>
      <c r="M76" s="540" t="s">
        <v>1088</v>
      </c>
    </row>
    <row r="77" spans="2:33" s="531" customFormat="1" ht="18" customHeight="1" outlineLevel="2" x14ac:dyDescent="0.25">
      <c r="B77" s="532"/>
      <c r="C77" s="545"/>
      <c r="D77" s="545" t="s">
        <v>1401</v>
      </c>
      <c r="E77" s="578">
        <v>13600</v>
      </c>
      <c r="F77" s="577" t="s">
        <v>1181</v>
      </c>
      <c r="G77" s="536"/>
      <c r="H77" s="536"/>
      <c r="I77" s="536"/>
      <c r="J77" s="536"/>
      <c r="K77" s="536"/>
      <c r="L77" s="536"/>
      <c r="M77" s="536"/>
      <c r="N77" s="536"/>
      <c r="O77" s="536"/>
      <c r="P77" s="536"/>
      <c r="Q77" s="536"/>
      <c r="R77" s="536"/>
      <c r="S77" s="536"/>
      <c r="T77" s="536"/>
      <c r="U77" s="536"/>
      <c r="V77" s="536"/>
      <c r="W77" s="536"/>
      <c r="X77" s="536"/>
      <c r="Y77" s="536"/>
      <c r="Z77" s="536"/>
      <c r="AA77" s="536"/>
      <c r="AB77" s="536"/>
      <c r="AC77" s="536"/>
      <c r="AG77" s="536"/>
    </row>
    <row r="78" spans="2:33" s="531" customFormat="1" ht="18" customHeight="1" outlineLevel="2" x14ac:dyDescent="0.25">
      <c r="B78" s="532"/>
      <c r="C78" s="545"/>
      <c r="D78" s="545" t="s">
        <v>1402</v>
      </c>
      <c r="E78" s="578">
        <v>10400</v>
      </c>
      <c r="F78" s="577" t="s">
        <v>1182</v>
      </c>
      <c r="G78" s="536"/>
      <c r="H78" s="536"/>
      <c r="I78" s="536"/>
      <c r="J78" s="536"/>
      <c r="K78" s="536"/>
      <c r="L78" s="536"/>
      <c r="M78" s="536"/>
      <c r="N78" s="536"/>
      <c r="O78" s="536"/>
      <c r="P78" s="536"/>
      <c r="Q78" s="536"/>
      <c r="R78" s="536"/>
      <c r="S78" s="536"/>
      <c r="T78" s="536"/>
      <c r="U78" s="536"/>
      <c r="V78" s="536"/>
      <c r="W78" s="536"/>
      <c r="X78" s="536"/>
      <c r="Y78" s="536"/>
      <c r="Z78" s="536"/>
      <c r="AA78" s="566" t="s">
        <v>1092</v>
      </c>
      <c r="AB78" s="536"/>
      <c r="AC78" s="536"/>
      <c r="AG78" s="536"/>
    </row>
    <row r="79" spans="2:33" s="531" customFormat="1" ht="18" customHeight="1" outlineLevel="2" x14ac:dyDescent="0.25">
      <c r="B79" s="532"/>
      <c r="C79" s="545"/>
      <c r="D79" s="545" t="s">
        <v>1403</v>
      </c>
      <c r="E79" s="578">
        <v>46800</v>
      </c>
      <c r="F79" s="577" t="s">
        <v>1183</v>
      </c>
      <c r="G79" s="536"/>
      <c r="H79" s="536"/>
      <c r="I79" s="536"/>
      <c r="J79" s="536"/>
      <c r="K79" s="536"/>
      <c r="L79" s="536"/>
      <c r="M79" s="536"/>
      <c r="N79" s="536"/>
      <c r="O79" s="536"/>
      <c r="P79" s="536"/>
      <c r="Q79" s="536"/>
      <c r="R79" s="536"/>
      <c r="S79" s="536"/>
      <c r="T79" s="536"/>
      <c r="U79" s="536"/>
      <c r="V79" s="536"/>
      <c r="W79" s="536"/>
      <c r="X79" s="536"/>
      <c r="Y79" s="536"/>
      <c r="Z79" s="536"/>
      <c r="AA79" s="536"/>
      <c r="AB79" s="536"/>
      <c r="AC79" s="536"/>
      <c r="AG79" s="536"/>
    </row>
    <row r="80" spans="2:33" s="531" customFormat="1" ht="18" customHeight="1" outlineLevel="2" x14ac:dyDescent="0.25">
      <c r="B80" s="532"/>
      <c r="C80" s="545"/>
      <c r="D80" s="545" t="s">
        <v>1404</v>
      </c>
      <c r="E80" s="578">
        <v>36000</v>
      </c>
      <c r="F80" s="577" t="s">
        <v>1184</v>
      </c>
      <c r="G80" s="536"/>
      <c r="H80" s="536"/>
      <c r="I80" s="536"/>
      <c r="J80" s="536"/>
      <c r="K80" s="536"/>
      <c r="L80" s="536"/>
      <c r="M80" s="536"/>
      <c r="N80" s="536"/>
      <c r="O80" s="536"/>
      <c r="P80" s="536"/>
      <c r="Q80" s="536"/>
      <c r="R80" s="536"/>
      <c r="S80" s="536"/>
      <c r="T80" s="536"/>
      <c r="U80" s="536"/>
      <c r="V80" s="536"/>
      <c r="W80" s="536"/>
      <c r="X80" s="536"/>
      <c r="Y80" s="536"/>
      <c r="Z80" s="536"/>
      <c r="AA80" s="566" t="s">
        <v>1092</v>
      </c>
      <c r="AB80" s="536"/>
      <c r="AC80" s="536"/>
      <c r="AG80" s="536"/>
    </row>
    <row r="81" spans="2:33" s="531" customFormat="1" ht="18" customHeight="1" outlineLevel="2" x14ac:dyDescent="0.25">
      <c r="B81" s="532"/>
      <c r="C81" s="545"/>
      <c r="D81" s="545" t="s">
        <v>1405</v>
      </c>
      <c r="E81" s="578">
        <v>86300</v>
      </c>
      <c r="F81" s="577" t="s">
        <v>1185</v>
      </c>
      <c r="G81" s="536"/>
      <c r="H81" s="536"/>
      <c r="I81" s="536"/>
      <c r="J81" s="536"/>
      <c r="K81" s="536"/>
      <c r="L81" s="536"/>
      <c r="M81" s="536"/>
      <c r="N81" s="536"/>
      <c r="O81" s="536"/>
      <c r="P81" s="536"/>
      <c r="Q81" s="536"/>
      <c r="R81" s="536"/>
      <c r="S81" s="536"/>
      <c r="T81" s="536"/>
      <c r="U81" s="536"/>
      <c r="V81" s="536"/>
      <c r="W81" s="536"/>
      <c r="X81" s="536"/>
      <c r="Y81" s="536"/>
      <c r="Z81" s="536"/>
      <c r="AA81" s="536"/>
      <c r="AB81" s="536"/>
      <c r="AC81" s="536"/>
      <c r="AG81" s="536"/>
    </row>
    <row r="82" spans="2:33" s="531" customFormat="1" ht="18" customHeight="1" outlineLevel="2" x14ac:dyDescent="0.25">
      <c r="B82" s="532"/>
      <c r="C82" s="545"/>
      <c r="D82" s="545" t="s">
        <v>1406</v>
      </c>
      <c r="E82" s="578">
        <v>69000</v>
      </c>
      <c r="F82" s="577" t="s">
        <v>1186</v>
      </c>
      <c r="G82" s="536"/>
      <c r="H82" s="536"/>
      <c r="I82" s="536"/>
      <c r="J82" s="536"/>
      <c r="K82" s="536"/>
      <c r="L82" s="536"/>
      <c r="M82" s="536"/>
      <c r="N82" s="536"/>
      <c r="O82" s="536"/>
      <c r="P82" s="536"/>
      <c r="Q82" s="536"/>
      <c r="R82" s="536"/>
      <c r="S82" s="536"/>
      <c r="T82" s="536"/>
      <c r="U82" s="536"/>
      <c r="V82" s="536"/>
      <c r="W82" s="536"/>
      <c r="X82" s="536"/>
      <c r="Y82" s="536"/>
      <c r="Z82" s="536"/>
      <c r="AA82" s="566" t="s">
        <v>1092</v>
      </c>
      <c r="AB82" s="536"/>
      <c r="AC82" s="536"/>
      <c r="AG82" s="536"/>
    </row>
    <row r="83" spans="2:33" s="531" customFormat="1" ht="18" customHeight="1" outlineLevel="2" x14ac:dyDescent="0.25">
      <c r="B83" s="532"/>
      <c r="C83" s="545"/>
      <c r="D83" s="545" t="s">
        <v>1407</v>
      </c>
      <c r="E83" s="578">
        <v>162500</v>
      </c>
      <c r="F83" s="577" t="s">
        <v>1187</v>
      </c>
      <c r="G83" s="536"/>
      <c r="H83" s="536"/>
      <c r="I83" s="536"/>
      <c r="J83" s="536"/>
      <c r="K83" s="536"/>
      <c r="L83" s="536"/>
      <c r="M83" s="536"/>
      <c r="N83" s="536"/>
      <c r="O83" s="536"/>
      <c r="P83" s="536"/>
      <c r="Q83" s="536"/>
      <c r="R83" s="536"/>
      <c r="S83" s="536"/>
      <c r="T83" s="536"/>
      <c r="U83" s="536"/>
      <c r="V83" s="536"/>
      <c r="W83" s="536"/>
      <c r="X83" s="536"/>
      <c r="Y83" s="536"/>
      <c r="Z83" s="536"/>
      <c r="AA83" s="536"/>
      <c r="AB83" s="536"/>
      <c r="AC83" s="536"/>
      <c r="AG83" s="536"/>
    </row>
    <row r="84" spans="2:33" s="531" customFormat="1" ht="18" customHeight="1" outlineLevel="2" x14ac:dyDescent="0.25">
      <c r="B84" s="532"/>
      <c r="C84" s="545"/>
      <c r="D84" s="545" t="s">
        <v>1408</v>
      </c>
      <c r="E84" s="578">
        <v>130000</v>
      </c>
      <c r="F84" s="577" t="s">
        <v>1188</v>
      </c>
      <c r="G84" s="536"/>
      <c r="H84" s="536"/>
      <c r="I84" s="536"/>
      <c r="J84" s="536"/>
      <c r="K84" s="536"/>
      <c r="L84" s="536"/>
      <c r="M84" s="536"/>
      <c r="N84" s="536"/>
      <c r="O84" s="536"/>
      <c r="P84" s="536"/>
      <c r="Q84" s="536"/>
      <c r="R84" s="536"/>
      <c r="S84" s="536"/>
      <c r="T84" s="536"/>
      <c r="U84" s="536"/>
      <c r="V84" s="536"/>
      <c r="W84" s="536"/>
      <c r="X84" s="536"/>
      <c r="Y84" s="536"/>
      <c r="Z84" s="536"/>
      <c r="AA84" s="566" t="s">
        <v>1092</v>
      </c>
      <c r="AB84" s="536"/>
      <c r="AC84" s="536"/>
      <c r="AG84" s="536"/>
    </row>
    <row r="85" spans="2:33" s="531" customFormat="1" ht="18" customHeight="1" outlineLevel="2" x14ac:dyDescent="0.25">
      <c r="B85" s="532"/>
      <c r="C85" s="545"/>
      <c r="D85" s="545" t="s">
        <v>1409</v>
      </c>
      <c r="E85" s="578">
        <v>374400</v>
      </c>
      <c r="F85" s="577" t="s">
        <v>1189</v>
      </c>
      <c r="G85" s="536"/>
      <c r="H85" s="536"/>
      <c r="I85" s="536"/>
      <c r="J85" s="536"/>
      <c r="K85" s="536"/>
      <c r="L85" s="536"/>
      <c r="M85" s="536"/>
      <c r="N85" s="536"/>
      <c r="O85" s="536"/>
      <c r="P85" s="536"/>
      <c r="Q85" s="536"/>
      <c r="R85" s="536"/>
      <c r="S85" s="536"/>
      <c r="T85" s="536"/>
      <c r="U85" s="536"/>
      <c r="V85" s="536"/>
      <c r="W85" s="536"/>
      <c r="X85" s="536"/>
      <c r="Y85" s="536"/>
      <c r="Z85" s="536"/>
      <c r="AA85" s="536"/>
      <c r="AB85" s="536"/>
      <c r="AC85" s="536"/>
      <c r="AG85" s="536"/>
    </row>
    <row r="86" spans="2:33" ht="15.75" outlineLevel="2" x14ac:dyDescent="0.25">
      <c r="B86" s="532"/>
      <c r="C86" s="532"/>
      <c r="D86" s="580" t="s">
        <v>1410</v>
      </c>
      <c r="E86" s="578">
        <v>312000</v>
      </c>
      <c r="F86" s="577" t="s">
        <v>1190</v>
      </c>
    </row>
    <row r="87" spans="2:33" s="531" customFormat="1" ht="18" customHeight="1" outlineLevel="2" x14ac:dyDescent="0.25">
      <c r="B87" s="532"/>
      <c r="C87" s="545"/>
      <c r="D87" s="545" t="s">
        <v>1411</v>
      </c>
      <c r="E87" s="578">
        <v>720000</v>
      </c>
      <c r="F87" s="577" t="s">
        <v>1191</v>
      </c>
      <c r="G87" s="536"/>
      <c r="H87" s="536"/>
      <c r="I87" s="536"/>
      <c r="J87" s="536"/>
      <c r="K87" s="536"/>
      <c r="L87" s="536"/>
      <c r="M87" s="536"/>
      <c r="N87" s="536"/>
      <c r="O87" s="536"/>
      <c r="P87" s="536"/>
      <c r="Q87" s="536"/>
      <c r="R87" s="536"/>
      <c r="S87" s="536"/>
      <c r="T87" s="536"/>
      <c r="U87" s="536"/>
      <c r="V87" s="536"/>
      <c r="W87" s="536"/>
      <c r="X87" s="536"/>
      <c r="Y87" s="536"/>
      <c r="Z87" s="536"/>
      <c r="AA87" s="536"/>
      <c r="AB87" s="536"/>
      <c r="AC87" s="536"/>
      <c r="AG87" s="536"/>
    </row>
    <row r="88" spans="2:33" ht="15.75" outlineLevel="2" x14ac:dyDescent="0.25">
      <c r="B88" s="532"/>
      <c r="C88" s="532"/>
      <c r="D88" s="580" t="s">
        <v>1412</v>
      </c>
      <c r="E88" s="581">
        <v>600000</v>
      </c>
      <c r="F88" s="577" t="s">
        <v>1192</v>
      </c>
    </row>
    <row r="89" spans="2:33" s="531" customFormat="1" ht="18" customHeight="1" outlineLevel="2" x14ac:dyDescent="0.25">
      <c r="B89" s="532"/>
      <c r="C89" s="545"/>
      <c r="D89" s="545" t="s">
        <v>1413</v>
      </c>
      <c r="E89" s="578">
        <v>2136000</v>
      </c>
      <c r="F89" s="577" t="s">
        <v>1193</v>
      </c>
      <c r="G89" s="536"/>
      <c r="H89" s="536"/>
      <c r="I89" s="536"/>
      <c r="J89" s="536"/>
      <c r="K89" s="536"/>
      <c r="L89" s="536"/>
      <c r="M89" s="536"/>
      <c r="N89" s="536"/>
      <c r="O89" s="536"/>
      <c r="P89" s="536"/>
      <c r="Q89" s="536"/>
      <c r="R89" s="536"/>
      <c r="S89" s="536"/>
      <c r="T89" s="536"/>
      <c r="U89" s="536"/>
      <c r="V89" s="536"/>
      <c r="W89" s="536"/>
      <c r="X89" s="536"/>
      <c r="Y89" s="536"/>
      <c r="Z89" s="536"/>
      <c r="AA89" s="536"/>
      <c r="AB89" s="536"/>
      <c r="AC89" s="536"/>
      <c r="AG89" s="536"/>
    </row>
    <row r="90" spans="2:33" ht="15.75" outlineLevel="2" x14ac:dyDescent="0.25">
      <c r="B90" s="532"/>
      <c r="C90" s="532"/>
      <c r="D90" s="580" t="s">
        <v>1414</v>
      </c>
      <c r="E90" s="581">
        <v>1780000</v>
      </c>
      <c r="F90" s="577" t="s">
        <v>1194</v>
      </c>
    </row>
    <row r="91" spans="2:33" ht="15.75" outlineLevel="2" x14ac:dyDescent="0.25">
      <c r="B91" s="532"/>
      <c r="C91" s="545"/>
      <c r="D91" s="545" t="s">
        <v>1415</v>
      </c>
      <c r="E91" s="578">
        <v>3552000</v>
      </c>
      <c r="F91" s="577" t="s">
        <v>1195</v>
      </c>
    </row>
    <row r="92" spans="2:33" ht="15.75" outlineLevel="2" x14ac:dyDescent="0.25">
      <c r="B92" s="532"/>
      <c r="C92" s="532"/>
      <c r="D92" s="580" t="s">
        <v>1416</v>
      </c>
      <c r="E92" s="581">
        <v>2960000</v>
      </c>
      <c r="F92" s="577" t="s">
        <v>1196</v>
      </c>
    </row>
    <row r="93" spans="2:33" ht="15.75" outlineLevel="2" x14ac:dyDescent="0.25">
      <c r="B93" s="532"/>
      <c r="C93" s="532"/>
      <c r="D93" s="580" t="s">
        <v>1417</v>
      </c>
      <c r="E93" s="581">
        <v>5906000</v>
      </c>
      <c r="F93" s="577" t="s">
        <v>1197</v>
      </c>
      <c r="G93" s="582"/>
      <c r="H93" s="582"/>
      <c r="I93" s="582"/>
      <c r="J93" s="582"/>
      <c r="K93" s="582"/>
      <c r="L93" s="582"/>
      <c r="M93" s="582"/>
      <c r="N93" s="582"/>
      <c r="O93" s="582"/>
      <c r="P93" s="582"/>
      <c r="Q93" s="582"/>
      <c r="R93" s="582"/>
      <c r="S93" s="582"/>
      <c r="T93" s="582"/>
      <c r="U93" s="582"/>
      <c r="V93" s="582"/>
      <c r="W93" s="582"/>
      <c r="X93" s="582"/>
      <c r="Y93" s="582"/>
    </row>
    <row r="94" spans="2:33" ht="15.75" outlineLevel="2" x14ac:dyDescent="0.25">
      <c r="B94" s="532"/>
      <c r="C94" s="545"/>
      <c r="D94" s="545" t="s">
        <v>1198</v>
      </c>
      <c r="E94" s="581">
        <v>50400</v>
      </c>
      <c r="F94" s="577" t="s">
        <v>1199</v>
      </c>
      <c r="G94" s="582"/>
      <c r="H94" s="582"/>
      <c r="I94" s="582"/>
      <c r="J94" s="582"/>
      <c r="K94" s="582"/>
      <c r="L94" s="582"/>
      <c r="M94" s="540" t="s">
        <v>1088</v>
      </c>
      <c r="N94" s="582"/>
      <c r="O94" s="582"/>
      <c r="P94" s="582"/>
      <c r="Q94" s="582"/>
      <c r="R94" s="582"/>
      <c r="S94" s="582"/>
      <c r="T94" s="582"/>
      <c r="U94" s="582"/>
      <c r="V94" s="582"/>
      <c r="W94" s="582"/>
      <c r="X94" s="582"/>
      <c r="Y94" s="582"/>
    </row>
    <row r="95" spans="2:33" ht="15.75" outlineLevel="2" x14ac:dyDescent="0.25">
      <c r="B95" s="532"/>
      <c r="C95" s="532"/>
      <c r="D95" s="580" t="s">
        <v>1200</v>
      </c>
      <c r="E95" s="581">
        <v>50400</v>
      </c>
      <c r="F95" s="577" t="s">
        <v>1201</v>
      </c>
      <c r="G95" s="582"/>
      <c r="H95" s="582"/>
      <c r="I95" s="582"/>
      <c r="J95" s="582"/>
      <c r="K95" s="582"/>
      <c r="L95" s="582"/>
      <c r="M95" s="582"/>
      <c r="N95" s="582"/>
      <c r="O95" s="582"/>
      <c r="P95" s="582"/>
      <c r="Q95" s="582"/>
      <c r="R95" s="582"/>
      <c r="S95" s="582"/>
      <c r="T95" s="582"/>
      <c r="U95" s="582"/>
      <c r="V95" s="582"/>
      <c r="W95" s="582"/>
      <c r="X95" s="582"/>
      <c r="Y95" s="582"/>
      <c r="AB95" s="566" t="s">
        <v>1092</v>
      </c>
    </row>
    <row r="96" spans="2:33" ht="15.75" outlineLevel="2" x14ac:dyDescent="0.25">
      <c r="B96" s="532"/>
      <c r="C96" s="532"/>
      <c r="D96" s="580" t="s">
        <v>1202</v>
      </c>
      <c r="E96" s="581">
        <v>60500</v>
      </c>
      <c r="F96" s="577" t="s">
        <v>1203</v>
      </c>
      <c r="G96" s="519"/>
      <c r="H96" s="519"/>
      <c r="I96" s="519"/>
      <c r="J96" s="519"/>
      <c r="K96" s="519"/>
      <c r="L96" s="519"/>
      <c r="M96" s="519"/>
      <c r="N96" s="519"/>
      <c r="O96" s="519"/>
      <c r="P96" s="519"/>
      <c r="Q96" s="519"/>
      <c r="R96" s="519"/>
      <c r="S96" s="519"/>
      <c r="T96" s="519"/>
      <c r="U96" s="519"/>
      <c r="V96" s="519"/>
      <c r="W96" s="519"/>
      <c r="X96" s="519"/>
      <c r="Y96" s="519"/>
      <c r="AB96" s="566" t="s">
        <v>1092</v>
      </c>
    </row>
    <row r="97" spans="2:28" ht="15.75" outlineLevel="2" x14ac:dyDescent="0.25">
      <c r="B97" s="532"/>
      <c r="C97" s="545"/>
      <c r="D97" s="545" t="s">
        <v>1204</v>
      </c>
      <c r="E97" s="581">
        <v>96100</v>
      </c>
      <c r="F97" s="577" t="s">
        <v>1205</v>
      </c>
      <c r="G97" s="582"/>
      <c r="H97" s="582"/>
      <c r="I97" s="582"/>
      <c r="J97" s="582"/>
      <c r="K97" s="582"/>
      <c r="L97" s="582"/>
      <c r="M97" s="540" t="s">
        <v>1088</v>
      </c>
      <c r="N97" s="582"/>
      <c r="O97" s="582"/>
      <c r="P97" s="582"/>
      <c r="Q97" s="582"/>
      <c r="R97" s="582"/>
      <c r="S97" s="582"/>
      <c r="T97" s="582"/>
      <c r="U97" s="582"/>
      <c r="V97" s="582"/>
      <c r="W97" s="582"/>
      <c r="X97" s="582"/>
      <c r="Y97" s="582"/>
      <c r="AB97" s="566"/>
    </row>
    <row r="98" spans="2:28" ht="15.75" outlineLevel="2" x14ac:dyDescent="0.25">
      <c r="B98" s="532"/>
      <c r="C98" s="532"/>
      <c r="D98" s="580" t="s">
        <v>1206</v>
      </c>
      <c r="E98" s="581">
        <v>96100</v>
      </c>
      <c r="F98" s="577" t="s">
        <v>1207</v>
      </c>
      <c r="G98" s="582"/>
      <c r="H98" s="582"/>
      <c r="I98" s="582"/>
      <c r="J98" s="582"/>
      <c r="K98" s="582"/>
      <c r="L98" s="582"/>
      <c r="M98" s="582"/>
      <c r="N98" s="582"/>
      <c r="O98" s="582"/>
      <c r="P98" s="582"/>
      <c r="Q98" s="582"/>
      <c r="R98" s="582"/>
      <c r="S98" s="582"/>
      <c r="T98" s="582"/>
      <c r="U98" s="582"/>
      <c r="V98" s="582"/>
      <c r="W98" s="582"/>
      <c r="X98" s="582"/>
      <c r="Y98" s="582"/>
    </row>
    <row r="99" spans="2:28" ht="16.5" customHeight="1" outlineLevel="2" x14ac:dyDescent="0.25">
      <c r="B99" s="532"/>
      <c r="C99" s="532"/>
      <c r="D99" s="580" t="s">
        <v>1208</v>
      </c>
      <c r="E99" s="581">
        <v>103700</v>
      </c>
      <c r="F99" s="577" t="s">
        <v>1209</v>
      </c>
    </row>
    <row r="100" spans="2:28" ht="16.5" customHeight="1" outlineLevel="2" x14ac:dyDescent="0.25">
      <c r="B100" s="532"/>
      <c r="C100" s="545"/>
      <c r="D100" s="545" t="s">
        <v>1210</v>
      </c>
      <c r="E100" s="578">
        <v>180000</v>
      </c>
      <c r="F100" s="577" t="s">
        <v>1211</v>
      </c>
      <c r="M100" s="540" t="s">
        <v>1088</v>
      </c>
    </row>
    <row r="101" spans="2:28" ht="16.5" customHeight="1" outlineLevel="2" x14ac:dyDescent="0.25">
      <c r="B101" s="532"/>
      <c r="C101" s="545"/>
      <c r="D101" s="545" t="s">
        <v>1212</v>
      </c>
      <c r="E101" s="578">
        <v>180000</v>
      </c>
      <c r="F101" s="577" t="s">
        <v>1213</v>
      </c>
      <c r="AB101" s="566" t="s">
        <v>1092</v>
      </c>
    </row>
    <row r="102" spans="2:28" ht="15.75" outlineLevel="2" x14ac:dyDescent="0.25">
      <c r="B102" s="532"/>
      <c r="C102" s="553"/>
      <c r="D102" s="553" t="s">
        <v>1214</v>
      </c>
      <c r="E102" s="578">
        <v>216000</v>
      </c>
      <c r="F102" s="577" t="s">
        <v>1215</v>
      </c>
    </row>
    <row r="104" spans="2:28" ht="15.75" x14ac:dyDescent="0.25">
      <c r="B104" s="583" t="s">
        <v>1216</v>
      </c>
      <c r="C104" s="583"/>
    </row>
    <row r="105" spans="2:28" ht="34.5" outlineLevel="1" x14ac:dyDescent="0.2">
      <c r="D105" s="584" t="s">
        <v>1217</v>
      </c>
    </row>
    <row r="106" spans="2:28" ht="81.75" outlineLevel="1" x14ac:dyDescent="0.2">
      <c r="D106" s="585" t="s">
        <v>1218</v>
      </c>
    </row>
    <row r="107" spans="2:28" ht="50.25" outlineLevel="1" x14ac:dyDescent="0.2">
      <c r="D107" s="585" t="s">
        <v>1219</v>
      </c>
    </row>
    <row r="108" spans="2:28" ht="72" customHeight="1" outlineLevel="1" x14ac:dyDescent="0.2">
      <c r="D108" s="585" t="s">
        <v>1220</v>
      </c>
    </row>
    <row r="109" spans="2:28" ht="42.75" customHeight="1" outlineLevel="1" x14ac:dyDescent="0.2">
      <c r="D109" s="585" t="s">
        <v>1221</v>
      </c>
    </row>
    <row r="110" spans="2:28" ht="66" outlineLevel="1" x14ac:dyDescent="0.2">
      <c r="D110" s="584" t="s">
        <v>1222</v>
      </c>
    </row>
    <row r="111" spans="2:28" ht="66" outlineLevel="1" x14ac:dyDescent="0.2">
      <c r="D111" s="584" t="s">
        <v>1223</v>
      </c>
    </row>
    <row r="112" spans="2:28" ht="34.5" outlineLevel="1" x14ac:dyDescent="0.2">
      <c r="D112" s="584" t="s">
        <v>1224</v>
      </c>
    </row>
    <row r="113" spans="2:33" ht="34.5" outlineLevel="1" x14ac:dyDescent="0.2">
      <c r="D113" s="584" t="s">
        <v>1225</v>
      </c>
    </row>
    <row r="114" spans="2:33" ht="34.5" outlineLevel="1" x14ac:dyDescent="0.2">
      <c r="D114" s="584" t="s">
        <v>1226</v>
      </c>
    </row>
    <row r="115" spans="2:33" ht="50.25" outlineLevel="1" x14ac:dyDescent="0.2">
      <c r="D115" s="584" t="s">
        <v>1227</v>
      </c>
      <c r="AE115" s="572" t="s">
        <v>1138</v>
      </c>
    </row>
    <row r="116" spans="2:33" ht="50.25" outlineLevel="1" x14ac:dyDescent="0.2">
      <c r="D116" s="584" t="s">
        <v>1228</v>
      </c>
    </row>
    <row r="117" spans="2:33" ht="34.5" outlineLevel="1" x14ac:dyDescent="0.2">
      <c r="D117" s="584" t="s">
        <v>1229</v>
      </c>
    </row>
    <row r="118" spans="2:33" ht="34.5" outlineLevel="1" x14ac:dyDescent="0.2">
      <c r="D118" s="584" t="s">
        <v>1230</v>
      </c>
      <c r="AF118" s="572" t="s">
        <v>1138</v>
      </c>
    </row>
    <row r="119" spans="2:33" ht="88.5" outlineLevel="1" x14ac:dyDescent="0.2">
      <c r="D119" s="584" t="s">
        <v>1231</v>
      </c>
      <c r="AF119" s="572" t="s">
        <v>1138</v>
      </c>
    </row>
    <row r="120" spans="2:33" ht="34.5" outlineLevel="1" x14ac:dyDescent="0.2">
      <c r="D120" s="584" t="s">
        <v>1232</v>
      </c>
      <c r="AF120" s="572"/>
    </row>
    <row r="121" spans="2:33" ht="34.5" outlineLevel="1" x14ac:dyDescent="0.2">
      <c r="D121" s="586" t="s">
        <v>1233</v>
      </c>
      <c r="M121" s="539"/>
      <c r="N121" s="540" t="s">
        <v>1234</v>
      </c>
      <c r="AF121" s="572"/>
    </row>
    <row r="122" spans="2:33" ht="94.35" customHeight="1" outlineLevel="1" x14ac:dyDescent="0.2">
      <c r="D122" s="584" t="s">
        <v>1235</v>
      </c>
      <c r="Q122" s="542" t="s">
        <v>1236</v>
      </c>
      <c r="AF122" s="572"/>
    </row>
    <row r="123" spans="2:33" ht="44.1" customHeight="1" outlineLevel="1" x14ac:dyDescent="0.2">
      <c r="D123" s="584" t="s">
        <v>1237</v>
      </c>
      <c r="Q123" s="542"/>
      <c r="AF123" s="572"/>
    </row>
    <row r="125" spans="2:33" ht="22.5" x14ac:dyDescent="0.2">
      <c r="B125" s="529" t="s">
        <v>1238</v>
      </c>
      <c r="C125" s="529"/>
      <c r="D125" s="530" t="s">
        <v>1239</v>
      </c>
      <c r="E125" s="587" t="s">
        <v>1240</v>
      </c>
      <c r="F125" s="587" t="s">
        <v>1067</v>
      </c>
      <c r="M125" s="539"/>
      <c r="N125" s="540" t="s">
        <v>1075</v>
      </c>
      <c r="O125" s="588" t="s">
        <v>1241</v>
      </c>
      <c r="Z125" s="542" t="s">
        <v>1121</v>
      </c>
    </row>
    <row r="126" spans="2:33" ht="41.25" customHeight="1" outlineLevel="1" x14ac:dyDescent="0.2">
      <c r="C126" s="618"/>
      <c r="D126" s="618"/>
      <c r="E126" s="618"/>
      <c r="F126" s="619"/>
      <c r="M126" s="527"/>
      <c r="N126" s="588" t="s">
        <v>1243</v>
      </c>
      <c r="O126" s="588" t="s">
        <v>1244</v>
      </c>
    </row>
    <row r="127" spans="2:33" ht="30.75" customHeight="1" outlineLevel="1" x14ac:dyDescent="0.2">
      <c r="B127" s="532"/>
      <c r="C127" s="617" t="s">
        <v>1242</v>
      </c>
      <c r="D127" s="533" t="s">
        <v>1622</v>
      </c>
      <c r="E127" s="589">
        <f>E131+E$155</f>
        <v>92384</v>
      </c>
      <c r="F127" s="590" t="s">
        <v>299</v>
      </c>
      <c r="M127" s="539"/>
      <c r="N127" s="540" t="s">
        <v>1075</v>
      </c>
      <c r="O127" s="540" t="s">
        <v>1245</v>
      </c>
      <c r="T127" s="542" t="s">
        <v>1246</v>
      </c>
      <c r="Z127" s="519"/>
      <c r="AA127" s="519"/>
      <c r="AB127" s="519"/>
      <c r="AC127" s="519"/>
      <c r="AG127" s="519"/>
    </row>
    <row r="128" spans="2:33" ht="18.75" customHeight="1" outlineLevel="1" x14ac:dyDescent="0.2">
      <c r="B128" s="532"/>
      <c r="C128" s="532"/>
      <c r="D128" s="533" t="s">
        <v>1623</v>
      </c>
      <c r="E128" s="589">
        <f>E132+E$161</f>
        <v>48750</v>
      </c>
      <c r="F128" s="590" t="s">
        <v>299</v>
      </c>
      <c r="M128" s="539"/>
      <c r="N128" s="540" t="s">
        <v>1075</v>
      </c>
      <c r="O128" s="540" t="s">
        <v>1245</v>
      </c>
      <c r="T128" s="542" t="s">
        <v>1246</v>
      </c>
    </row>
    <row r="129" spans="2:33" ht="18.75" customHeight="1" outlineLevel="1" x14ac:dyDescent="0.2">
      <c r="B129" s="560"/>
      <c r="C129" s="560"/>
      <c r="D129" s="533" t="s">
        <v>1624</v>
      </c>
      <c r="E129" s="591">
        <f>E133+E$164</f>
        <v>26130</v>
      </c>
      <c r="F129" s="592" t="s">
        <v>299</v>
      </c>
      <c r="M129" s="539"/>
      <c r="N129" s="540" t="s">
        <v>1075</v>
      </c>
      <c r="O129" s="540" t="s">
        <v>1245</v>
      </c>
      <c r="T129" s="542" t="s">
        <v>1246</v>
      </c>
      <c r="V129" s="542" t="s">
        <v>1247</v>
      </c>
    </row>
    <row r="130" spans="2:33" ht="18.75" customHeight="1" outlineLevel="1" x14ac:dyDescent="0.2">
      <c r="B130" s="560"/>
      <c r="C130" s="560"/>
      <c r="D130" s="533" t="s">
        <v>1625</v>
      </c>
      <c r="E130" s="591">
        <f>E134+E$166</f>
        <v>12251</v>
      </c>
      <c r="F130" s="592" t="s">
        <v>299</v>
      </c>
      <c r="G130" s="593"/>
      <c r="H130" s="593"/>
      <c r="I130" s="593"/>
      <c r="J130" s="593"/>
      <c r="K130" s="593"/>
      <c r="L130" s="593"/>
      <c r="M130" s="539"/>
      <c r="N130" s="540" t="s">
        <v>1075</v>
      </c>
      <c r="O130" s="540" t="s">
        <v>1245</v>
      </c>
      <c r="P130" s="593"/>
      <c r="Q130" s="593"/>
      <c r="R130" s="593"/>
      <c r="S130" s="593"/>
      <c r="T130" s="542" t="s">
        <v>1246</v>
      </c>
      <c r="U130" s="593"/>
      <c r="V130" s="542" t="s">
        <v>1247</v>
      </c>
      <c r="W130" s="593"/>
      <c r="X130" s="593"/>
      <c r="Y130" s="593"/>
    </row>
    <row r="131" spans="2:33" ht="18.75" customHeight="1" outlineLevel="1" x14ac:dyDescent="0.2">
      <c r="B131" s="532"/>
      <c r="C131" s="532"/>
      <c r="D131" s="532" t="s">
        <v>1618</v>
      </c>
      <c r="E131" s="594">
        <v>72800</v>
      </c>
      <c r="F131" s="595">
        <v>2900002256536</v>
      </c>
      <c r="G131" s="593"/>
      <c r="H131" s="593"/>
      <c r="I131" s="593"/>
      <c r="J131" s="593"/>
      <c r="K131" s="593"/>
      <c r="L131" s="593"/>
      <c r="M131" s="539"/>
      <c r="N131" s="540" t="s">
        <v>1088</v>
      </c>
      <c r="O131" s="593"/>
      <c r="P131" s="593"/>
      <c r="Q131" s="593"/>
      <c r="R131" s="593"/>
      <c r="S131" s="593"/>
      <c r="T131" s="542" t="s">
        <v>1248</v>
      </c>
      <c r="U131" s="593"/>
      <c r="V131" s="542"/>
      <c r="W131" s="593"/>
      <c r="X131" s="593"/>
      <c r="Y131" s="593"/>
    </row>
    <row r="132" spans="2:33" ht="18.75" customHeight="1" outlineLevel="1" x14ac:dyDescent="0.2">
      <c r="B132" s="532"/>
      <c r="C132" s="532"/>
      <c r="D132" s="532" t="s">
        <v>1619</v>
      </c>
      <c r="E132" s="594">
        <v>38400</v>
      </c>
      <c r="F132" s="595">
        <v>2900002256543</v>
      </c>
      <c r="G132" s="593"/>
      <c r="H132" s="593"/>
      <c r="I132" s="593"/>
      <c r="J132" s="593"/>
      <c r="K132" s="593"/>
      <c r="L132" s="593"/>
      <c r="M132" s="539"/>
      <c r="N132" s="540" t="s">
        <v>1088</v>
      </c>
      <c r="O132" s="593"/>
      <c r="P132" s="593"/>
      <c r="Q132" s="593"/>
      <c r="R132" s="593"/>
      <c r="S132" s="593"/>
      <c r="T132" s="542" t="s">
        <v>1248</v>
      </c>
      <c r="U132" s="593"/>
      <c r="V132" s="593"/>
      <c r="W132" s="593"/>
      <c r="X132" s="593"/>
      <c r="Y132" s="593"/>
    </row>
    <row r="133" spans="2:33" ht="18.75" customHeight="1" outlineLevel="1" x14ac:dyDescent="0.2">
      <c r="B133" s="532"/>
      <c r="C133" s="532"/>
      <c r="D133" s="532" t="s">
        <v>1620</v>
      </c>
      <c r="E133" s="594">
        <v>20400</v>
      </c>
      <c r="F133" s="595">
        <v>2900002256550</v>
      </c>
      <c r="G133" s="593"/>
      <c r="H133" s="593"/>
      <c r="I133" s="593"/>
      <c r="J133" s="593"/>
      <c r="K133" s="593"/>
      <c r="L133" s="593"/>
      <c r="M133" s="539"/>
      <c r="N133" s="540" t="s">
        <v>1088</v>
      </c>
      <c r="O133" s="593"/>
      <c r="P133" s="593"/>
      <c r="Q133" s="593"/>
      <c r="R133" s="593"/>
      <c r="S133" s="593"/>
      <c r="T133" s="542" t="s">
        <v>1248</v>
      </c>
      <c r="U133" s="593"/>
      <c r="V133" s="593"/>
      <c r="W133" s="593"/>
      <c r="X133" s="593"/>
      <c r="Y133" s="593"/>
    </row>
    <row r="134" spans="2:33" ht="18.75" customHeight="1" outlineLevel="1" x14ac:dyDescent="0.2">
      <c r="B134" s="532"/>
      <c r="C134" s="532"/>
      <c r="D134" s="532" t="s">
        <v>1621</v>
      </c>
      <c r="E134" s="594">
        <v>9600</v>
      </c>
      <c r="F134" s="595">
        <v>2900002256567</v>
      </c>
      <c r="G134" s="593"/>
      <c r="H134" s="593"/>
      <c r="I134" s="593"/>
      <c r="J134" s="593"/>
      <c r="K134" s="593"/>
      <c r="L134" s="593"/>
      <c r="M134" s="539"/>
      <c r="N134" s="540" t="s">
        <v>1088</v>
      </c>
      <c r="O134" s="593"/>
      <c r="P134" s="593"/>
      <c r="Q134" s="593"/>
      <c r="R134" s="593"/>
      <c r="S134" s="593"/>
      <c r="T134" s="542" t="s">
        <v>1248</v>
      </c>
      <c r="U134" s="593"/>
      <c r="V134" s="593"/>
      <c r="W134" s="593"/>
      <c r="X134" s="593"/>
      <c r="Y134" s="593"/>
    </row>
    <row r="135" spans="2:33" ht="70.5" customHeight="1" outlineLevel="1" x14ac:dyDescent="0.2">
      <c r="B135" s="532"/>
      <c r="C135" s="617" t="s">
        <v>1249</v>
      </c>
      <c r="D135" s="532" t="s">
        <v>1618</v>
      </c>
      <c r="E135" s="594">
        <v>72800</v>
      </c>
      <c r="F135" s="595">
        <v>2900002256536</v>
      </c>
      <c r="M135" s="539"/>
      <c r="N135" s="540" t="s">
        <v>1088</v>
      </c>
      <c r="T135" s="542"/>
    </row>
    <row r="136" spans="2:33" ht="18.75" customHeight="1" outlineLevel="1" x14ac:dyDescent="0.2">
      <c r="B136" s="532"/>
      <c r="C136" s="532"/>
      <c r="D136" s="532" t="s">
        <v>1619</v>
      </c>
      <c r="E136" s="594">
        <v>38400</v>
      </c>
      <c r="F136" s="595">
        <v>2900002256543</v>
      </c>
      <c r="M136" s="539"/>
      <c r="N136" s="540" t="s">
        <v>1088</v>
      </c>
      <c r="T136" s="542"/>
    </row>
    <row r="137" spans="2:33" ht="18.75" customHeight="1" outlineLevel="1" x14ac:dyDescent="0.2">
      <c r="B137" s="532"/>
      <c r="C137" s="532"/>
      <c r="D137" s="532" t="s">
        <v>1626</v>
      </c>
      <c r="E137" s="594">
        <v>20400</v>
      </c>
      <c r="F137" s="595">
        <v>2900002256550</v>
      </c>
      <c r="M137" s="539"/>
      <c r="N137" s="540" t="s">
        <v>1088</v>
      </c>
      <c r="T137" s="542"/>
    </row>
    <row r="138" spans="2:33" ht="18.75" customHeight="1" outlineLevel="1" x14ac:dyDescent="0.2">
      <c r="B138" s="532"/>
      <c r="C138" s="532"/>
      <c r="D138" s="532" t="s">
        <v>1621</v>
      </c>
      <c r="E138" s="594">
        <v>9600</v>
      </c>
      <c r="F138" s="595">
        <v>2900002256567</v>
      </c>
      <c r="M138" s="539"/>
      <c r="N138" s="540" t="s">
        <v>1088</v>
      </c>
      <c r="T138" s="542"/>
    </row>
    <row r="139" spans="2:33" ht="57.75" customHeight="1" outlineLevel="1" x14ac:dyDescent="0.2">
      <c r="B139" s="532"/>
      <c r="C139" s="617" t="s">
        <v>1250</v>
      </c>
      <c r="D139" s="533" t="s">
        <v>1627</v>
      </c>
      <c r="E139" s="597">
        <f>E143+E$155</f>
        <v>55984</v>
      </c>
      <c r="F139" s="590" t="s">
        <v>299</v>
      </c>
      <c r="G139" s="593"/>
      <c r="H139" s="593"/>
      <c r="I139" s="593"/>
      <c r="J139" s="593"/>
      <c r="K139" s="593"/>
      <c r="L139" s="593"/>
      <c r="M139" s="539"/>
      <c r="N139" s="540" t="s">
        <v>1075</v>
      </c>
      <c r="O139" s="540" t="s">
        <v>1245</v>
      </c>
      <c r="P139" s="593"/>
      <c r="Q139" s="593"/>
      <c r="R139" s="593"/>
      <c r="S139" s="593"/>
      <c r="T139" s="542" t="s">
        <v>1246</v>
      </c>
      <c r="U139" s="593"/>
      <c r="V139" s="593"/>
      <c r="W139" s="593"/>
      <c r="X139" s="593"/>
      <c r="Y139" s="593"/>
      <c r="Z139" s="519"/>
      <c r="AA139" s="519"/>
      <c r="AB139" s="519"/>
      <c r="AC139" s="519"/>
      <c r="AG139" s="519"/>
    </row>
    <row r="140" spans="2:33" ht="18.75" customHeight="1" outlineLevel="1" x14ac:dyDescent="0.2">
      <c r="B140" s="532"/>
      <c r="C140" s="532"/>
      <c r="D140" s="533" t="s">
        <v>1628</v>
      </c>
      <c r="E140" s="597">
        <f>E144+E$161</f>
        <v>29550</v>
      </c>
      <c r="F140" s="590" t="s">
        <v>299</v>
      </c>
      <c r="G140" s="593"/>
      <c r="H140" s="593"/>
      <c r="I140" s="593"/>
      <c r="J140" s="593"/>
      <c r="K140" s="593"/>
      <c r="L140" s="593"/>
      <c r="M140" s="539"/>
      <c r="N140" s="540" t="s">
        <v>1075</v>
      </c>
      <c r="O140" s="540" t="s">
        <v>1245</v>
      </c>
      <c r="P140" s="593"/>
      <c r="Q140" s="593"/>
      <c r="R140" s="593"/>
      <c r="S140" s="593"/>
      <c r="T140" s="542" t="s">
        <v>1246</v>
      </c>
      <c r="U140" s="593"/>
      <c r="V140" s="593"/>
      <c r="W140" s="593"/>
      <c r="X140" s="593"/>
      <c r="Y140" s="593"/>
    </row>
    <row r="141" spans="2:33" ht="18.75" customHeight="1" outlineLevel="1" x14ac:dyDescent="0.2">
      <c r="B141" s="598"/>
      <c r="C141" s="598"/>
      <c r="D141" s="533" t="s">
        <v>1629</v>
      </c>
      <c r="E141" s="591">
        <f>E145+E$164</f>
        <v>15930</v>
      </c>
      <c r="F141" s="599" t="s">
        <v>299</v>
      </c>
      <c r="G141" s="593"/>
      <c r="H141" s="593"/>
      <c r="I141" s="593"/>
      <c r="J141" s="593"/>
      <c r="K141" s="593"/>
      <c r="L141" s="593"/>
      <c r="M141" s="539"/>
      <c r="N141" s="540" t="s">
        <v>1075</v>
      </c>
      <c r="O141" s="540" t="s">
        <v>1245</v>
      </c>
      <c r="P141" s="593"/>
      <c r="Q141" s="593"/>
      <c r="R141" s="593"/>
      <c r="S141" s="593"/>
      <c r="T141" s="542" t="s">
        <v>1246</v>
      </c>
      <c r="U141" s="593"/>
      <c r="V141" s="542" t="s">
        <v>1247</v>
      </c>
      <c r="W141" s="593"/>
      <c r="X141" s="593"/>
      <c r="Y141" s="593"/>
    </row>
    <row r="142" spans="2:33" ht="18.75" customHeight="1" outlineLevel="1" x14ac:dyDescent="0.2">
      <c r="B142" s="598"/>
      <c r="C142" s="598"/>
      <c r="D142" s="533" t="s">
        <v>1630</v>
      </c>
      <c r="E142" s="591">
        <f>E146+E$166</f>
        <v>7451</v>
      </c>
      <c r="F142" s="599" t="s">
        <v>299</v>
      </c>
      <c r="G142" s="593"/>
      <c r="H142" s="593"/>
      <c r="I142" s="593"/>
      <c r="J142" s="593"/>
      <c r="K142" s="593"/>
      <c r="L142" s="593"/>
      <c r="M142" s="539"/>
      <c r="N142" s="540" t="s">
        <v>1075</v>
      </c>
      <c r="O142" s="540" t="s">
        <v>1245</v>
      </c>
      <c r="P142" s="593"/>
      <c r="Q142" s="593"/>
      <c r="R142" s="593"/>
      <c r="S142" s="593"/>
      <c r="T142" s="542" t="s">
        <v>1246</v>
      </c>
      <c r="U142" s="593"/>
      <c r="V142" s="542" t="s">
        <v>1247</v>
      </c>
      <c r="W142" s="593"/>
      <c r="X142" s="593"/>
      <c r="Y142" s="593"/>
    </row>
    <row r="143" spans="2:33" ht="18.75" customHeight="1" outlineLevel="1" x14ac:dyDescent="0.2">
      <c r="B143" s="532"/>
      <c r="C143" s="532"/>
      <c r="D143" s="532" t="s">
        <v>1631</v>
      </c>
      <c r="E143" s="600">
        <v>36400</v>
      </c>
      <c r="F143" s="601">
        <v>2900002256482</v>
      </c>
      <c r="G143" s="593"/>
      <c r="H143" s="593"/>
      <c r="I143" s="593"/>
      <c r="J143" s="593"/>
      <c r="K143" s="593"/>
      <c r="L143" s="593"/>
      <c r="M143" s="539"/>
      <c r="N143" s="540" t="s">
        <v>1088</v>
      </c>
      <c r="O143" s="593"/>
      <c r="P143" s="593"/>
      <c r="Q143" s="593"/>
      <c r="R143" s="593"/>
      <c r="S143" s="593"/>
      <c r="T143" s="542" t="s">
        <v>1248</v>
      </c>
      <c r="U143" s="593"/>
      <c r="V143" s="542"/>
      <c r="W143" s="593"/>
      <c r="X143" s="593"/>
      <c r="Y143" s="593"/>
    </row>
    <row r="144" spans="2:33" ht="18.75" customHeight="1" outlineLevel="1" x14ac:dyDescent="0.2">
      <c r="B144" s="532"/>
      <c r="C144" s="532"/>
      <c r="D144" s="532" t="s">
        <v>1632</v>
      </c>
      <c r="E144" s="600">
        <v>19200</v>
      </c>
      <c r="F144" s="595">
        <v>2900002256499</v>
      </c>
      <c r="G144" s="593"/>
      <c r="H144" s="593"/>
      <c r="I144" s="593"/>
      <c r="J144" s="593"/>
      <c r="K144" s="593"/>
      <c r="L144" s="593"/>
      <c r="M144" s="539"/>
      <c r="N144" s="540" t="s">
        <v>1088</v>
      </c>
      <c r="O144" s="593"/>
      <c r="P144" s="593"/>
      <c r="Q144" s="593"/>
      <c r="R144" s="593"/>
      <c r="S144" s="593"/>
      <c r="T144" s="542" t="s">
        <v>1248</v>
      </c>
      <c r="U144" s="593"/>
      <c r="V144" s="593"/>
      <c r="W144" s="593"/>
      <c r="X144" s="593"/>
      <c r="Y144" s="593"/>
    </row>
    <row r="145" spans="2:33" ht="18.75" customHeight="1" outlineLevel="1" x14ac:dyDescent="0.2">
      <c r="B145" s="532"/>
      <c r="C145" s="532"/>
      <c r="D145" s="532" t="s">
        <v>1633</v>
      </c>
      <c r="E145" s="600">
        <v>10200</v>
      </c>
      <c r="F145" s="595">
        <v>2900002256505</v>
      </c>
      <c r="G145" s="593"/>
      <c r="H145" s="593"/>
      <c r="I145" s="593"/>
      <c r="J145" s="593"/>
      <c r="K145" s="593"/>
      <c r="L145" s="593"/>
      <c r="M145" s="539"/>
      <c r="N145" s="540" t="s">
        <v>1088</v>
      </c>
      <c r="O145" s="593"/>
      <c r="P145" s="593"/>
      <c r="Q145" s="593"/>
      <c r="R145" s="593"/>
      <c r="S145" s="593"/>
      <c r="T145" s="542" t="s">
        <v>1248</v>
      </c>
      <c r="U145" s="593"/>
      <c r="V145" s="593"/>
      <c r="W145" s="593"/>
      <c r="X145" s="593"/>
      <c r="Y145" s="593"/>
    </row>
    <row r="146" spans="2:33" ht="18.75" customHeight="1" outlineLevel="1" x14ac:dyDescent="0.2">
      <c r="B146" s="532"/>
      <c r="C146" s="532"/>
      <c r="D146" s="532" t="s">
        <v>1634</v>
      </c>
      <c r="E146" s="600">
        <v>4800</v>
      </c>
      <c r="F146" s="595">
        <v>2900002256512</v>
      </c>
      <c r="G146" s="593"/>
      <c r="H146" s="593"/>
      <c r="I146" s="593"/>
      <c r="J146" s="593"/>
      <c r="K146" s="593"/>
      <c r="L146" s="593"/>
      <c r="M146" s="539"/>
      <c r="N146" s="540" t="s">
        <v>1088</v>
      </c>
      <c r="O146" s="593"/>
      <c r="P146" s="593"/>
      <c r="Q146" s="593"/>
      <c r="R146" s="593"/>
      <c r="S146" s="593"/>
      <c r="T146" s="542" t="s">
        <v>1248</v>
      </c>
      <c r="U146" s="593"/>
      <c r="V146" s="593"/>
      <c r="W146" s="593"/>
      <c r="X146" s="593"/>
      <c r="Y146" s="593"/>
    </row>
    <row r="147" spans="2:33" ht="71.25" customHeight="1" outlineLevel="1" x14ac:dyDescent="0.2">
      <c r="B147" s="532"/>
      <c r="C147" s="617" t="s">
        <v>1251</v>
      </c>
      <c r="D147" s="533" t="s">
        <v>1635</v>
      </c>
      <c r="E147" s="597">
        <f>E151+E$155</f>
        <v>37784</v>
      </c>
      <c r="F147" s="602" t="s">
        <v>299</v>
      </c>
      <c r="M147" s="539"/>
      <c r="N147" s="540" t="s">
        <v>1075</v>
      </c>
      <c r="O147" s="540" t="s">
        <v>1245</v>
      </c>
      <c r="T147" s="542" t="s">
        <v>1246</v>
      </c>
      <c r="Z147" s="519"/>
      <c r="AA147" s="519"/>
      <c r="AB147" s="519"/>
      <c r="AC147" s="519"/>
      <c r="AG147" s="519"/>
    </row>
    <row r="148" spans="2:33" ht="18.75" customHeight="1" outlineLevel="1" x14ac:dyDescent="0.2">
      <c r="B148" s="532"/>
      <c r="C148" s="532"/>
      <c r="D148" s="533" t="s">
        <v>1252</v>
      </c>
      <c r="E148" s="597">
        <f>E152+E$161</f>
        <v>19950</v>
      </c>
      <c r="F148" s="602" t="s">
        <v>299</v>
      </c>
      <c r="M148" s="539"/>
      <c r="N148" s="540" t="s">
        <v>1075</v>
      </c>
      <c r="O148" s="540" t="s">
        <v>1245</v>
      </c>
      <c r="T148" s="542" t="s">
        <v>1246</v>
      </c>
    </row>
    <row r="149" spans="2:33" ht="18.75" customHeight="1" outlineLevel="1" x14ac:dyDescent="0.2">
      <c r="B149" s="598"/>
      <c r="C149" s="598"/>
      <c r="D149" s="533" t="s">
        <v>1253</v>
      </c>
      <c r="E149" s="591">
        <f>E153+E$164</f>
        <v>10830</v>
      </c>
      <c r="F149" s="599" t="s">
        <v>299</v>
      </c>
      <c r="M149" s="539"/>
      <c r="N149" s="540" t="s">
        <v>1075</v>
      </c>
      <c r="O149" s="540" t="s">
        <v>1245</v>
      </c>
      <c r="T149" s="542" t="s">
        <v>1246</v>
      </c>
      <c r="V149" s="542" t="s">
        <v>1247</v>
      </c>
    </row>
    <row r="150" spans="2:33" ht="18.75" customHeight="1" outlineLevel="1" x14ac:dyDescent="0.2">
      <c r="B150" s="598"/>
      <c r="C150" s="598"/>
      <c r="D150" s="533" t="s">
        <v>1254</v>
      </c>
      <c r="E150" s="591">
        <f>E154+E$166</f>
        <v>5051</v>
      </c>
      <c r="F150" s="599" t="s">
        <v>299</v>
      </c>
      <c r="M150" s="539"/>
      <c r="N150" s="540" t="s">
        <v>1075</v>
      </c>
      <c r="O150" s="540" t="s">
        <v>1245</v>
      </c>
      <c r="T150" s="542" t="s">
        <v>1246</v>
      </c>
      <c r="V150" s="542" t="s">
        <v>1247</v>
      </c>
    </row>
    <row r="151" spans="2:33" ht="18.75" customHeight="1" outlineLevel="1" x14ac:dyDescent="0.2">
      <c r="B151" s="532"/>
      <c r="C151" s="532"/>
      <c r="D151" s="532" t="s">
        <v>1636</v>
      </c>
      <c r="E151" s="600">
        <v>18200</v>
      </c>
      <c r="F151" s="601">
        <v>2900002256437</v>
      </c>
      <c r="M151" s="539"/>
      <c r="N151" s="540" t="s">
        <v>1088</v>
      </c>
      <c r="T151" s="542" t="s">
        <v>1248</v>
      </c>
      <c r="V151" s="542"/>
    </row>
    <row r="152" spans="2:33" ht="18.75" customHeight="1" outlineLevel="1" x14ac:dyDescent="0.2">
      <c r="B152" s="532"/>
      <c r="C152" s="532"/>
      <c r="D152" s="532" t="s">
        <v>1637</v>
      </c>
      <c r="E152" s="600">
        <v>9600</v>
      </c>
      <c r="F152" s="595">
        <v>2900002256444</v>
      </c>
      <c r="G152" s="593"/>
      <c r="H152" s="593"/>
      <c r="I152" s="593"/>
      <c r="J152" s="593"/>
      <c r="K152" s="593"/>
      <c r="L152" s="593"/>
      <c r="M152" s="539"/>
      <c r="N152" s="540" t="s">
        <v>1088</v>
      </c>
      <c r="O152" s="593"/>
      <c r="P152" s="593"/>
      <c r="Q152" s="593"/>
      <c r="R152" s="593"/>
      <c r="S152" s="593"/>
      <c r="T152" s="542" t="s">
        <v>1248</v>
      </c>
      <c r="U152" s="593"/>
      <c r="V152" s="593"/>
      <c r="W152" s="593"/>
      <c r="X152" s="593"/>
      <c r="Y152" s="593"/>
    </row>
    <row r="153" spans="2:33" ht="18.75" customHeight="1" outlineLevel="1" x14ac:dyDescent="0.2">
      <c r="B153" s="532"/>
      <c r="C153" s="532"/>
      <c r="D153" s="532" t="s">
        <v>1638</v>
      </c>
      <c r="E153" s="600">
        <v>5100</v>
      </c>
      <c r="F153" s="595">
        <v>2900002256451</v>
      </c>
      <c r="G153" s="593"/>
      <c r="H153" s="593"/>
      <c r="I153" s="593"/>
      <c r="J153" s="593"/>
      <c r="K153" s="593"/>
      <c r="L153" s="593"/>
      <c r="M153" s="539"/>
      <c r="N153" s="540" t="s">
        <v>1088</v>
      </c>
      <c r="O153" s="593"/>
      <c r="P153" s="593"/>
      <c r="Q153" s="593"/>
      <c r="R153" s="593"/>
      <c r="S153" s="593"/>
      <c r="T153" s="542" t="s">
        <v>1248</v>
      </c>
      <c r="U153" s="593"/>
      <c r="V153" s="593"/>
      <c r="W153" s="593"/>
      <c r="X153" s="593"/>
      <c r="Y153" s="593"/>
    </row>
    <row r="154" spans="2:33" ht="18.75" customHeight="1" outlineLevel="1" x14ac:dyDescent="0.2">
      <c r="B154" s="532"/>
      <c r="C154" s="532"/>
      <c r="D154" s="532" t="s">
        <v>1639</v>
      </c>
      <c r="E154" s="600">
        <v>2400</v>
      </c>
      <c r="F154" s="595">
        <v>2900002256468</v>
      </c>
      <c r="G154" s="593"/>
      <c r="H154" s="593"/>
      <c r="I154" s="593"/>
      <c r="J154" s="593"/>
      <c r="K154" s="593"/>
      <c r="L154" s="593"/>
      <c r="M154" s="539"/>
      <c r="N154" s="540" t="s">
        <v>1088</v>
      </c>
      <c r="O154" s="593"/>
      <c r="P154" s="593"/>
      <c r="Q154" s="593"/>
      <c r="R154" s="593"/>
      <c r="S154" s="593"/>
      <c r="T154" s="542" t="s">
        <v>1248</v>
      </c>
      <c r="U154" s="593"/>
      <c r="V154" s="593"/>
      <c r="W154" s="593"/>
      <c r="X154" s="593"/>
      <c r="Y154" s="593"/>
    </row>
    <row r="155" spans="2:33" ht="57.75" customHeight="1" outlineLevel="1" x14ac:dyDescent="0.2">
      <c r="B155" s="532"/>
      <c r="C155" s="620" t="s">
        <v>1255</v>
      </c>
      <c r="D155" s="603" t="s">
        <v>1256</v>
      </c>
      <c r="E155" s="604">
        <v>19584</v>
      </c>
      <c r="F155" s="605" t="s">
        <v>1257</v>
      </c>
      <c r="G155" s="593"/>
      <c r="H155" s="593"/>
      <c r="I155" s="593"/>
      <c r="J155" s="593"/>
      <c r="K155" s="593"/>
      <c r="L155" s="593"/>
      <c r="M155" s="593"/>
      <c r="N155" s="593"/>
      <c r="O155" s="540" t="s">
        <v>1245</v>
      </c>
      <c r="P155" s="593"/>
      <c r="Q155" s="593"/>
      <c r="R155" s="593"/>
      <c r="S155" s="593"/>
      <c r="T155" s="542" t="s">
        <v>1246</v>
      </c>
      <c r="U155" s="593"/>
      <c r="V155" s="593"/>
      <c r="W155" s="593"/>
      <c r="X155" s="593"/>
      <c r="Y155" s="593"/>
    </row>
    <row r="156" spans="2:33" ht="18.75" customHeight="1" outlineLevel="1" x14ac:dyDescent="0.2">
      <c r="B156" s="532"/>
      <c r="C156" s="532"/>
      <c r="D156" s="603" t="s">
        <v>1258</v>
      </c>
      <c r="E156" s="604">
        <v>18048</v>
      </c>
      <c r="F156" s="605" t="s">
        <v>1259</v>
      </c>
      <c r="G156" s="593"/>
      <c r="H156" s="593"/>
      <c r="I156" s="593"/>
      <c r="J156" s="593"/>
      <c r="K156" s="593"/>
      <c r="L156" s="593"/>
      <c r="M156" s="593"/>
      <c r="N156" s="593"/>
      <c r="O156" s="540" t="s">
        <v>1245</v>
      </c>
      <c r="P156" s="593"/>
      <c r="Q156" s="593"/>
      <c r="R156" s="593"/>
      <c r="S156" s="593"/>
      <c r="T156" s="542"/>
      <c r="U156" s="593"/>
      <c r="V156" s="593"/>
      <c r="W156" s="593"/>
      <c r="X156" s="593"/>
      <c r="Y156" s="593"/>
    </row>
    <row r="157" spans="2:33" ht="18.75" customHeight="1" outlineLevel="1" x14ac:dyDescent="0.2">
      <c r="B157" s="532"/>
      <c r="C157" s="532"/>
      <c r="D157" s="603" t="s">
        <v>1260</v>
      </c>
      <c r="E157" s="604">
        <v>16508</v>
      </c>
      <c r="F157" s="605" t="s">
        <v>1261</v>
      </c>
      <c r="G157" s="593"/>
      <c r="H157" s="593"/>
      <c r="I157" s="593"/>
      <c r="J157" s="593"/>
      <c r="K157" s="593"/>
      <c r="L157" s="593"/>
      <c r="M157" s="593"/>
      <c r="N157" s="593"/>
      <c r="O157" s="540" t="s">
        <v>1245</v>
      </c>
      <c r="P157" s="593"/>
      <c r="Q157" s="593"/>
      <c r="R157" s="593"/>
      <c r="S157" s="593"/>
      <c r="T157" s="542"/>
      <c r="U157" s="593"/>
      <c r="V157" s="593"/>
      <c r="W157" s="593"/>
      <c r="X157" s="593"/>
      <c r="Y157" s="593"/>
    </row>
    <row r="158" spans="2:33" ht="18.75" customHeight="1" outlineLevel="1" x14ac:dyDescent="0.2">
      <c r="B158" s="532"/>
      <c r="C158" s="532"/>
      <c r="D158" s="603" t="s">
        <v>1262</v>
      </c>
      <c r="E158" s="604">
        <v>14969</v>
      </c>
      <c r="F158" s="605" t="s">
        <v>1263</v>
      </c>
      <c r="G158" s="593"/>
      <c r="H158" s="593"/>
      <c r="I158" s="593"/>
      <c r="J158" s="593"/>
      <c r="K158" s="593"/>
      <c r="L158" s="593"/>
      <c r="M158" s="593"/>
      <c r="N158" s="593"/>
      <c r="O158" s="540" t="s">
        <v>1245</v>
      </c>
      <c r="P158" s="593"/>
      <c r="Q158" s="593"/>
      <c r="R158" s="593"/>
      <c r="S158" s="593"/>
      <c r="T158" s="542"/>
      <c r="U158" s="593"/>
      <c r="V158" s="593"/>
      <c r="W158" s="593"/>
      <c r="X158" s="593"/>
      <c r="Y158" s="593"/>
    </row>
    <row r="159" spans="2:33" ht="18.75" customHeight="1" outlineLevel="1" x14ac:dyDescent="0.2">
      <c r="B159" s="532"/>
      <c r="C159" s="532"/>
      <c r="D159" s="603" t="s">
        <v>1264</v>
      </c>
      <c r="E159" s="604">
        <v>13429</v>
      </c>
      <c r="F159" s="605" t="s">
        <v>1265</v>
      </c>
      <c r="G159" s="593"/>
      <c r="H159" s="593"/>
      <c r="I159" s="593"/>
      <c r="J159" s="593"/>
      <c r="K159" s="593"/>
      <c r="L159" s="593"/>
      <c r="M159" s="593"/>
      <c r="N159" s="593"/>
      <c r="O159" s="540" t="s">
        <v>1245</v>
      </c>
      <c r="P159" s="593"/>
      <c r="Q159" s="593"/>
      <c r="R159" s="593"/>
      <c r="S159" s="593"/>
      <c r="T159" s="542"/>
      <c r="U159" s="593"/>
      <c r="V159" s="593"/>
      <c r="W159" s="593"/>
      <c r="X159" s="593"/>
      <c r="Y159" s="593"/>
    </row>
    <row r="160" spans="2:33" ht="18.75" customHeight="1" outlineLevel="1" x14ac:dyDescent="0.2">
      <c r="B160" s="532"/>
      <c r="C160" s="532"/>
      <c r="D160" s="603" t="s">
        <v>1266</v>
      </c>
      <c r="E160" s="604">
        <v>11889</v>
      </c>
      <c r="F160" s="605" t="s">
        <v>1267</v>
      </c>
      <c r="G160" s="593"/>
      <c r="H160" s="593"/>
      <c r="I160" s="593"/>
      <c r="J160" s="593"/>
      <c r="K160" s="593"/>
      <c r="L160" s="593"/>
      <c r="M160" s="593"/>
      <c r="N160" s="593"/>
      <c r="O160" s="540" t="s">
        <v>1245</v>
      </c>
      <c r="P160" s="593"/>
      <c r="Q160" s="593"/>
      <c r="R160" s="593"/>
      <c r="S160" s="593"/>
      <c r="T160" s="542"/>
      <c r="U160" s="593"/>
      <c r="V160" s="593"/>
      <c r="W160" s="593"/>
      <c r="X160" s="593"/>
      <c r="Y160" s="593"/>
    </row>
    <row r="161" spans="2:25" ht="18.75" customHeight="1" outlineLevel="1" x14ac:dyDescent="0.2">
      <c r="B161" s="532"/>
      <c r="C161" s="532"/>
      <c r="D161" s="603" t="s">
        <v>1268</v>
      </c>
      <c r="E161" s="604">
        <v>10350</v>
      </c>
      <c r="F161" s="605" t="s">
        <v>1269</v>
      </c>
      <c r="G161" s="593"/>
      <c r="H161" s="593"/>
      <c r="I161" s="593"/>
      <c r="J161" s="593"/>
      <c r="K161" s="593"/>
      <c r="L161" s="593"/>
      <c r="M161" s="593"/>
      <c r="N161" s="593"/>
      <c r="O161" s="540" t="s">
        <v>1245</v>
      </c>
      <c r="P161" s="593"/>
      <c r="Q161" s="593"/>
      <c r="R161" s="593"/>
      <c r="S161" s="593"/>
      <c r="T161" s="542" t="s">
        <v>1246</v>
      </c>
      <c r="U161" s="593"/>
      <c r="V161" s="593"/>
      <c r="W161" s="593"/>
      <c r="X161" s="593"/>
      <c r="Y161" s="593"/>
    </row>
    <row r="162" spans="2:25" ht="18.75" customHeight="1" outlineLevel="1" x14ac:dyDescent="0.2">
      <c r="B162" s="532"/>
      <c r="C162" s="532"/>
      <c r="D162" s="603" t="s">
        <v>1270</v>
      </c>
      <c r="E162" s="604">
        <v>8810</v>
      </c>
      <c r="F162" s="605" t="s">
        <v>1271</v>
      </c>
      <c r="G162" s="593"/>
      <c r="H162" s="593"/>
      <c r="I162" s="593"/>
      <c r="J162" s="593"/>
      <c r="K162" s="593"/>
      <c r="L162" s="593"/>
      <c r="M162" s="593"/>
      <c r="N162" s="593"/>
      <c r="O162" s="540" t="s">
        <v>1245</v>
      </c>
      <c r="P162" s="593"/>
      <c r="Q162" s="593"/>
      <c r="R162" s="593"/>
      <c r="S162" s="593"/>
      <c r="T162" s="542"/>
      <c r="U162" s="593"/>
      <c r="V162" s="593"/>
      <c r="W162" s="593"/>
      <c r="X162" s="593"/>
      <c r="Y162" s="593"/>
    </row>
    <row r="163" spans="2:25" ht="18.75" customHeight="1" outlineLevel="1" x14ac:dyDescent="0.2">
      <c r="B163" s="532"/>
      <c r="C163" s="532"/>
      <c r="D163" s="603" t="s">
        <v>1272</v>
      </c>
      <c r="E163" s="604">
        <v>7269</v>
      </c>
      <c r="F163" s="605" t="s">
        <v>1273</v>
      </c>
      <c r="G163" s="593"/>
      <c r="H163" s="593"/>
      <c r="I163" s="593"/>
      <c r="J163" s="593"/>
      <c r="K163" s="593"/>
      <c r="L163" s="593"/>
      <c r="M163" s="593"/>
      <c r="N163" s="593"/>
      <c r="O163" s="540" t="s">
        <v>1245</v>
      </c>
      <c r="P163" s="593"/>
      <c r="Q163" s="593"/>
      <c r="R163" s="593"/>
      <c r="S163" s="593"/>
      <c r="T163" s="542"/>
      <c r="U163" s="593"/>
      <c r="V163" s="593"/>
      <c r="W163" s="593"/>
      <c r="X163" s="593"/>
      <c r="Y163" s="593"/>
    </row>
    <row r="164" spans="2:25" ht="18.75" customHeight="1" outlineLevel="1" x14ac:dyDescent="0.2">
      <c r="B164" s="532"/>
      <c r="C164" s="532"/>
      <c r="D164" s="603" t="s">
        <v>1274</v>
      </c>
      <c r="E164" s="604">
        <v>5730</v>
      </c>
      <c r="F164" s="605" t="s">
        <v>1275</v>
      </c>
      <c r="G164" s="593"/>
      <c r="H164" s="593"/>
      <c r="I164" s="593"/>
      <c r="J164" s="593"/>
      <c r="K164" s="593"/>
      <c r="L164" s="593"/>
      <c r="M164" s="593"/>
      <c r="N164" s="593"/>
      <c r="O164" s="540" t="s">
        <v>1245</v>
      </c>
      <c r="P164" s="593"/>
      <c r="Q164" s="593"/>
      <c r="R164" s="593"/>
      <c r="S164" s="593"/>
      <c r="T164" s="542"/>
      <c r="U164" s="593"/>
      <c r="V164" s="593"/>
      <c r="W164" s="593"/>
      <c r="X164" s="593"/>
      <c r="Y164" s="593"/>
    </row>
    <row r="165" spans="2:25" ht="18.75" customHeight="1" outlineLevel="1" x14ac:dyDescent="0.2">
      <c r="B165" s="532"/>
      <c r="C165" s="532"/>
      <c r="D165" s="603" t="s">
        <v>1276</v>
      </c>
      <c r="E165" s="604">
        <v>4190</v>
      </c>
      <c r="F165" s="605" t="s">
        <v>1277</v>
      </c>
      <c r="G165" s="593"/>
      <c r="H165" s="593"/>
      <c r="I165" s="593"/>
      <c r="J165" s="593"/>
      <c r="K165" s="593"/>
      <c r="L165" s="593"/>
      <c r="M165" s="593"/>
      <c r="N165" s="593"/>
      <c r="O165" s="540" t="s">
        <v>1245</v>
      </c>
      <c r="P165" s="593"/>
      <c r="Q165" s="593"/>
      <c r="R165" s="593"/>
      <c r="S165" s="593"/>
      <c r="T165" s="542"/>
      <c r="U165" s="593"/>
      <c r="V165" s="593"/>
      <c r="W165" s="593"/>
      <c r="X165" s="593"/>
      <c r="Y165" s="593"/>
    </row>
    <row r="166" spans="2:25" ht="18.75" customHeight="1" outlineLevel="1" x14ac:dyDescent="0.2">
      <c r="B166" s="532"/>
      <c r="C166" s="532"/>
      <c r="D166" s="603" t="s">
        <v>1278</v>
      </c>
      <c r="E166" s="604">
        <v>2651</v>
      </c>
      <c r="F166" s="605" t="s">
        <v>1279</v>
      </c>
      <c r="G166" s="593"/>
      <c r="H166" s="593"/>
      <c r="I166" s="593"/>
      <c r="J166" s="593"/>
      <c r="K166" s="593"/>
      <c r="L166" s="593"/>
      <c r="M166" s="593"/>
      <c r="N166" s="593"/>
      <c r="O166" s="540" t="s">
        <v>1245</v>
      </c>
      <c r="P166" s="593"/>
      <c r="Q166" s="593"/>
      <c r="R166" s="593"/>
      <c r="S166" s="593"/>
      <c r="T166" s="542"/>
      <c r="U166" s="593"/>
      <c r="V166" s="593"/>
      <c r="W166" s="593"/>
      <c r="X166" s="593"/>
      <c r="Y166" s="593"/>
    </row>
    <row r="167" spans="2:25" ht="8.25" customHeight="1" x14ac:dyDescent="0.2"/>
    <row r="168" spans="2:25" ht="18" customHeight="1" x14ac:dyDescent="0.25">
      <c r="B168" s="583" t="s">
        <v>1280</v>
      </c>
      <c r="C168" s="583"/>
    </row>
    <row r="169" spans="2:25" ht="154.5" customHeight="1" outlineLevel="1" x14ac:dyDescent="0.25">
      <c r="B169" s="583"/>
      <c r="C169" s="583"/>
      <c r="D169" s="584" t="s">
        <v>1281</v>
      </c>
      <c r="M169" s="539"/>
      <c r="N169" s="540" t="s">
        <v>1075</v>
      </c>
      <c r="O169" s="540" t="s">
        <v>1282</v>
      </c>
    </row>
    <row r="170" spans="2:25" ht="85.5" customHeight="1" outlineLevel="1" x14ac:dyDescent="0.25">
      <c r="B170" s="583"/>
      <c r="C170" s="583"/>
      <c r="D170" s="584" t="s">
        <v>1283</v>
      </c>
      <c r="M170" s="539"/>
      <c r="N170" s="540" t="s">
        <v>1075</v>
      </c>
      <c r="O170" s="540" t="s">
        <v>1282</v>
      </c>
    </row>
    <row r="171" spans="2:25" ht="247.5" customHeight="1" outlineLevel="1" x14ac:dyDescent="0.25">
      <c r="B171" s="583"/>
      <c r="C171" s="583"/>
      <c r="D171" s="584" t="s">
        <v>1284</v>
      </c>
      <c r="M171" s="539"/>
      <c r="N171" s="540" t="s">
        <v>1075</v>
      </c>
      <c r="O171" s="540" t="s">
        <v>1282</v>
      </c>
    </row>
    <row r="172" spans="2:25" ht="18.75" outlineLevel="1" x14ac:dyDescent="0.25">
      <c r="B172" s="583"/>
      <c r="C172" s="583"/>
      <c r="D172" s="584" t="s">
        <v>1285</v>
      </c>
      <c r="O172" s="540" t="s">
        <v>1282</v>
      </c>
    </row>
    <row r="174" spans="2:25" ht="26.65" customHeight="1" x14ac:dyDescent="0.2">
      <c r="B174" s="529" t="s">
        <v>1286</v>
      </c>
      <c r="C174" s="529"/>
      <c r="D174" s="530" t="s">
        <v>1287</v>
      </c>
      <c r="E174" s="587" t="s">
        <v>1072</v>
      </c>
      <c r="F174" s="587"/>
    </row>
    <row r="175" spans="2:25" ht="31.5" outlineLevel="1" x14ac:dyDescent="0.2">
      <c r="B175" s="532"/>
      <c r="C175" s="532"/>
      <c r="D175" s="532" t="s">
        <v>1288</v>
      </c>
      <c r="E175" s="596">
        <v>450</v>
      </c>
      <c r="F175" s="596"/>
    </row>
    <row r="176" spans="2:25" ht="18.75" x14ac:dyDescent="0.2">
      <c r="B176" s="529" t="s">
        <v>1289</v>
      </c>
      <c r="C176" s="529"/>
      <c r="D176" s="530" t="s">
        <v>1290</v>
      </c>
      <c r="E176" s="529" t="s">
        <v>1291</v>
      </c>
      <c r="F176" s="529"/>
      <c r="X176" s="566" t="s">
        <v>1055</v>
      </c>
    </row>
    <row r="177" spans="2:9" ht="47.25" outlineLevel="1" x14ac:dyDescent="0.25">
      <c r="B177" s="532"/>
      <c r="C177" s="532"/>
      <c r="D177" s="533" t="s">
        <v>1292</v>
      </c>
      <c r="E177" s="581">
        <v>68250</v>
      </c>
      <c r="F177" s="581"/>
      <c r="I177" s="606" t="s">
        <v>1293</v>
      </c>
    </row>
    <row r="178" spans="2:9" ht="15.75" outlineLevel="1" x14ac:dyDescent="0.25">
      <c r="B178" s="532"/>
      <c r="C178" s="532"/>
      <c r="D178" s="607" t="s">
        <v>1294</v>
      </c>
      <c r="E178" s="581">
        <f t="shared" ref="E178:E186" si="0">E177+7875</f>
        <v>76125</v>
      </c>
      <c r="F178" s="581"/>
    </row>
    <row r="179" spans="2:9" ht="15.75" outlineLevel="1" x14ac:dyDescent="0.25">
      <c r="B179" s="532"/>
      <c r="C179" s="532"/>
      <c r="D179" s="607" t="s">
        <v>1295</v>
      </c>
      <c r="E179" s="581">
        <f t="shared" si="0"/>
        <v>84000</v>
      </c>
      <c r="F179" s="581"/>
    </row>
    <row r="180" spans="2:9" ht="15.75" outlineLevel="1" x14ac:dyDescent="0.25">
      <c r="B180" s="532"/>
      <c r="C180" s="532"/>
      <c r="D180" s="607" t="s">
        <v>1296</v>
      </c>
      <c r="E180" s="581">
        <f t="shared" si="0"/>
        <v>91875</v>
      </c>
      <c r="F180" s="581"/>
    </row>
    <row r="181" spans="2:9" ht="15.75" outlineLevel="1" x14ac:dyDescent="0.25">
      <c r="B181" s="532"/>
      <c r="C181" s="532"/>
      <c r="D181" s="607" t="s">
        <v>1297</v>
      </c>
      <c r="E181" s="581">
        <f t="shared" si="0"/>
        <v>99750</v>
      </c>
      <c r="F181" s="581"/>
    </row>
    <row r="182" spans="2:9" ht="15.75" outlineLevel="1" x14ac:dyDescent="0.25">
      <c r="B182" s="532"/>
      <c r="C182" s="532"/>
      <c r="D182" s="607" t="s">
        <v>1298</v>
      </c>
      <c r="E182" s="581">
        <f t="shared" si="0"/>
        <v>107625</v>
      </c>
      <c r="F182" s="581"/>
    </row>
    <row r="183" spans="2:9" ht="15.75" outlineLevel="1" x14ac:dyDescent="0.25">
      <c r="B183" s="532"/>
      <c r="C183" s="532"/>
      <c r="D183" s="607" t="s">
        <v>1299</v>
      </c>
      <c r="E183" s="581">
        <f t="shared" si="0"/>
        <v>115500</v>
      </c>
      <c r="F183" s="581"/>
    </row>
    <row r="184" spans="2:9" ht="15.75" outlineLevel="1" x14ac:dyDescent="0.25">
      <c r="B184" s="532"/>
      <c r="C184" s="532"/>
      <c r="D184" s="607" t="s">
        <v>1300</v>
      </c>
      <c r="E184" s="581">
        <f t="shared" si="0"/>
        <v>123375</v>
      </c>
      <c r="F184" s="581"/>
    </row>
    <row r="185" spans="2:9" ht="15.75" outlineLevel="1" x14ac:dyDescent="0.25">
      <c r="B185" s="532"/>
      <c r="C185" s="532"/>
      <c r="D185" s="607" t="s">
        <v>1301</v>
      </c>
      <c r="E185" s="581">
        <f t="shared" si="0"/>
        <v>131250</v>
      </c>
      <c r="F185" s="581"/>
    </row>
    <row r="186" spans="2:9" ht="15.75" outlineLevel="1" x14ac:dyDescent="0.25">
      <c r="B186" s="532"/>
      <c r="C186" s="532"/>
      <c r="D186" s="607" t="s">
        <v>1302</v>
      </c>
      <c r="E186" s="581">
        <f t="shared" si="0"/>
        <v>139125</v>
      </c>
      <c r="F186" s="581"/>
    </row>
    <row r="187" spans="2:9" ht="47.25" outlineLevel="1" x14ac:dyDescent="0.25">
      <c r="B187" s="532"/>
      <c r="C187" s="532"/>
      <c r="D187" s="533" t="s">
        <v>1303</v>
      </c>
      <c r="E187" s="581">
        <v>68250</v>
      </c>
      <c r="F187" s="581"/>
    </row>
    <row r="188" spans="2:9" ht="15.75" outlineLevel="1" x14ac:dyDescent="0.25">
      <c r="B188" s="532"/>
      <c r="C188" s="532"/>
      <c r="D188" s="607" t="s">
        <v>1294</v>
      </c>
      <c r="E188" s="581">
        <f>E187+7875</f>
        <v>76125</v>
      </c>
      <c r="F188" s="581"/>
    </row>
    <row r="189" spans="2:9" ht="15.75" outlineLevel="1" x14ac:dyDescent="0.25">
      <c r="B189" s="532"/>
      <c r="C189" s="532"/>
      <c r="D189" s="607" t="s">
        <v>1295</v>
      </c>
      <c r="E189" s="581">
        <f>E188+7875</f>
        <v>84000</v>
      </c>
      <c r="F189" s="581"/>
    </row>
    <row r="190" spans="2:9" ht="15.75" outlineLevel="1" x14ac:dyDescent="0.25">
      <c r="B190" s="532"/>
      <c r="C190" s="532"/>
      <c r="D190" s="607" t="s">
        <v>1296</v>
      </c>
      <c r="E190" s="581">
        <f t="shared" ref="E190:E196" si="1">E189+7875</f>
        <v>91875</v>
      </c>
      <c r="F190" s="581"/>
    </row>
    <row r="191" spans="2:9" ht="15.75" outlineLevel="1" x14ac:dyDescent="0.25">
      <c r="B191" s="532"/>
      <c r="C191" s="532"/>
      <c r="D191" s="607" t="s">
        <v>1297</v>
      </c>
      <c r="E191" s="581">
        <f t="shared" si="1"/>
        <v>99750</v>
      </c>
      <c r="F191" s="581"/>
    </row>
    <row r="192" spans="2:9" ht="15.75" outlineLevel="1" x14ac:dyDescent="0.25">
      <c r="B192" s="532"/>
      <c r="C192" s="532"/>
      <c r="D192" s="607" t="s">
        <v>1298</v>
      </c>
      <c r="E192" s="581">
        <f t="shared" si="1"/>
        <v>107625</v>
      </c>
      <c r="F192" s="581"/>
    </row>
    <row r="193" spans="2:6" ht="15.75" outlineLevel="1" x14ac:dyDescent="0.25">
      <c r="B193" s="532"/>
      <c r="C193" s="532"/>
      <c r="D193" s="607" t="s">
        <v>1299</v>
      </c>
      <c r="E193" s="581">
        <f t="shared" si="1"/>
        <v>115500</v>
      </c>
      <c r="F193" s="581"/>
    </row>
    <row r="194" spans="2:6" ht="15.75" outlineLevel="1" x14ac:dyDescent="0.25">
      <c r="B194" s="532"/>
      <c r="C194" s="532"/>
      <c r="D194" s="607" t="s">
        <v>1300</v>
      </c>
      <c r="E194" s="581">
        <f t="shared" si="1"/>
        <v>123375</v>
      </c>
      <c r="F194" s="581"/>
    </row>
    <row r="195" spans="2:6" ht="15.75" outlineLevel="1" x14ac:dyDescent="0.25">
      <c r="B195" s="532"/>
      <c r="C195" s="532"/>
      <c r="D195" s="607" t="s">
        <v>1301</v>
      </c>
      <c r="E195" s="581">
        <f t="shared" si="1"/>
        <v>131250</v>
      </c>
      <c r="F195" s="581"/>
    </row>
    <row r="196" spans="2:6" ht="15.75" outlineLevel="1" x14ac:dyDescent="0.25">
      <c r="B196" s="532"/>
      <c r="C196" s="532"/>
      <c r="D196" s="607" t="s">
        <v>1302</v>
      </c>
      <c r="E196" s="581">
        <f t="shared" si="1"/>
        <v>139125</v>
      </c>
      <c r="F196" s="581"/>
    </row>
    <row r="197" spans="2:6" ht="15.75" outlineLevel="1" x14ac:dyDescent="0.25">
      <c r="B197" s="532"/>
      <c r="C197" s="532"/>
      <c r="D197" s="607"/>
      <c r="E197" s="581"/>
      <c r="F197" s="581"/>
    </row>
    <row r="198" spans="2:6" ht="18.75" outlineLevel="1" x14ac:dyDescent="0.2">
      <c r="B198" s="532"/>
      <c r="C198" s="532"/>
      <c r="D198" s="608" t="s">
        <v>1304</v>
      </c>
      <c r="E198" s="609"/>
      <c r="F198" s="609"/>
    </row>
    <row r="199" spans="2:6" ht="15.75" outlineLevel="1" x14ac:dyDescent="0.25">
      <c r="B199" s="532"/>
      <c r="C199" s="532"/>
      <c r="D199" s="610" t="s">
        <v>1305</v>
      </c>
      <c r="E199" s="611">
        <v>10000</v>
      </c>
      <c r="F199" s="611"/>
    </row>
    <row r="200" spans="2:6" ht="15.75" outlineLevel="1" x14ac:dyDescent="0.25">
      <c r="B200" s="532"/>
      <c r="C200" s="532"/>
      <c r="D200" s="610" t="s">
        <v>1294</v>
      </c>
      <c r="E200" s="611">
        <v>8000</v>
      </c>
      <c r="F200" s="611"/>
    </row>
    <row r="201" spans="2:6" ht="15.75" outlineLevel="1" x14ac:dyDescent="0.25">
      <c r="B201" s="532"/>
      <c r="C201" s="532"/>
      <c r="D201" s="610" t="s">
        <v>1295</v>
      </c>
      <c r="E201" s="611">
        <v>6500</v>
      </c>
      <c r="F201" s="611"/>
    </row>
    <row r="202" spans="2:6" ht="15.75" outlineLevel="1" x14ac:dyDescent="0.25">
      <c r="B202" s="532"/>
      <c r="C202" s="532"/>
      <c r="D202" s="610" t="s">
        <v>1306</v>
      </c>
      <c r="E202" s="611">
        <v>5000</v>
      </c>
      <c r="F202" s="611"/>
    </row>
    <row r="203" spans="2:6" ht="34.5" outlineLevel="1" x14ac:dyDescent="0.2">
      <c r="B203" s="532"/>
      <c r="C203" s="532"/>
      <c r="D203" s="608" t="s">
        <v>1307</v>
      </c>
      <c r="E203" s="609"/>
      <c r="F203" s="609"/>
    </row>
    <row r="204" spans="2:6" ht="15.75" outlineLevel="1" x14ac:dyDescent="0.25">
      <c r="B204" s="532"/>
      <c r="C204" s="532"/>
      <c r="D204" s="610" t="s">
        <v>1305</v>
      </c>
      <c r="E204" s="611">
        <v>10000</v>
      </c>
      <c r="F204" s="611"/>
    </row>
    <row r="205" spans="2:6" ht="15.75" outlineLevel="1" x14ac:dyDescent="0.25">
      <c r="B205" s="532"/>
      <c r="C205" s="532"/>
      <c r="D205" s="610" t="s">
        <v>1294</v>
      </c>
      <c r="E205" s="611">
        <v>8000</v>
      </c>
      <c r="F205" s="611"/>
    </row>
    <row r="206" spans="2:6" ht="15.75" outlineLevel="1" x14ac:dyDescent="0.25">
      <c r="B206" s="532"/>
      <c r="C206" s="532"/>
      <c r="D206" s="610" t="s">
        <v>1295</v>
      </c>
      <c r="E206" s="611">
        <v>6500</v>
      </c>
      <c r="F206" s="611"/>
    </row>
    <row r="207" spans="2:6" ht="15.75" outlineLevel="1" x14ac:dyDescent="0.25">
      <c r="B207" s="532"/>
      <c r="C207" s="532"/>
      <c r="D207" s="610" t="s">
        <v>1306</v>
      </c>
      <c r="E207" s="611">
        <v>5000</v>
      </c>
      <c r="F207" s="611"/>
    </row>
    <row r="208" spans="2:6" ht="18.75" outlineLevel="1" x14ac:dyDescent="0.2">
      <c r="B208" s="532"/>
      <c r="C208" s="532"/>
      <c r="D208" s="608" t="s">
        <v>1308</v>
      </c>
      <c r="E208" s="609"/>
      <c r="F208" s="609"/>
    </row>
    <row r="209" spans="2:24" ht="15.75" outlineLevel="1" x14ac:dyDescent="0.25">
      <c r="B209" s="532"/>
      <c r="C209" s="532"/>
      <c r="D209" s="610" t="s">
        <v>1305</v>
      </c>
      <c r="E209" s="611">
        <v>10000</v>
      </c>
      <c r="F209" s="611"/>
    </row>
    <row r="210" spans="2:24" ht="15.75" outlineLevel="1" x14ac:dyDescent="0.25">
      <c r="B210" s="532"/>
      <c r="C210" s="532"/>
      <c r="D210" s="610" t="s">
        <v>1294</v>
      </c>
      <c r="E210" s="611">
        <v>8000</v>
      </c>
      <c r="F210" s="611"/>
    </row>
    <row r="211" spans="2:24" ht="15.75" outlineLevel="1" x14ac:dyDescent="0.25">
      <c r="B211" s="532"/>
      <c r="C211" s="532"/>
      <c r="D211" s="610" t="s">
        <v>1295</v>
      </c>
      <c r="E211" s="611">
        <v>6500</v>
      </c>
      <c r="F211" s="611"/>
    </row>
    <row r="212" spans="2:24" ht="15.75" outlineLevel="1" x14ac:dyDescent="0.25">
      <c r="B212" s="532"/>
      <c r="C212" s="532"/>
      <c r="D212" s="610" t="s">
        <v>1306</v>
      </c>
      <c r="E212" s="611">
        <v>5000</v>
      </c>
      <c r="F212" s="611"/>
    </row>
    <row r="213" spans="2:24" ht="34.5" outlineLevel="1" x14ac:dyDescent="0.2">
      <c r="B213" s="532"/>
      <c r="C213" s="532"/>
      <c r="D213" s="608" t="s">
        <v>1309</v>
      </c>
      <c r="E213" s="609" t="s">
        <v>1310</v>
      </c>
      <c r="F213" s="609"/>
    </row>
    <row r="214" spans="2:24" ht="8.25" customHeight="1" x14ac:dyDescent="0.2"/>
    <row r="215" spans="2:24" ht="15.75" x14ac:dyDescent="0.25">
      <c r="B215" s="583" t="s">
        <v>1311</v>
      </c>
      <c r="C215" s="583"/>
      <c r="X215" s="566" t="s">
        <v>1055</v>
      </c>
    </row>
    <row r="216" spans="2:24" ht="144.75" outlineLevel="1" x14ac:dyDescent="0.2">
      <c r="D216" s="584" t="s">
        <v>1312</v>
      </c>
    </row>
    <row r="217" spans="2:24" ht="50.25" outlineLevel="1" x14ac:dyDescent="0.2">
      <c r="D217" s="584" t="s">
        <v>1313</v>
      </c>
    </row>
    <row r="218" spans="2:24" ht="18.75" outlineLevel="1" x14ac:dyDescent="0.2">
      <c r="D218" s="584" t="s">
        <v>1314</v>
      </c>
    </row>
    <row r="220" spans="2:24" ht="18.75" customHeight="1" x14ac:dyDescent="0.2">
      <c r="B220" s="529" t="s">
        <v>1315</v>
      </c>
      <c r="C220" s="529"/>
      <c r="D220" s="612" t="s">
        <v>1316</v>
      </c>
      <c r="E220" s="612"/>
      <c r="F220" s="612"/>
      <c r="G220" s="612"/>
      <c r="H220" s="612"/>
      <c r="I220" s="612"/>
    </row>
    <row r="221" spans="2:24" ht="42" customHeight="1" outlineLevel="1" x14ac:dyDescent="0.2">
      <c r="B221" s="529"/>
      <c r="C221" s="529"/>
      <c r="D221" s="530" t="s">
        <v>1317</v>
      </c>
      <c r="E221" s="530" t="s">
        <v>1318</v>
      </c>
      <c r="F221" s="530" t="s">
        <v>1319</v>
      </c>
      <c r="G221" s="530" t="s">
        <v>1320</v>
      </c>
      <c r="H221" s="530"/>
      <c r="I221" s="530" t="s">
        <v>1321</v>
      </c>
    </row>
    <row r="222" spans="2:24" ht="15.75" outlineLevel="1" x14ac:dyDescent="0.2">
      <c r="B222" s="613">
        <v>1</v>
      </c>
      <c r="C222" s="613"/>
      <c r="D222" s="613" t="s">
        <v>1322</v>
      </c>
      <c r="E222" s="613" t="s">
        <v>1092</v>
      </c>
      <c r="F222" s="613"/>
      <c r="G222" s="613"/>
      <c r="H222" s="613"/>
      <c r="I222" s="613"/>
    </row>
    <row r="223" spans="2:24" ht="15.75" outlineLevel="1" x14ac:dyDescent="0.2">
      <c r="B223" s="613">
        <v>2</v>
      </c>
      <c r="C223" s="613"/>
      <c r="D223" s="613" t="s">
        <v>1323</v>
      </c>
      <c r="E223" s="613"/>
      <c r="F223" s="613" t="s">
        <v>1092</v>
      </c>
      <c r="G223" s="613" t="s">
        <v>1092</v>
      </c>
      <c r="H223" s="613"/>
      <c r="I223" s="613" t="s">
        <v>1092</v>
      </c>
    </row>
    <row r="224" spans="2:24" ht="15.75" outlineLevel="1" x14ac:dyDescent="0.2">
      <c r="B224" s="613">
        <v>3</v>
      </c>
      <c r="C224" s="613"/>
      <c r="D224" s="613" t="s">
        <v>1324</v>
      </c>
      <c r="E224" s="613" t="s">
        <v>1092</v>
      </c>
      <c r="F224" s="613" t="s">
        <v>1092</v>
      </c>
      <c r="G224" s="613" t="s">
        <v>1092</v>
      </c>
      <c r="H224" s="613"/>
      <c r="I224" s="613" t="s">
        <v>1092</v>
      </c>
    </row>
    <row r="225" spans="2:16" ht="15.75" outlineLevel="1" x14ac:dyDescent="0.2">
      <c r="B225" s="613">
        <v>4</v>
      </c>
      <c r="C225" s="613"/>
      <c r="D225" s="613" t="s">
        <v>1325</v>
      </c>
      <c r="E225" s="613" t="s">
        <v>1092</v>
      </c>
      <c r="F225" s="613" t="s">
        <v>1092</v>
      </c>
      <c r="G225" s="613" t="s">
        <v>1092</v>
      </c>
      <c r="H225" s="613"/>
      <c r="I225" s="613" t="s">
        <v>1092</v>
      </c>
    </row>
    <row r="226" spans="2:16" ht="15.75" outlineLevel="1" x14ac:dyDescent="0.2">
      <c r="B226" s="613">
        <v>5</v>
      </c>
      <c r="C226" s="613"/>
      <c r="D226" s="613" t="s">
        <v>1326</v>
      </c>
      <c r="E226" s="613" t="s">
        <v>1092</v>
      </c>
      <c r="F226" s="613" t="s">
        <v>1092</v>
      </c>
      <c r="G226" s="613" t="s">
        <v>1092</v>
      </c>
      <c r="H226" s="613"/>
      <c r="I226" s="613" t="s">
        <v>1092</v>
      </c>
    </row>
    <row r="227" spans="2:16" ht="15.75" outlineLevel="1" x14ac:dyDescent="0.2">
      <c r="B227" s="613">
        <v>6</v>
      </c>
      <c r="C227" s="613"/>
      <c r="D227" s="613" t="s">
        <v>1327</v>
      </c>
      <c r="E227" s="613"/>
      <c r="F227" s="613" t="s">
        <v>1092</v>
      </c>
      <c r="G227" s="613" t="s">
        <v>1092</v>
      </c>
      <c r="H227" s="613"/>
      <c r="I227" s="613" t="s">
        <v>1092</v>
      </c>
    </row>
    <row r="228" spans="2:16" ht="15.75" outlineLevel="1" x14ac:dyDescent="0.2">
      <c r="B228" s="613">
        <v>7</v>
      </c>
      <c r="C228" s="613"/>
      <c r="D228" s="613" t="s">
        <v>1328</v>
      </c>
      <c r="E228" s="613"/>
      <c r="F228" s="613"/>
      <c r="G228" s="613" t="s">
        <v>1092</v>
      </c>
      <c r="H228" s="613"/>
      <c r="I228" s="613" t="s">
        <v>1092</v>
      </c>
    </row>
    <row r="229" spans="2:16" ht="31.5" outlineLevel="1" x14ac:dyDescent="0.2">
      <c r="B229" s="613">
        <v>8</v>
      </c>
      <c r="C229" s="613"/>
      <c r="D229" s="613" t="s">
        <v>1329</v>
      </c>
      <c r="E229" s="613"/>
      <c r="F229" s="613" t="s">
        <v>1092</v>
      </c>
      <c r="G229" s="613" t="s">
        <v>1092</v>
      </c>
      <c r="H229" s="613"/>
      <c r="I229" s="613" t="s">
        <v>1092</v>
      </c>
    </row>
    <row r="230" spans="2:16" ht="15.75" outlineLevel="1" x14ac:dyDescent="0.2">
      <c r="B230" s="613">
        <v>9</v>
      </c>
      <c r="C230" s="613"/>
      <c r="D230" s="613" t="s">
        <v>1330</v>
      </c>
      <c r="E230" s="613"/>
      <c r="F230" s="613"/>
      <c r="G230" s="613" t="s">
        <v>1092</v>
      </c>
      <c r="H230" s="613"/>
      <c r="I230" s="613" t="s">
        <v>1092</v>
      </c>
    </row>
    <row r="231" spans="2:16" ht="15.75" outlineLevel="1" x14ac:dyDescent="0.2">
      <c r="B231" s="613">
        <v>10</v>
      </c>
      <c r="C231" s="613"/>
      <c r="D231" s="613" t="s">
        <v>1331</v>
      </c>
      <c r="E231" s="613"/>
      <c r="F231" s="613"/>
      <c r="G231" s="613" t="s">
        <v>1092</v>
      </c>
      <c r="H231" s="613"/>
      <c r="I231" s="613" t="s">
        <v>1092</v>
      </c>
    </row>
    <row r="232" spans="2:16" ht="12.75" customHeight="1" outlineLevel="1" x14ac:dyDescent="0.2">
      <c r="B232" s="613">
        <v>11</v>
      </c>
      <c r="C232" s="613"/>
      <c r="D232" s="613" t="s">
        <v>1332</v>
      </c>
      <c r="E232" s="613"/>
      <c r="F232" s="613"/>
      <c r="G232" s="613"/>
      <c r="H232" s="613"/>
      <c r="I232" s="613" t="s">
        <v>1092</v>
      </c>
    </row>
    <row r="233" spans="2:16" ht="15.75" outlineLevel="1" x14ac:dyDescent="0.2">
      <c r="B233" s="613">
        <v>12</v>
      </c>
      <c r="C233" s="613"/>
      <c r="D233" s="613" t="s">
        <v>1333</v>
      </c>
      <c r="E233" s="613"/>
      <c r="F233" s="613"/>
      <c r="G233" s="613"/>
      <c r="H233" s="613"/>
      <c r="I233" s="613" t="s">
        <v>1092</v>
      </c>
    </row>
    <row r="234" spans="2:16" ht="24.75" customHeight="1" outlineLevel="1" x14ac:dyDescent="0.2">
      <c r="B234" s="1285" t="s">
        <v>1334</v>
      </c>
      <c r="C234" s="1286"/>
      <c r="D234" s="1287"/>
      <c r="E234" s="608" t="s">
        <v>1335</v>
      </c>
      <c r="F234" s="608" t="s">
        <v>1336</v>
      </c>
      <c r="G234" s="608" t="s">
        <v>1337</v>
      </c>
      <c r="H234" s="608"/>
      <c r="I234" s="608" t="s">
        <v>1338</v>
      </c>
    </row>
    <row r="235" spans="2:16" ht="24.75" customHeight="1" outlineLevel="1" x14ac:dyDescent="0.2">
      <c r="B235" s="1285" t="s">
        <v>1339</v>
      </c>
      <c r="C235" s="1286"/>
      <c r="D235" s="1287"/>
      <c r="E235" s="608" t="s">
        <v>299</v>
      </c>
      <c r="F235" s="608" t="s">
        <v>299</v>
      </c>
      <c r="G235" s="608" t="s">
        <v>1340</v>
      </c>
      <c r="H235" s="608"/>
      <c r="I235" s="608" t="s">
        <v>1341</v>
      </c>
    </row>
    <row r="236" spans="2:16" ht="27" customHeight="1" outlineLevel="1" x14ac:dyDescent="0.2">
      <c r="B236" s="1285" t="s">
        <v>1342</v>
      </c>
      <c r="C236" s="1286"/>
      <c r="D236" s="1287"/>
      <c r="E236" s="614">
        <v>9000</v>
      </c>
      <c r="F236" s="614">
        <v>20000</v>
      </c>
      <c r="G236" s="614">
        <v>45000</v>
      </c>
      <c r="H236" s="614"/>
      <c r="I236" s="614">
        <v>70000</v>
      </c>
    </row>
    <row r="237" spans="2:16" ht="27" customHeight="1" outlineLevel="1" x14ac:dyDescent="0.2">
      <c r="G237" s="519"/>
      <c r="H237" s="519"/>
      <c r="I237" s="519"/>
    </row>
    <row r="238" spans="2:16" ht="31.5" customHeight="1" outlineLevel="1" x14ac:dyDescent="0.2">
      <c r="D238" s="1288" t="s">
        <v>1343</v>
      </c>
      <c r="E238" s="1288"/>
      <c r="F238" s="1288"/>
      <c r="G238" s="1288"/>
      <c r="H238" s="1288"/>
      <c r="I238" s="1288"/>
    </row>
    <row r="240" spans="2:16" ht="31.5" x14ac:dyDescent="0.2">
      <c r="B240" s="529" t="s">
        <v>1344</v>
      </c>
      <c r="C240" s="529"/>
      <c r="D240" s="530" t="s">
        <v>1345</v>
      </c>
      <c r="P240" s="537" t="s">
        <v>1346</v>
      </c>
    </row>
    <row r="241" spans="2:16" ht="110.25" outlineLevel="1" x14ac:dyDescent="0.2">
      <c r="D241" s="584" t="s">
        <v>1347</v>
      </c>
    </row>
    <row r="242" spans="2:16" ht="126" outlineLevel="1" x14ac:dyDescent="0.2">
      <c r="D242" s="584" t="s">
        <v>1348</v>
      </c>
    </row>
    <row r="244" spans="2:16" ht="37.5" x14ac:dyDescent="0.2">
      <c r="B244" s="529" t="s">
        <v>1349</v>
      </c>
      <c r="C244" s="529"/>
      <c r="D244" s="530" t="s">
        <v>1350</v>
      </c>
      <c r="E244" s="525" t="s">
        <v>1351</v>
      </c>
      <c r="P244" s="537" t="s">
        <v>1346</v>
      </c>
    </row>
    <row r="245" spans="2:16" ht="15.75" outlineLevel="1" x14ac:dyDescent="0.2">
      <c r="B245" s="573"/>
      <c r="C245" s="573"/>
      <c r="D245" s="615" t="s">
        <v>1352</v>
      </c>
      <c r="E245" s="596">
        <v>3900</v>
      </c>
      <c r="H245" s="551" t="s">
        <v>1092</v>
      </c>
    </row>
    <row r="246" spans="2:16" ht="15.75" outlineLevel="1" x14ac:dyDescent="0.2">
      <c r="B246" s="573"/>
      <c r="C246" s="573"/>
      <c r="D246" s="615" t="s">
        <v>1353</v>
      </c>
      <c r="E246" s="596">
        <v>4200</v>
      </c>
      <c r="H246" s="551" t="s">
        <v>1092</v>
      </c>
    </row>
    <row r="247" spans="2:16" ht="15.75" outlineLevel="1" x14ac:dyDescent="0.2">
      <c r="B247" s="573"/>
      <c r="C247" s="573"/>
      <c r="D247" s="580" t="s">
        <v>1354</v>
      </c>
      <c r="E247" s="596">
        <v>3900</v>
      </c>
      <c r="H247" s="551" t="s">
        <v>1092</v>
      </c>
    </row>
    <row r="248" spans="2:16" ht="15.75" outlineLevel="1" x14ac:dyDescent="0.2">
      <c r="B248" s="573"/>
      <c r="C248" s="573"/>
      <c r="D248" s="580" t="s">
        <v>1355</v>
      </c>
      <c r="E248" s="596">
        <v>3900</v>
      </c>
      <c r="H248" s="551" t="s">
        <v>1092</v>
      </c>
    </row>
  </sheetData>
  <mergeCells count="5">
    <mergeCell ref="B234:D234"/>
    <mergeCell ref="B235:D235"/>
    <mergeCell ref="B236:D236"/>
    <mergeCell ref="D238:I238"/>
    <mergeCell ref="B2:F2"/>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74"/>
  <sheetViews>
    <sheetView workbookViewId="0">
      <pane xSplit="1" ySplit="2" topLeftCell="B5" activePane="bottomRight" state="frozen"/>
      <selection pane="topRight" activeCell="B1" sqref="B1"/>
      <selection pane="bottomLeft" activeCell="A3" sqref="A3"/>
      <selection pane="bottomRight" activeCell="E9" sqref="E9"/>
    </sheetView>
  </sheetViews>
  <sheetFormatPr defaultRowHeight="15" x14ac:dyDescent="0.25"/>
  <cols>
    <col min="1" max="1" width="36.28515625" style="1" customWidth="1"/>
    <col min="2" max="4" width="48.42578125" style="430" customWidth="1"/>
    <col min="5" max="5" width="85" style="430" customWidth="1"/>
  </cols>
  <sheetData>
    <row r="1" spans="1:8" ht="15.75" thickBot="1" x14ac:dyDescent="0.3"/>
    <row r="2" spans="1:8" ht="18" thickBot="1" x14ac:dyDescent="0.3">
      <c r="A2" s="101" t="s">
        <v>0</v>
      </c>
      <c r="B2" s="437" t="s">
        <v>720</v>
      </c>
      <c r="C2" s="437" t="s">
        <v>781</v>
      </c>
      <c r="D2" s="437" t="s">
        <v>1420</v>
      </c>
      <c r="E2" s="437" t="s">
        <v>1421</v>
      </c>
      <c r="F2" s="59"/>
      <c r="G2" s="59"/>
      <c r="H2" s="59"/>
    </row>
    <row r="3" spans="1:8" ht="16.5" thickBot="1" x14ac:dyDescent="0.3">
      <c r="A3" s="439" t="s">
        <v>716</v>
      </c>
      <c r="B3" s="440"/>
      <c r="C3" s="440"/>
      <c r="D3" s="440"/>
      <c r="E3" s="440"/>
    </row>
    <row r="4" spans="1:8" ht="15.75" thickBot="1" x14ac:dyDescent="0.3">
      <c r="A4" s="442" t="s">
        <v>283</v>
      </c>
      <c r="B4" s="431"/>
      <c r="C4" s="431"/>
      <c r="D4" s="431"/>
      <c r="E4" s="431"/>
    </row>
    <row r="5" spans="1:8" ht="240" x14ac:dyDescent="0.25">
      <c r="A5" s="1290" t="s">
        <v>282</v>
      </c>
      <c r="B5" s="432" t="s">
        <v>782</v>
      </c>
      <c r="C5" s="432" t="s">
        <v>1422</v>
      </c>
      <c r="D5" s="621" t="s">
        <v>1426</v>
      </c>
      <c r="E5" s="432" t="s">
        <v>1425</v>
      </c>
    </row>
    <row r="6" spans="1:8" ht="105" x14ac:dyDescent="0.25">
      <c r="A6" s="1292"/>
      <c r="B6" s="433" t="s">
        <v>721</v>
      </c>
      <c r="C6" s="433" t="s">
        <v>783</v>
      </c>
      <c r="D6" s="433" t="s">
        <v>1427</v>
      </c>
      <c r="E6" s="433"/>
    </row>
    <row r="7" spans="1:8" ht="105" x14ac:dyDescent="0.25">
      <c r="A7" s="1292"/>
      <c r="B7" s="433" t="s">
        <v>722</v>
      </c>
      <c r="C7" s="433" t="s">
        <v>783</v>
      </c>
      <c r="D7" s="433"/>
      <c r="E7" s="433" t="s">
        <v>1428</v>
      </c>
    </row>
    <row r="8" spans="1:8" ht="30" x14ac:dyDescent="0.25">
      <c r="A8" s="1292"/>
      <c r="B8" s="433" t="s">
        <v>784</v>
      </c>
      <c r="C8" s="433" t="s">
        <v>785</v>
      </c>
      <c r="D8" s="433"/>
      <c r="E8" s="433"/>
    </row>
    <row r="9" spans="1:8" ht="90" x14ac:dyDescent="0.25">
      <c r="A9" s="1292"/>
      <c r="B9" s="433" t="s">
        <v>723</v>
      </c>
      <c r="C9" s="433" t="s">
        <v>786</v>
      </c>
      <c r="D9" s="433"/>
      <c r="E9" s="433"/>
    </row>
    <row r="10" spans="1:8" ht="30" x14ac:dyDescent="0.25">
      <c r="A10" s="1292"/>
      <c r="B10" s="433" t="s">
        <v>788</v>
      </c>
      <c r="C10" s="433" t="s">
        <v>787</v>
      </c>
      <c r="D10" s="433"/>
      <c r="E10" s="433"/>
    </row>
    <row r="11" spans="1:8" x14ac:dyDescent="0.25">
      <c r="A11" s="1292"/>
      <c r="B11" s="433" t="s">
        <v>724</v>
      </c>
      <c r="C11" s="433" t="s">
        <v>785</v>
      </c>
      <c r="D11" s="433"/>
      <c r="E11" s="433"/>
    </row>
    <row r="12" spans="1:8" x14ac:dyDescent="0.25">
      <c r="A12" s="1292"/>
      <c r="B12" s="433" t="s">
        <v>725</v>
      </c>
      <c r="C12" s="433" t="s">
        <v>785</v>
      </c>
      <c r="D12" s="433"/>
      <c r="E12" s="433"/>
    </row>
    <row r="13" spans="1:8" ht="30" x14ac:dyDescent="0.25">
      <c r="A13" s="1292"/>
      <c r="B13" s="433" t="s">
        <v>789</v>
      </c>
      <c r="C13" s="433" t="s">
        <v>790</v>
      </c>
      <c r="D13" s="433"/>
      <c r="E13" s="433"/>
    </row>
    <row r="14" spans="1:8" ht="225" x14ac:dyDescent="0.25">
      <c r="A14" s="1292"/>
      <c r="B14" s="433" t="s">
        <v>726</v>
      </c>
      <c r="C14" s="433" t="s">
        <v>791</v>
      </c>
      <c r="D14" s="433" t="s">
        <v>1424</v>
      </c>
      <c r="E14" s="433" t="s">
        <v>1423</v>
      </c>
    </row>
    <row r="15" spans="1:8" ht="30" x14ac:dyDescent="0.25">
      <c r="A15" s="1292"/>
      <c r="B15" s="433" t="s">
        <v>792</v>
      </c>
      <c r="C15" s="433" t="s">
        <v>793</v>
      </c>
      <c r="D15" s="433"/>
      <c r="E15" s="433"/>
    </row>
    <row r="16" spans="1:8" ht="75" x14ac:dyDescent="0.25">
      <c r="A16" s="1292"/>
      <c r="B16" s="433" t="s">
        <v>727</v>
      </c>
      <c r="C16" s="433" t="s">
        <v>794</v>
      </c>
      <c r="D16" s="433"/>
      <c r="E16" s="433"/>
    </row>
    <row r="17" spans="1:5" ht="180" x14ac:dyDescent="0.25">
      <c r="A17" s="1292"/>
      <c r="B17" s="433" t="s">
        <v>735</v>
      </c>
      <c r="C17" s="433" t="s">
        <v>795</v>
      </c>
      <c r="D17" s="433"/>
      <c r="E17" s="433"/>
    </row>
    <row r="18" spans="1:5" ht="30" x14ac:dyDescent="0.25">
      <c r="A18" s="1292"/>
      <c r="B18" s="433" t="s">
        <v>729</v>
      </c>
      <c r="C18" s="433" t="s">
        <v>796</v>
      </c>
      <c r="D18" s="433"/>
      <c r="E18" s="433"/>
    </row>
    <row r="19" spans="1:5" ht="30.75" thickBot="1" x14ac:dyDescent="0.3">
      <c r="A19" s="1291"/>
      <c r="B19" s="438" t="s">
        <v>730</v>
      </c>
      <c r="C19" s="438" t="s">
        <v>797</v>
      </c>
      <c r="D19" s="438"/>
      <c r="E19" s="438"/>
    </row>
    <row r="20" spans="1:5" ht="30" x14ac:dyDescent="0.25">
      <c r="A20" s="1290" t="s">
        <v>1</v>
      </c>
      <c r="B20" s="432" t="s">
        <v>731</v>
      </c>
      <c r="C20" s="432" t="s">
        <v>798</v>
      </c>
      <c r="D20" s="432"/>
      <c r="E20" s="432"/>
    </row>
    <row r="21" spans="1:5" ht="45" x14ac:dyDescent="0.25">
      <c r="A21" s="1292"/>
      <c r="B21" s="433" t="s">
        <v>737</v>
      </c>
      <c r="C21" s="433" t="s">
        <v>799</v>
      </c>
      <c r="D21" s="433"/>
      <c r="E21" s="433"/>
    </row>
    <row r="22" spans="1:5" ht="90" x14ac:dyDescent="0.25">
      <c r="A22" s="1292"/>
      <c r="B22" s="433" t="s">
        <v>732</v>
      </c>
      <c r="C22" s="433" t="s">
        <v>801</v>
      </c>
      <c r="D22" s="433"/>
      <c r="E22" s="433"/>
    </row>
    <row r="23" spans="1:5" ht="60" x14ac:dyDescent="0.25">
      <c r="A23" s="1292"/>
      <c r="B23" s="433" t="s">
        <v>728</v>
      </c>
      <c r="C23" s="433" t="s">
        <v>800</v>
      </c>
      <c r="D23" s="433"/>
      <c r="E23" s="433"/>
    </row>
    <row r="24" spans="1:5" ht="75" x14ac:dyDescent="0.25">
      <c r="A24" s="1292"/>
      <c r="B24" s="433" t="s">
        <v>750</v>
      </c>
      <c r="C24" s="433" t="s">
        <v>804</v>
      </c>
      <c r="D24" s="433"/>
      <c r="E24" s="433"/>
    </row>
    <row r="25" spans="1:5" x14ac:dyDescent="0.25">
      <c r="A25" s="1292"/>
      <c r="B25" s="433" t="s">
        <v>733</v>
      </c>
      <c r="C25" s="433" t="s">
        <v>785</v>
      </c>
      <c r="D25" s="433"/>
      <c r="E25" s="433"/>
    </row>
    <row r="26" spans="1:5" ht="30" x14ac:dyDescent="0.25">
      <c r="A26" s="1292"/>
      <c r="B26" s="433" t="s">
        <v>734</v>
      </c>
      <c r="C26" s="433" t="s">
        <v>802</v>
      </c>
      <c r="D26" s="433"/>
      <c r="E26" s="433"/>
    </row>
    <row r="27" spans="1:5" ht="195.75" thickBot="1" x14ac:dyDescent="0.3">
      <c r="A27" s="1291"/>
      <c r="B27" s="438" t="s">
        <v>736</v>
      </c>
      <c r="C27" s="438" t="s">
        <v>803</v>
      </c>
      <c r="D27" s="438"/>
      <c r="E27" s="438"/>
    </row>
    <row r="28" spans="1:5" ht="135" x14ac:dyDescent="0.25">
      <c r="A28" s="1290" t="s">
        <v>277</v>
      </c>
      <c r="B28" s="432" t="s">
        <v>739</v>
      </c>
      <c r="C28" s="432" t="s">
        <v>805</v>
      </c>
      <c r="D28" s="432"/>
      <c r="E28" s="432"/>
    </row>
    <row r="29" spans="1:5" ht="90" x14ac:dyDescent="0.25">
      <c r="A29" s="1292"/>
      <c r="B29" s="433" t="s">
        <v>741</v>
      </c>
      <c r="C29" s="433" t="s">
        <v>806</v>
      </c>
      <c r="D29" s="433"/>
      <c r="E29" s="433"/>
    </row>
    <row r="30" spans="1:5" ht="120" x14ac:dyDescent="0.25">
      <c r="A30" s="1292"/>
      <c r="B30" s="433" t="s">
        <v>738</v>
      </c>
      <c r="C30" s="434" t="s">
        <v>807</v>
      </c>
      <c r="D30" s="434"/>
      <c r="E30" s="434"/>
    </row>
    <row r="31" spans="1:5" ht="30" x14ac:dyDescent="0.25">
      <c r="A31" s="1292"/>
      <c r="B31" s="433" t="s">
        <v>742</v>
      </c>
      <c r="C31" s="433" t="s">
        <v>808</v>
      </c>
      <c r="D31" s="433"/>
      <c r="E31" s="433"/>
    </row>
    <row r="32" spans="1:5" ht="60" x14ac:dyDescent="0.25">
      <c r="A32" s="1292"/>
      <c r="B32" s="433" t="s">
        <v>744</v>
      </c>
      <c r="C32" s="433" t="s">
        <v>809</v>
      </c>
      <c r="D32" s="433"/>
      <c r="E32" s="433"/>
    </row>
    <row r="33" spans="1:5" ht="30" x14ac:dyDescent="0.25">
      <c r="A33" s="1292"/>
      <c r="B33" s="433" t="s">
        <v>745</v>
      </c>
      <c r="C33" s="433" t="s">
        <v>808</v>
      </c>
      <c r="D33" s="433"/>
      <c r="E33" s="433"/>
    </row>
    <row r="34" spans="1:5" ht="30.75" thickBot="1" x14ac:dyDescent="0.3">
      <c r="A34" s="1291"/>
      <c r="B34" s="433" t="s">
        <v>747</v>
      </c>
      <c r="C34" s="434" t="s">
        <v>810</v>
      </c>
      <c r="D34" s="434"/>
      <c r="E34" s="434"/>
    </row>
    <row r="35" spans="1:5" ht="105" x14ac:dyDescent="0.25">
      <c r="A35" s="1290" t="s">
        <v>278</v>
      </c>
      <c r="B35" s="432" t="s">
        <v>740</v>
      </c>
      <c r="C35" s="449" t="s">
        <v>816</v>
      </c>
      <c r="D35" s="449"/>
      <c r="E35" s="449"/>
    </row>
    <row r="36" spans="1:5" ht="135" x14ac:dyDescent="0.25">
      <c r="A36" s="1292"/>
      <c r="B36" s="433" t="s">
        <v>743</v>
      </c>
      <c r="C36" s="434" t="s">
        <v>817</v>
      </c>
      <c r="D36" s="434"/>
      <c r="E36" s="434"/>
    </row>
    <row r="37" spans="1:5" ht="30.75" thickBot="1" x14ac:dyDescent="0.3">
      <c r="A37" s="1291"/>
      <c r="B37" s="438" t="s">
        <v>751</v>
      </c>
      <c r="C37" s="438" t="s">
        <v>818</v>
      </c>
      <c r="D37" s="438"/>
      <c r="E37" s="438"/>
    </row>
    <row r="38" spans="1:5" ht="30" x14ac:dyDescent="0.25">
      <c r="A38" s="1290" t="s">
        <v>279</v>
      </c>
      <c r="B38" s="432" t="s">
        <v>752</v>
      </c>
      <c r="C38" s="432" t="s">
        <v>819</v>
      </c>
      <c r="D38" s="432"/>
      <c r="E38" s="432"/>
    </row>
    <row r="39" spans="1:5" ht="45" x14ac:dyDescent="0.25">
      <c r="A39" s="1292"/>
      <c r="B39" s="433" t="s">
        <v>753</v>
      </c>
      <c r="C39" s="433" t="s">
        <v>820</v>
      </c>
      <c r="D39" s="433"/>
      <c r="E39" s="433"/>
    </row>
    <row r="40" spans="1:5" ht="30" x14ac:dyDescent="0.25">
      <c r="A40" s="1292"/>
      <c r="B40" s="433" t="s">
        <v>754</v>
      </c>
      <c r="C40" s="434" t="s">
        <v>821</v>
      </c>
      <c r="D40" s="434"/>
      <c r="E40" s="434"/>
    </row>
    <row r="41" spans="1:5" ht="60" x14ac:dyDescent="0.25">
      <c r="A41" s="1292"/>
      <c r="B41" s="433" t="s">
        <v>755</v>
      </c>
      <c r="C41" s="434" t="s">
        <v>822</v>
      </c>
      <c r="D41" s="434"/>
      <c r="E41" s="434"/>
    </row>
    <row r="42" spans="1:5" ht="45" x14ac:dyDescent="0.25">
      <c r="A42" s="1292"/>
      <c r="B42" s="433" t="s">
        <v>756</v>
      </c>
      <c r="C42" s="434"/>
      <c r="D42" s="434"/>
      <c r="E42" s="434"/>
    </row>
    <row r="43" spans="1:5" ht="30" x14ac:dyDescent="0.25">
      <c r="A43" s="1292"/>
      <c r="B43" s="433" t="s">
        <v>757</v>
      </c>
      <c r="C43" s="434"/>
      <c r="D43" s="434"/>
      <c r="E43" s="434"/>
    </row>
    <row r="44" spans="1:5" ht="30" x14ac:dyDescent="0.25">
      <c r="A44" s="1292"/>
      <c r="B44" s="434" t="s">
        <v>758</v>
      </c>
      <c r="C44" s="434"/>
      <c r="D44" s="434"/>
      <c r="E44" s="434"/>
    </row>
    <row r="45" spans="1:5" ht="30" x14ac:dyDescent="0.25">
      <c r="A45" s="1292"/>
      <c r="B45" s="434" t="s">
        <v>759</v>
      </c>
      <c r="C45" s="434"/>
      <c r="D45" s="434"/>
      <c r="E45" s="434"/>
    </row>
    <row r="46" spans="1:5" ht="15.75" thickBot="1" x14ac:dyDescent="0.3">
      <c r="A46" s="1291"/>
      <c r="B46" s="443" t="s">
        <v>760</v>
      </c>
      <c r="C46" s="443"/>
      <c r="D46" s="443"/>
      <c r="E46" s="443"/>
    </row>
    <row r="47" spans="1:5" ht="60.75" thickBot="1" x14ac:dyDescent="0.3">
      <c r="A47" s="1290" t="s">
        <v>272</v>
      </c>
      <c r="B47" s="444" t="s">
        <v>761</v>
      </c>
      <c r="C47" s="432" t="s">
        <v>823</v>
      </c>
      <c r="D47" s="432"/>
      <c r="E47" s="432"/>
    </row>
    <row r="48" spans="1:5" ht="60.75" thickBot="1" x14ac:dyDescent="0.3">
      <c r="A48" s="1292"/>
      <c r="B48" s="435" t="s">
        <v>762</v>
      </c>
      <c r="C48" s="432" t="s">
        <v>824</v>
      </c>
      <c r="D48" s="432"/>
      <c r="E48" s="432"/>
    </row>
    <row r="49" spans="1:5" ht="75.75" thickBot="1" x14ac:dyDescent="0.3">
      <c r="A49" s="1292"/>
      <c r="B49" s="435" t="s">
        <v>768</v>
      </c>
      <c r="C49" s="432" t="s">
        <v>825</v>
      </c>
      <c r="D49" s="432"/>
      <c r="E49" s="432"/>
    </row>
    <row r="50" spans="1:5" ht="75.75" thickBot="1" x14ac:dyDescent="0.3">
      <c r="A50" s="1291"/>
      <c r="B50" s="436" t="s">
        <v>769</v>
      </c>
      <c r="C50" s="432" t="s">
        <v>826</v>
      </c>
      <c r="D50" s="432"/>
      <c r="E50" s="432"/>
    </row>
    <row r="51" spans="1:5" ht="60.75" thickBot="1" x14ac:dyDescent="0.3">
      <c r="A51" s="1290" t="s">
        <v>271</v>
      </c>
      <c r="B51" s="444" t="s">
        <v>770</v>
      </c>
      <c r="C51" s="432" t="s">
        <v>827</v>
      </c>
      <c r="D51" s="432"/>
      <c r="E51" s="432"/>
    </row>
    <row r="52" spans="1:5" ht="60.75" thickBot="1" x14ac:dyDescent="0.3">
      <c r="A52" s="1292"/>
      <c r="B52" s="435" t="s">
        <v>828</v>
      </c>
      <c r="C52" s="432" t="s">
        <v>829</v>
      </c>
      <c r="D52" s="432"/>
      <c r="E52" s="432"/>
    </row>
    <row r="53" spans="1:5" ht="45" x14ac:dyDescent="0.25">
      <c r="A53" s="1292"/>
      <c r="B53" s="435" t="s">
        <v>771</v>
      </c>
      <c r="C53" s="432" t="s">
        <v>831</v>
      </c>
      <c r="D53" s="432"/>
      <c r="E53" s="432"/>
    </row>
    <row r="54" spans="1:5" ht="30.75" thickBot="1" x14ac:dyDescent="0.3">
      <c r="A54" s="1291"/>
      <c r="B54" s="436" t="s">
        <v>772</v>
      </c>
      <c r="C54" s="438" t="s">
        <v>830</v>
      </c>
      <c r="D54" s="438"/>
      <c r="E54" s="438"/>
    </row>
    <row r="55" spans="1:5" ht="30" customHeight="1" x14ac:dyDescent="0.25">
      <c r="A55" s="1290" t="s">
        <v>273</v>
      </c>
      <c r="B55" s="444" t="s">
        <v>763</v>
      </c>
      <c r="C55" s="432"/>
      <c r="D55" s="432"/>
      <c r="E55" s="432"/>
    </row>
    <row r="56" spans="1:5" x14ac:dyDescent="0.25">
      <c r="A56" s="1292"/>
      <c r="B56" s="435" t="s">
        <v>765</v>
      </c>
      <c r="C56" s="433"/>
      <c r="D56" s="433"/>
      <c r="E56" s="433"/>
    </row>
    <row r="57" spans="1:5" ht="22.5" x14ac:dyDescent="0.25">
      <c r="A57" s="1292"/>
      <c r="B57" s="435" t="s">
        <v>764</v>
      </c>
      <c r="C57" s="433"/>
      <c r="D57" s="433"/>
      <c r="E57" s="433"/>
    </row>
    <row r="58" spans="1:5" x14ac:dyDescent="0.25">
      <c r="A58" s="1292"/>
      <c r="B58" s="435" t="s">
        <v>766</v>
      </c>
      <c r="C58" s="433"/>
      <c r="D58" s="433"/>
      <c r="E58" s="433"/>
    </row>
    <row r="59" spans="1:5" ht="22.5" x14ac:dyDescent="0.25">
      <c r="A59" s="1292"/>
      <c r="B59" s="435" t="s">
        <v>767</v>
      </c>
      <c r="C59" s="433"/>
      <c r="D59" s="433"/>
      <c r="E59" s="433"/>
    </row>
    <row r="60" spans="1:5" x14ac:dyDescent="0.25">
      <c r="A60" s="1292"/>
      <c r="B60" s="433" t="s">
        <v>746</v>
      </c>
      <c r="C60" s="433" t="s">
        <v>812</v>
      </c>
      <c r="D60" s="433"/>
      <c r="E60" s="433"/>
    </row>
    <row r="61" spans="1:5" ht="45" x14ac:dyDescent="0.25">
      <c r="A61" s="1292"/>
      <c r="B61" s="433" t="s">
        <v>813</v>
      </c>
      <c r="C61" s="433" t="s">
        <v>814</v>
      </c>
      <c r="D61" s="433"/>
      <c r="E61" s="433"/>
    </row>
    <row r="62" spans="1:5" ht="15.75" thickBot="1" x14ac:dyDescent="0.3">
      <c r="A62" s="1291"/>
      <c r="B62" s="438" t="s">
        <v>748</v>
      </c>
      <c r="C62" s="438" t="s">
        <v>815</v>
      </c>
      <c r="D62" s="438"/>
      <c r="E62" s="438"/>
    </row>
    <row r="63" spans="1:5" ht="30" customHeight="1" x14ac:dyDescent="0.25">
      <c r="A63" s="1290" t="s">
        <v>683</v>
      </c>
      <c r="B63" s="444" t="s">
        <v>773</v>
      </c>
      <c r="C63" s="432"/>
      <c r="D63" s="432"/>
      <c r="E63" s="432"/>
    </row>
    <row r="64" spans="1:5" x14ac:dyDescent="0.25">
      <c r="A64" s="1292"/>
      <c r="B64" s="435" t="s">
        <v>775</v>
      </c>
      <c r="C64" s="433"/>
      <c r="D64" s="433"/>
      <c r="E64" s="433"/>
    </row>
    <row r="65" spans="1:5" ht="19.5" customHeight="1" thickBot="1" x14ac:dyDescent="0.3">
      <c r="A65" s="1291"/>
      <c r="B65" s="436" t="s">
        <v>774</v>
      </c>
      <c r="C65" s="438"/>
      <c r="D65" s="438"/>
      <c r="E65" s="438"/>
    </row>
    <row r="66" spans="1:5" ht="22.5" x14ac:dyDescent="0.25">
      <c r="A66" s="1290" t="s">
        <v>588</v>
      </c>
      <c r="B66" s="444" t="s">
        <v>773</v>
      </c>
      <c r="C66" s="432"/>
      <c r="D66" s="432"/>
      <c r="E66" s="432"/>
    </row>
    <row r="67" spans="1:5" x14ac:dyDescent="0.25">
      <c r="A67" s="1292"/>
      <c r="B67" s="435" t="s">
        <v>775</v>
      </c>
      <c r="C67" s="433"/>
      <c r="D67" s="433"/>
      <c r="E67" s="433"/>
    </row>
    <row r="68" spans="1:5" ht="15.75" thickBot="1" x14ac:dyDescent="0.3">
      <c r="A68" s="1291"/>
      <c r="B68" s="436" t="s">
        <v>772</v>
      </c>
      <c r="C68" s="438"/>
      <c r="D68" s="438"/>
      <c r="E68" s="438"/>
    </row>
    <row r="69" spans="1:5" ht="22.5" x14ac:dyDescent="0.25">
      <c r="A69" s="1290" t="s">
        <v>697</v>
      </c>
      <c r="B69" s="444" t="s">
        <v>776</v>
      </c>
      <c r="C69" s="432"/>
      <c r="D69" s="432"/>
      <c r="E69" s="432"/>
    </row>
    <row r="70" spans="1:5" ht="34.5" thickBot="1" x14ac:dyDescent="0.3">
      <c r="A70" s="1291"/>
      <c r="B70" s="436" t="s">
        <v>777</v>
      </c>
      <c r="C70" s="438"/>
      <c r="D70" s="438"/>
      <c r="E70" s="438"/>
    </row>
    <row r="71" spans="1:5" ht="23.25" thickBot="1" x14ac:dyDescent="0.3">
      <c r="A71" s="442" t="s">
        <v>698</v>
      </c>
      <c r="B71" s="445" t="s">
        <v>778</v>
      </c>
      <c r="C71" s="431"/>
      <c r="D71" s="431"/>
      <c r="E71" s="431"/>
    </row>
    <row r="72" spans="1:5" ht="45.75" thickBot="1" x14ac:dyDescent="0.3">
      <c r="A72" s="441" t="s">
        <v>276</v>
      </c>
      <c r="B72" s="446" t="s">
        <v>779</v>
      </c>
      <c r="C72" s="440"/>
      <c r="D72" s="440"/>
      <c r="E72" s="440"/>
    </row>
    <row r="73" spans="1:5" ht="30" customHeight="1" x14ac:dyDescent="0.25">
      <c r="A73" s="1290" t="s">
        <v>275</v>
      </c>
      <c r="B73" s="444" t="s">
        <v>780</v>
      </c>
      <c r="C73" s="447"/>
      <c r="D73" s="447"/>
      <c r="E73" s="447"/>
    </row>
    <row r="74" spans="1:5" ht="45.75" thickBot="1" x14ac:dyDescent="0.3">
      <c r="A74" s="1291"/>
      <c r="B74" s="438" t="s">
        <v>749</v>
      </c>
      <c r="C74" s="448" t="s">
        <v>811</v>
      </c>
      <c r="D74" s="448"/>
      <c r="E74" s="448"/>
    </row>
  </sheetData>
  <mergeCells count="12">
    <mergeCell ref="A73:A74"/>
    <mergeCell ref="A5:A19"/>
    <mergeCell ref="A20:A27"/>
    <mergeCell ref="A28:A34"/>
    <mergeCell ref="A35:A37"/>
    <mergeCell ref="A38:A46"/>
    <mergeCell ref="A47:A50"/>
    <mergeCell ref="A51:A54"/>
    <mergeCell ref="A55:A62"/>
    <mergeCell ref="A63:A65"/>
    <mergeCell ref="A66:A68"/>
    <mergeCell ref="A69:A70"/>
  </mergeCell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B23"/>
  <sheetViews>
    <sheetView workbookViewId="0">
      <selection activeCell="K21" sqref="K21:K22"/>
    </sheetView>
  </sheetViews>
  <sheetFormatPr defaultRowHeight="15" x14ac:dyDescent="0.25"/>
  <cols>
    <col min="1" max="1" width="76.42578125" style="1" customWidth="1"/>
    <col min="2" max="2" width="46.28515625" customWidth="1"/>
  </cols>
  <sheetData>
    <row r="2" spans="1:2" x14ac:dyDescent="0.25">
      <c r="A2" s="1" t="s">
        <v>563</v>
      </c>
    </row>
    <row r="3" spans="1:2" x14ac:dyDescent="0.25">
      <c r="A3" s="1" t="s">
        <v>562</v>
      </c>
    </row>
    <row r="4" spans="1:2" x14ac:dyDescent="0.25">
      <c r="A4" s="1" t="s">
        <v>530</v>
      </c>
    </row>
    <row r="5" spans="1:2" x14ac:dyDescent="0.25">
      <c r="A5" s="1" t="s">
        <v>531</v>
      </c>
    </row>
    <row r="6" spans="1:2" x14ac:dyDescent="0.25">
      <c r="A6" s="1" t="s">
        <v>532</v>
      </c>
    </row>
    <row r="7" spans="1:2" ht="15.75" thickBot="1" x14ac:dyDescent="0.3"/>
    <row r="8" spans="1:2" ht="15.75" thickBot="1" x14ac:dyDescent="0.3">
      <c r="A8" s="506" t="s">
        <v>985</v>
      </c>
      <c r="B8" s="507" t="s">
        <v>986</v>
      </c>
    </row>
    <row r="9" spans="1:2" x14ac:dyDescent="0.25">
      <c r="A9" s="502" t="s">
        <v>534</v>
      </c>
      <c r="B9" s="503"/>
    </row>
    <row r="10" spans="1:2" x14ac:dyDescent="0.25">
      <c r="A10" s="190" t="s">
        <v>535</v>
      </c>
      <c r="B10" s="504"/>
    </row>
    <row r="11" spans="1:2" ht="30" x14ac:dyDescent="0.25">
      <c r="A11" s="190" t="s">
        <v>536</v>
      </c>
      <c r="B11" s="89" t="s">
        <v>987</v>
      </c>
    </row>
    <row r="12" spans="1:2" x14ac:dyDescent="0.25">
      <c r="A12" s="190" t="s">
        <v>548</v>
      </c>
      <c r="B12" s="504"/>
    </row>
    <row r="13" spans="1:2" ht="30" x14ac:dyDescent="0.25">
      <c r="A13" s="190" t="s">
        <v>537</v>
      </c>
      <c r="B13" s="504"/>
    </row>
    <row r="14" spans="1:2" ht="30" x14ac:dyDescent="0.25">
      <c r="A14" s="190" t="s">
        <v>538</v>
      </c>
      <c r="B14" s="504"/>
    </row>
    <row r="15" spans="1:2" x14ac:dyDescent="0.25">
      <c r="A15" s="190" t="s">
        <v>539</v>
      </c>
      <c r="B15" s="504"/>
    </row>
    <row r="16" spans="1:2" x14ac:dyDescent="0.25">
      <c r="A16" s="190" t="s">
        <v>540</v>
      </c>
      <c r="B16" s="504"/>
    </row>
    <row r="17" spans="1:2" x14ac:dyDescent="0.25">
      <c r="A17" s="190" t="s">
        <v>541</v>
      </c>
      <c r="B17" s="504"/>
    </row>
    <row r="18" spans="1:2" x14ac:dyDescent="0.25">
      <c r="A18" s="190" t="s">
        <v>542</v>
      </c>
      <c r="B18" s="504"/>
    </row>
    <row r="19" spans="1:2" x14ac:dyDescent="0.25">
      <c r="A19" s="190" t="s">
        <v>543</v>
      </c>
      <c r="B19" s="504"/>
    </row>
    <row r="20" spans="1:2" x14ac:dyDescent="0.25">
      <c r="A20" s="190" t="s">
        <v>544</v>
      </c>
      <c r="B20" s="504"/>
    </row>
    <row r="21" spans="1:2" x14ac:dyDescent="0.25">
      <c r="A21" s="190" t="s">
        <v>545</v>
      </c>
      <c r="B21" s="504"/>
    </row>
    <row r="22" spans="1:2" x14ac:dyDescent="0.25">
      <c r="A22" s="190" t="s">
        <v>546</v>
      </c>
      <c r="B22" s="504"/>
    </row>
    <row r="23" spans="1:2" ht="15.75" thickBot="1" x14ac:dyDescent="0.3">
      <c r="A23" s="191" t="s">
        <v>547</v>
      </c>
      <c r="B23" s="505"/>
    </row>
  </sheetData>
  <customSheetViews>
    <customSheetView guid="{4C101172-6A1B-4680-8EB9-7A8F363D5714}">
      <selection activeCell="A26" sqref="A26"/>
      <pageMargins left="0.7" right="0.7" top="0.75" bottom="0.75" header="0.3" footer="0.3"/>
    </customSheetView>
  </customSheetView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1"/>
  <sheetViews>
    <sheetView workbookViewId="0">
      <pane xSplit="1" ySplit="2" topLeftCell="B15" activePane="bottomRight" state="frozen"/>
      <selection pane="topRight" activeCell="B1" sqref="B1"/>
      <selection pane="bottomLeft" activeCell="A3" sqref="A3"/>
      <selection pane="bottomRight" activeCell="A49" sqref="A49:A75"/>
    </sheetView>
  </sheetViews>
  <sheetFormatPr defaultColWidth="9.28515625" defaultRowHeight="15" x14ac:dyDescent="0.25"/>
  <cols>
    <col min="1" max="1" width="57.28515625" style="1" customWidth="1"/>
    <col min="2" max="2" width="113" style="1" customWidth="1"/>
    <col min="3" max="16384" width="9.28515625" style="1"/>
  </cols>
  <sheetData>
    <row r="1" spans="1:2" ht="32.25" thickBot="1" x14ac:dyDescent="0.3">
      <c r="A1" s="320" t="s">
        <v>665</v>
      </c>
    </row>
    <row r="2" spans="1:2" ht="15.75" thickBot="1" x14ac:dyDescent="0.3">
      <c r="A2" s="305" t="s">
        <v>597</v>
      </c>
      <c r="B2" s="306" t="s">
        <v>598</v>
      </c>
    </row>
    <row r="3" spans="1:2" x14ac:dyDescent="0.25">
      <c r="A3" s="1296" t="s">
        <v>599</v>
      </c>
      <c r="B3" s="307" t="s">
        <v>600</v>
      </c>
    </row>
    <row r="4" spans="1:2" x14ac:dyDescent="0.25">
      <c r="A4" s="1297"/>
      <c r="B4" s="308" t="s">
        <v>601</v>
      </c>
    </row>
    <row r="5" spans="1:2" x14ac:dyDescent="0.25">
      <c r="A5" s="1297"/>
      <c r="B5" s="307" t="s">
        <v>602</v>
      </c>
    </row>
    <row r="6" spans="1:2" ht="15.75" thickBot="1" x14ac:dyDescent="0.3">
      <c r="A6" s="1297"/>
      <c r="B6" s="309" t="s">
        <v>603</v>
      </c>
    </row>
    <row r="7" spans="1:2" x14ac:dyDescent="0.25">
      <c r="A7" s="1297"/>
      <c r="B7" s="307" t="s">
        <v>604</v>
      </c>
    </row>
    <row r="8" spans="1:2" x14ac:dyDescent="0.25">
      <c r="A8" s="1297"/>
      <c r="B8" s="308" t="s">
        <v>605</v>
      </c>
    </row>
    <row r="9" spans="1:2" x14ac:dyDescent="0.25">
      <c r="A9" s="1297"/>
      <c r="B9" s="307" t="s">
        <v>606</v>
      </c>
    </row>
    <row r="10" spans="1:2" ht="15.75" thickBot="1" x14ac:dyDescent="0.3">
      <c r="A10" s="1297"/>
      <c r="B10" s="309" t="s">
        <v>603</v>
      </c>
    </row>
    <row r="11" spans="1:2" x14ac:dyDescent="0.25">
      <c r="A11" s="1297"/>
      <c r="B11" s="307" t="s">
        <v>607</v>
      </c>
    </row>
    <row r="12" spans="1:2" x14ac:dyDescent="0.25">
      <c r="A12" s="1297"/>
      <c r="B12" s="308" t="s">
        <v>608</v>
      </c>
    </row>
    <row r="13" spans="1:2" x14ac:dyDescent="0.25">
      <c r="A13" s="1297"/>
      <c r="B13" s="307" t="s">
        <v>609</v>
      </c>
    </row>
    <row r="14" spans="1:2" x14ac:dyDescent="0.25">
      <c r="A14" s="1297"/>
      <c r="B14" s="310" t="s">
        <v>610</v>
      </c>
    </row>
    <row r="15" spans="1:2" x14ac:dyDescent="0.25">
      <c r="A15" s="1297"/>
      <c r="B15" s="310" t="s">
        <v>611</v>
      </c>
    </row>
    <row r="16" spans="1:2" ht="15.75" thickBot="1" x14ac:dyDescent="0.3">
      <c r="A16" s="1298"/>
      <c r="B16" s="309" t="s">
        <v>603</v>
      </c>
    </row>
    <row r="17" spans="1:2" x14ac:dyDescent="0.25">
      <c r="A17" s="1296" t="s">
        <v>612</v>
      </c>
      <c r="B17" s="307" t="s">
        <v>613</v>
      </c>
    </row>
    <row r="18" spans="1:2" x14ac:dyDescent="0.25">
      <c r="A18" s="1297"/>
      <c r="B18" s="308" t="s">
        <v>608</v>
      </c>
    </row>
    <row r="19" spans="1:2" x14ac:dyDescent="0.25">
      <c r="A19" s="1297"/>
      <c r="B19" s="307" t="s">
        <v>614</v>
      </c>
    </row>
    <row r="20" spans="1:2" x14ac:dyDescent="0.25">
      <c r="A20" s="1297"/>
      <c r="B20" s="307" t="s">
        <v>615</v>
      </c>
    </row>
    <row r="21" spans="1:2" x14ac:dyDescent="0.25">
      <c r="A21" s="1297"/>
      <c r="B21" s="307" t="s">
        <v>616</v>
      </c>
    </row>
    <row r="22" spans="1:2" ht="26.25" thickBot="1" x14ac:dyDescent="0.3">
      <c r="A22" s="1297"/>
      <c r="B22" s="309" t="s">
        <v>617</v>
      </c>
    </row>
    <row r="23" spans="1:2" x14ac:dyDescent="0.25">
      <c r="A23" s="1297"/>
      <c r="B23" s="307" t="s">
        <v>618</v>
      </c>
    </row>
    <row r="24" spans="1:2" x14ac:dyDescent="0.25">
      <c r="A24" s="1297"/>
      <c r="B24" s="308" t="s">
        <v>608</v>
      </c>
    </row>
    <row r="25" spans="1:2" x14ac:dyDescent="0.25">
      <c r="A25" s="1297"/>
      <c r="B25" s="307"/>
    </row>
    <row r="26" spans="1:2" x14ac:dyDescent="0.25">
      <c r="A26" s="1297"/>
      <c r="B26" s="307" t="s">
        <v>619</v>
      </c>
    </row>
    <row r="27" spans="1:2" x14ac:dyDescent="0.25">
      <c r="A27" s="1297"/>
      <c r="B27" s="307" t="s">
        <v>620</v>
      </c>
    </row>
    <row r="28" spans="1:2" x14ac:dyDescent="0.25">
      <c r="A28" s="1297"/>
      <c r="B28" s="307" t="s">
        <v>621</v>
      </c>
    </row>
    <row r="29" spans="1:2" x14ac:dyDescent="0.25">
      <c r="A29" s="1297"/>
      <c r="B29" s="307" t="s">
        <v>622</v>
      </c>
    </row>
    <row r="30" spans="1:2" x14ac:dyDescent="0.25">
      <c r="A30" s="1297"/>
      <c r="B30" s="307" t="s">
        <v>623</v>
      </c>
    </row>
    <row r="31" spans="1:2" ht="26.25" thickBot="1" x14ac:dyDescent="0.3">
      <c r="A31" s="1297"/>
      <c r="B31" s="309" t="s">
        <v>617</v>
      </c>
    </row>
    <row r="32" spans="1:2" x14ac:dyDescent="0.25">
      <c r="A32" s="1297"/>
      <c r="B32" s="307" t="s">
        <v>624</v>
      </c>
    </row>
    <row r="33" spans="1:2" x14ac:dyDescent="0.25">
      <c r="A33" s="1297"/>
      <c r="B33" s="308" t="s">
        <v>608</v>
      </c>
    </row>
    <row r="34" spans="1:2" x14ac:dyDescent="0.25">
      <c r="A34" s="1297"/>
      <c r="B34" s="307"/>
    </row>
    <row r="35" spans="1:2" x14ac:dyDescent="0.25">
      <c r="A35" s="1297"/>
      <c r="B35" s="307" t="s">
        <v>614</v>
      </c>
    </row>
    <row r="36" spans="1:2" x14ac:dyDescent="0.25">
      <c r="A36" s="1297"/>
      <c r="B36" s="307" t="s">
        <v>615</v>
      </c>
    </row>
    <row r="37" spans="1:2" x14ac:dyDescent="0.25">
      <c r="A37" s="1297"/>
      <c r="B37" s="307" t="s">
        <v>616</v>
      </c>
    </row>
    <row r="38" spans="1:2" ht="26.25" thickBot="1" x14ac:dyDescent="0.3">
      <c r="A38" s="1297"/>
      <c r="B38" s="309" t="s">
        <v>617</v>
      </c>
    </row>
    <row r="39" spans="1:2" x14ac:dyDescent="0.25">
      <c r="A39" s="1297"/>
      <c r="B39" s="307" t="s">
        <v>625</v>
      </c>
    </row>
    <row r="40" spans="1:2" x14ac:dyDescent="0.25">
      <c r="A40" s="1297"/>
      <c r="B40" s="307" t="s">
        <v>619</v>
      </c>
    </row>
    <row r="41" spans="1:2" x14ac:dyDescent="0.25">
      <c r="A41" s="1297"/>
      <c r="B41" s="307" t="s">
        <v>626</v>
      </c>
    </row>
    <row r="42" spans="1:2" x14ac:dyDescent="0.25">
      <c r="A42" s="1297"/>
      <c r="B42" s="311" t="s">
        <v>627</v>
      </c>
    </row>
    <row r="43" spans="1:2" ht="26.25" thickBot="1" x14ac:dyDescent="0.3">
      <c r="A43" s="1298"/>
      <c r="B43" s="309" t="s">
        <v>617</v>
      </c>
    </row>
    <row r="44" spans="1:2" ht="32.25" thickBot="1" x14ac:dyDescent="0.3">
      <c r="A44" s="320" t="s">
        <v>666</v>
      </c>
    </row>
    <row r="45" spans="1:2" ht="15.75" thickBot="1" x14ac:dyDescent="0.3">
      <c r="A45" s="305" t="s">
        <v>597</v>
      </c>
      <c r="B45" s="306" t="s">
        <v>598</v>
      </c>
    </row>
    <row r="46" spans="1:2" ht="51.75" thickBot="1" x14ac:dyDescent="0.3">
      <c r="A46" s="1293" t="s">
        <v>628</v>
      </c>
      <c r="B46" s="312" t="s">
        <v>629</v>
      </c>
    </row>
    <row r="47" spans="1:2" ht="64.5" thickBot="1" x14ac:dyDescent="0.3">
      <c r="A47" s="1294"/>
      <c r="B47" s="312" t="s">
        <v>630</v>
      </c>
    </row>
    <row r="48" spans="1:2" ht="77.25" thickBot="1" x14ac:dyDescent="0.3">
      <c r="A48" s="1295"/>
      <c r="B48" s="312" t="s">
        <v>631</v>
      </c>
    </row>
    <row r="49" spans="1:2" x14ac:dyDescent="0.25">
      <c r="A49" s="1293" t="s">
        <v>632</v>
      </c>
      <c r="B49" s="313" t="s">
        <v>633</v>
      </c>
    </row>
    <row r="50" spans="1:2" x14ac:dyDescent="0.25">
      <c r="A50" s="1294"/>
      <c r="B50" s="314" t="s">
        <v>608</v>
      </c>
    </row>
    <row r="51" spans="1:2" ht="15.75" thickBot="1" x14ac:dyDescent="0.3">
      <c r="A51" s="1294"/>
      <c r="B51" s="312" t="s">
        <v>606</v>
      </c>
    </row>
    <row r="52" spans="1:2" x14ac:dyDescent="0.25">
      <c r="A52" s="1294"/>
      <c r="B52" s="313" t="s">
        <v>634</v>
      </c>
    </row>
    <row r="53" spans="1:2" x14ac:dyDescent="0.25">
      <c r="A53" s="1294"/>
      <c r="B53" s="314" t="s">
        <v>608</v>
      </c>
    </row>
    <row r="54" spans="1:2" x14ac:dyDescent="0.25">
      <c r="A54" s="1294"/>
      <c r="B54" s="313" t="s">
        <v>635</v>
      </c>
    </row>
    <row r="55" spans="1:2" x14ac:dyDescent="0.25">
      <c r="A55" s="1294"/>
      <c r="B55" s="313" t="s">
        <v>636</v>
      </c>
    </row>
    <row r="56" spans="1:2" ht="15.75" thickBot="1" x14ac:dyDescent="0.3">
      <c r="A56" s="1294"/>
      <c r="B56" s="312" t="s">
        <v>637</v>
      </c>
    </row>
    <row r="57" spans="1:2" x14ac:dyDescent="0.25">
      <c r="A57" s="1294"/>
      <c r="B57" s="313" t="s">
        <v>638</v>
      </c>
    </row>
    <row r="58" spans="1:2" x14ac:dyDescent="0.25">
      <c r="A58" s="1294"/>
      <c r="B58" s="314" t="s">
        <v>608</v>
      </c>
    </row>
    <row r="59" spans="1:2" ht="15.75" thickBot="1" x14ac:dyDescent="0.3">
      <c r="A59" s="1294"/>
      <c r="B59" s="312" t="s">
        <v>609</v>
      </c>
    </row>
    <row r="60" spans="1:2" x14ac:dyDescent="0.25">
      <c r="A60" s="1294"/>
      <c r="B60" s="313" t="s">
        <v>639</v>
      </c>
    </row>
    <row r="61" spans="1:2" x14ac:dyDescent="0.25">
      <c r="A61" s="1294"/>
      <c r="B61" s="314" t="s">
        <v>608</v>
      </c>
    </row>
    <row r="62" spans="1:2" x14ac:dyDescent="0.25">
      <c r="A62" s="1294"/>
      <c r="B62" s="313" t="s">
        <v>609</v>
      </c>
    </row>
    <row r="63" spans="1:2" x14ac:dyDescent="0.25">
      <c r="A63" s="1294"/>
      <c r="B63" s="315" t="s">
        <v>640</v>
      </c>
    </row>
    <row r="64" spans="1:2" x14ac:dyDescent="0.25">
      <c r="A64" s="1294"/>
      <c r="B64" s="315" t="s">
        <v>641</v>
      </c>
    </row>
    <row r="65" spans="1:2" x14ac:dyDescent="0.25">
      <c r="A65" s="1294"/>
      <c r="B65" s="315" t="s">
        <v>642</v>
      </c>
    </row>
    <row r="66" spans="1:2" ht="15.75" thickBot="1" x14ac:dyDescent="0.3">
      <c r="A66" s="1294"/>
      <c r="B66" s="316" t="s">
        <v>643</v>
      </c>
    </row>
    <row r="67" spans="1:2" x14ac:dyDescent="0.25">
      <c r="A67" s="1294"/>
      <c r="B67" s="313" t="s">
        <v>644</v>
      </c>
    </row>
    <row r="68" spans="1:2" x14ac:dyDescent="0.25">
      <c r="A68" s="1294"/>
      <c r="B68" s="314" t="s">
        <v>645</v>
      </c>
    </row>
    <row r="69" spans="1:2" ht="15.75" thickBot="1" x14ac:dyDescent="0.3">
      <c r="A69" s="1294"/>
      <c r="B69" s="312" t="s">
        <v>646</v>
      </c>
    </row>
    <row r="70" spans="1:2" x14ac:dyDescent="0.25">
      <c r="A70" s="1294"/>
      <c r="B70" s="313" t="s">
        <v>647</v>
      </c>
    </row>
    <row r="71" spans="1:2" x14ac:dyDescent="0.25">
      <c r="A71" s="1294"/>
      <c r="B71" s="314" t="s">
        <v>608</v>
      </c>
    </row>
    <row r="72" spans="1:2" ht="15.75" thickBot="1" x14ac:dyDescent="0.3">
      <c r="A72" s="1294"/>
      <c r="B72" s="312" t="s">
        <v>648</v>
      </c>
    </row>
    <row r="73" spans="1:2" x14ac:dyDescent="0.25">
      <c r="A73" s="1294"/>
      <c r="B73" s="313" t="s">
        <v>649</v>
      </c>
    </row>
    <row r="74" spans="1:2" x14ac:dyDescent="0.25">
      <c r="A74" s="1294"/>
      <c r="B74" s="314" t="s">
        <v>608</v>
      </c>
    </row>
    <row r="75" spans="1:2" ht="15.75" thickBot="1" x14ac:dyDescent="0.3">
      <c r="A75" s="1295"/>
      <c r="B75" s="312" t="s">
        <v>650</v>
      </c>
    </row>
    <row r="76" spans="1:2" x14ac:dyDescent="0.25">
      <c r="A76" s="1293" t="s">
        <v>651</v>
      </c>
      <c r="B76" s="313" t="s">
        <v>652</v>
      </c>
    </row>
    <row r="77" spans="1:2" x14ac:dyDescent="0.25">
      <c r="A77" s="1294"/>
      <c r="B77" s="314" t="s">
        <v>653</v>
      </c>
    </row>
    <row r="78" spans="1:2" ht="25.5" x14ac:dyDescent="0.25">
      <c r="A78" s="1294"/>
      <c r="B78" s="313" t="s">
        <v>654</v>
      </c>
    </row>
    <row r="79" spans="1:2" x14ac:dyDescent="0.25">
      <c r="A79" s="1294"/>
      <c r="B79" s="313" t="s">
        <v>655</v>
      </c>
    </row>
    <row r="80" spans="1:2" x14ac:dyDescent="0.25">
      <c r="A80" s="1294"/>
      <c r="B80" s="313" t="s">
        <v>656</v>
      </c>
    </row>
    <row r="81" spans="1:2" x14ac:dyDescent="0.25">
      <c r="A81" s="1294"/>
      <c r="B81" s="313" t="s">
        <v>657</v>
      </c>
    </row>
    <row r="82" spans="1:2" x14ac:dyDescent="0.25">
      <c r="A82" s="1294"/>
      <c r="B82" s="313" t="s">
        <v>658</v>
      </c>
    </row>
    <row r="83" spans="1:2" ht="15.75" thickBot="1" x14ac:dyDescent="0.3">
      <c r="A83" s="1294"/>
      <c r="B83" s="317" t="s">
        <v>659</v>
      </c>
    </row>
    <row r="84" spans="1:2" x14ac:dyDescent="0.25">
      <c r="A84" s="1294"/>
      <c r="B84" s="314" t="s">
        <v>660</v>
      </c>
    </row>
    <row r="85" spans="1:2" x14ac:dyDescent="0.25">
      <c r="A85" s="1294"/>
      <c r="B85" s="313"/>
    </row>
    <row r="86" spans="1:2" x14ac:dyDescent="0.25">
      <c r="A86" s="1294"/>
      <c r="B86" s="314" t="s">
        <v>653</v>
      </c>
    </row>
    <row r="87" spans="1:2" x14ac:dyDescent="0.25">
      <c r="A87" s="1294"/>
      <c r="B87" s="313"/>
    </row>
    <row r="88" spans="1:2" ht="25.5" x14ac:dyDescent="0.25">
      <c r="A88" s="1294"/>
      <c r="B88" s="313" t="s">
        <v>661</v>
      </c>
    </row>
    <row r="89" spans="1:2" x14ac:dyDescent="0.25">
      <c r="A89" s="1294"/>
      <c r="B89" s="313" t="s">
        <v>655</v>
      </c>
    </row>
    <row r="90" spans="1:2" x14ac:dyDescent="0.25">
      <c r="A90" s="1294"/>
      <c r="B90" s="313" t="s">
        <v>656</v>
      </c>
    </row>
    <row r="91" spans="1:2" x14ac:dyDescent="0.25">
      <c r="A91" s="1294"/>
      <c r="B91" s="313" t="s">
        <v>657</v>
      </c>
    </row>
    <row r="92" spans="1:2" x14ac:dyDescent="0.25">
      <c r="A92" s="1294"/>
      <c r="B92" s="313" t="s">
        <v>658</v>
      </c>
    </row>
    <row r="93" spans="1:2" ht="15.75" thickBot="1" x14ac:dyDescent="0.3">
      <c r="A93" s="1295"/>
      <c r="B93" s="312" t="s">
        <v>662</v>
      </c>
    </row>
    <row r="94" spans="1:2" ht="26.25" thickBot="1" x14ac:dyDescent="0.3">
      <c r="A94" s="318" t="s">
        <v>663</v>
      </c>
      <c r="B94" s="319" t="s">
        <v>664</v>
      </c>
    </row>
    <row r="95" spans="1:2" x14ac:dyDescent="0.25">
      <c r="A95" s="321"/>
    </row>
    <row r="96" spans="1:2" x14ac:dyDescent="0.25">
      <c r="A96" s="321"/>
    </row>
    <row r="97" spans="1:1" x14ac:dyDescent="0.25">
      <c r="A97" s="321"/>
    </row>
    <row r="98" spans="1:1" x14ac:dyDescent="0.25">
      <c r="A98" s="322"/>
    </row>
    <row r="99" spans="1:1" x14ac:dyDescent="0.25">
      <c r="A99" s="323"/>
    </row>
    <row r="100" spans="1:1" x14ac:dyDescent="0.25">
      <c r="A100" s="321"/>
    </row>
    <row r="101" spans="1:1" x14ac:dyDescent="0.25">
      <c r="A101" s="321"/>
    </row>
  </sheetData>
  <mergeCells count="5">
    <mergeCell ref="A76:A93"/>
    <mergeCell ref="A3:A16"/>
    <mergeCell ref="A17:A43"/>
    <mergeCell ref="A46:A48"/>
    <mergeCell ref="A49:A7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21</vt:i4>
      </vt:variant>
    </vt:vector>
  </HeadingPairs>
  <TitlesOfParts>
    <vt:vector size="21" baseType="lpstr">
      <vt:lpstr>Ограничения оценки ВНУТРЕННИЕ!</vt:lpstr>
      <vt:lpstr>Лист изменений</vt:lpstr>
      <vt:lpstr>1.Содержание проекта</vt:lpstr>
      <vt:lpstr>параметры расчета</vt:lpstr>
      <vt:lpstr>2.ФС для Заполнения</vt:lpstr>
      <vt:lpstr>3.ФС Девелопмент, Капстрой, EPC</vt:lpstr>
      <vt:lpstr>3.Краткое описание Интеграций</vt:lpstr>
      <vt:lpstr>Оценка свод КейсПроф + очереди</vt:lpstr>
      <vt:lpstr>метод-гии внедр. от ожид Зак </vt:lpstr>
      <vt:lpstr>ПК Совместный Запуск Шаблон</vt:lpstr>
      <vt:lpstr>ПК Кейс Шаблон</vt:lpstr>
      <vt:lpstr>Очередь 1 Кейс-Совм</vt:lpstr>
      <vt:lpstr>Очередь 1 ПРОФ_КОРП</vt:lpstr>
      <vt:lpstr>Очередь 2 ПРОФ_КОРП</vt:lpstr>
      <vt:lpstr>Очередь 3 ПРОФ_КОРП</vt:lpstr>
      <vt:lpstr>Развитие ПРОФ_КОРП</vt:lpstr>
      <vt:lpstr>Списки</vt:lpstr>
      <vt:lpstr>Прафс-лист на СОФТ</vt:lpstr>
      <vt:lpstr>Типовые рамки работ</vt:lpstr>
      <vt:lpstr>Лист1</vt:lpstr>
      <vt:lpstr>ДОполнительно в рамках Кейс-про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Семен Иоффе</dc:creator>
  <cp:lastModifiedBy>Семен Иоффе</cp:lastModifiedBy>
  <dcterms:created xsi:type="dcterms:W3CDTF">2020-07-23T14:28:58Z</dcterms:created>
  <dcterms:modified xsi:type="dcterms:W3CDTF">2026-06-26T09:03:10Z</dcterms:modified>
</cp:coreProperties>
</file>